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mc:Choice Requires="x15">
      <x15ac:absPath xmlns:x15ac="http://schemas.microsoft.com/office/spreadsheetml/2010/11/ac" url="/Users/aknubel/Documents/sp-cdp-excel-middleend/src/main/resources/template/channel_marketplace/"/>
    </mc:Choice>
  </mc:AlternateContent>
  <xr:revisionPtr revIDLastSave="0" documentId="13_ncr:1_{904C6FF2-C813-EA40-9F9C-D2AD48E5E031}" xr6:coauthVersionLast="47" xr6:coauthVersionMax="47" xr10:uidLastSave="{00000000-0000-0000-0000-000000000000}"/>
  <bookViews>
    <workbookView xWindow="0" yWindow="500" windowWidth="28800" windowHeight="17500" xr2:uid="{00000000-000D-0000-FFFF-FFFF00000000}"/>
  </bookViews>
  <sheets>
    <sheet name="Ajuda" sheetId="1" r:id="rId1"/>
    <sheet name="hidden" r:id="rId9" sheetId="2" state="veryHidden"/>
    <sheet name="Promoções" r:id="rId10" sheetId="3"/>
  </sheets>
  <calcPr calcId="0"/>
  <extLst>
    <ext uri="GoogleSheetsCustomDataVersion2">
      <go:sheetsCustomData xmlns:go="http://customooxmlschemas.google.com/" r:id="rId5" roundtripDataChecksum="NTi7pgMi/hLj59XXrNDNx4SWXwadj/vurF+xBlDbyTk="/>
    </ext>
  </extLst>
</workbook>
</file>

<file path=xl/sharedStrings.xml><?xml version="1.0" encoding="utf-8"?>
<sst xmlns="http://schemas.openxmlformats.org/spreadsheetml/2006/main" count="3990" uniqueCount="2055">
  <si>
    <t>Preencha os preços da sua oferta</t>
  </si>
  <si>
    <t>Categorias:</t>
  </si>
  <si>
    <t>Enviar arquivo Excel</t>
  </si>
  <si>
    <t>Ao terminar, lembre-se de salvar as informações que você preencheu e de</t>
  </si>
  <si>
    <t>Certifique-se de enviar o mesmo arquivo que você baixou.</t>
  </si>
  <si>
    <t>Precisa de ajuda?</t>
  </si>
  <si>
    <t>Preço automático</t>
  </si>
  <si>
    <t>Se você incluir anúncios com ajuste automático de preço, ele ficará pausado enquanto a promoção estiver ativa e será novamente ajustado de forma automática quando a promoção encerrar.</t>
  </si>
  <si>
    <t>Sobre o preço riscado que seus compradores verão</t>
  </si>
  <si>
    <t>O preço riscado de cada oferta será aquele que considerarmos o mais confiável para seu produto.</t>
  </si>
  <si>
    <r>
      <rPr>
        <sz val="10"/>
        <color rgb="FF666666"/>
        <rFont val="Arial"/>
        <family val="2"/>
      </rPr>
      <t xml:space="preserve">Para participar com seus anúncios, alterá-los ou deixar de participar, não exclua nenhuma linha nem coluna do seu modelo. </t>
    </r>
    <r>
      <rPr>
        <b/>
        <sz val="10"/>
        <color rgb="FF666666"/>
        <rFont val="Arial"/>
        <family val="2"/>
      </rPr>
      <t>É possível alterar somente as colunas obrigatórias e opcionais.</t>
    </r>
  </si>
  <si>
    <t>Programar seus anúncios</t>
  </si>
  <si>
    <t>Alterar seus anúncios</t>
  </si>
  <si>
    <r>
      <rPr>
        <sz val="10"/>
        <color rgb="FF666666"/>
        <rFont val="Arial"/>
        <family val="2"/>
      </rPr>
      <t xml:space="preserve">Se você excluir as informações de alguma coluna, o anúncio continuará participando com o desconto atual. Se você alterar anúncios ativos, só poderá aumentar os descontos.
</t>
    </r>
    <r>
      <rPr>
        <b/>
        <sz val="10"/>
        <color rgb="FF666666"/>
        <rFont val="Arial"/>
        <family val="2"/>
      </rPr>
      <t xml:space="preserve">Não exclua “Participar” da coluna "O que você quer fazer com este anúncio?". </t>
    </r>
    <r>
      <rPr>
        <sz val="10"/>
        <color rgb="FF666666"/>
        <rFont val="Arial"/>
        <family val="2"/>
      </rPr>
      <t>Vamos salvar somente as alterações nos anúncios que tiverem esse campo preenchido.</t>
    </r>
  </si>
  <si>
    <t>Deixar de participar</t>
  </si>
  <si>
    <t>Se encontrar anúncios na planilha que você não quiser que participem da promoção, por favor, informe isso selecionando "Não participar" na coluna "O que você quer fazer com este anúncio?" em amarelo.</t>
  </si>
  <si>
    <t>Adicionar mais anúncios à promoção</t>
  </si>
  <si>
    <r>
      <rPr>
        <sz val="10"/>
        <color rgb="FF666666"/>
        <rFont val="Arial"/>
        <family val="2"/>
      </rPr>
      <t xml:space="preserve">Para adicionar anúncios à promoção, baixe uma nova planilha com os anúncios que você quiser que participem. </t>
    </r>
    <r>
      <rPr>
        <b/>
        <sz val="10"/>
        <color rgb="FF666666"/>
        <rFont val="Arial"/>
        <family val="2"/>
      </rPr>
      <t>Não adicione linhas com anúncios novos.</t>
    </r>
  </si>
  <si>
    <r>
      <t xml:space="preserve">Para seu anúncio participar, </t>
    </r>
    <r>
      <rPr>
        <b/>
        <sz val="10"/>
        <color rgb="FF666666"/>
        <rFont val="Arial"/>
        <family val="2"/>
      </rPr>
      <t>certifique-se de selecionar a opção "Participar" na coluna "O que você quer fazer com este anúncio?".</t>
    </r>
  </si>
  <si>
    <t>Se você quiser manter a porcentagem sugerida para atrair mais compradores e vender mais, mantenha os dados encontrados nas colunas “Desconto” e “Preço final”.</t>
  </si>
  <si>
    <t>Se você quiser alterá-la, certifique-se de que a porcentagem inserida corresponda ao preço final que você incluir na coluna. Se esses dados não corresponderem, vamos usar o preço final para recalcular a porcentagem de desconto.</t>
  </si>
  <si>
    <t>Gerencie suas promoções</t>
  </si>
  <si>
    <t>enviar seu arquivo</t>
  </si>
  <si>
    <t>Recomendamos que você faça o pagamento até o dia 1 de Maio.</t>
  </si>
  <si>
    <t>8adb914d-e2f9-4ed2-8358-f6a854db6bbf</t>
  </si>
  <si>
    <t>C-MLB3378397</t>
  </si>
  <si>
    <t>(12) Acessórios e peças de reposição para bicicletas</t>
  </si>
  <si>
    <t>(10) Acessórios náuticos</t>
  </si>
  <si>
    <t>(6) Acessórios para motos</t>
  </si>
  <si>
    <t>(8) Alavancas de freio de mão para veículos</t>
  </si>
  <si>
    <t>(6) Alavancas e manoplas de regulagem de assentos para veículos</t>
  </si>
  <si>
    <t>(5) Amortecedores a gás para veículos</t>
  </si>
  <si>
    <t>(4) Aspersores para irrigação</t>
  </si>
  <si>
    <t>(10) Bandejas de suspensão para carros e caminhonetes</t>
  </si>
  <si>
    <t>(2) Barras de LED para veículos</t>
  </si>
  <si>
    <t>(2) Bombas de circulação para aquários</t>
  </si>
  <si>
    <t>(8) Bombas de combustível para veículos</t>
  </si>
  <si>
    <t>(2) Bombas de vácuo do sistema de emissões para veículos</t>
  </si>
  <si>
    <t>(3) Bombas hidráulicas para veículos</t>
  </si>
  <si>
    <t>(1) Bombas para aquários</t>
  </si>
  <si>
    <t>(4) Bombas solares</t>
  </si>
  <si>
    <t>(4) Brocas</t>
  </si>
  <si>
    <t>(19) Bóias de combustível para veículos</t>
  </si>
  <si>
    <t>(1) Cabos e adaptadores de áudio e vídeo</t>
  </si>
  <si>
    <t>(11) Caixas de fusíveis para veículos</t>
  </si>
  <si>
    <t>(4) Canetas touch</t>
  </si>
  <si>
    <t>(5) Canos de injetores para veículos</t>
  </si>
  <si>
    <t>(8) Carburadores para veículos</t>
  </si>
  <si>
    <t>(2) Carcaças de válvulas termostáticas para veículos</t>
  </si>
  <si>
    <t>(2) Centros de atividades e ginásios para bebês</t>
  </si>
  <si>
    <t>(3) Cilindros escravos de embreagem para veículos</t>
  </si>
  <si>
    <t>(4) Cintos de segurança para veículos</t>
  </si>
  <si>
    <t>(7) Cubos de roda para carros e caminhonetes</t>
  </si>
  <si>
    <t>(3) Desamassador de ventosa</t>
  </si>
  <si>
    <t>(5) Difusores de ar condicionado para veículos</t>
  </si>
  <si>
    <t>(3) Displays LCD</t>
  </si>
  <si>
    <t>(10) Emblemas para veículos</t>
  </si>
  <si>
    <t>(3) Engrenagens de caixa de transferência para veículos</t>
  </si>
  <si>
    <t>(6) Enxadas</t>
  </si>
  <si>
    <t>(5) Fechaduras de porta-malas e portões para veículos</t>
  </si>
  <si>
    <t>(6) Fechaduras de portas para carros e caminhonetes</t>
  </si>
  <si>
    <t>(4) Ferramentas e artigos de construção</t>
  </si>
  <si>
    <t>(4) Filtros de combustível para veículos</t>
  </si>
  <si>
    <t>(3) Frisos para carros e caminhonetes</t>
  </si>
  <si>
    <t>(19) Grades de para-choques para veículos</t>
  </si>
  <si>
    <t>(2) Grades para veículos</t>
  </si>
  <si>
    <t>(10) Grampos para veículos</t>
  </si>
  <si>
    <t>(5) Hubs USB</t>
  </si>
  <si>
    <t>(3) Interruptores de eletroventilador para veículos</t>
  </si>
  <si>
    <t>(26) Interruptores de levantamento de vidro para carros e caminhonetes</t>
  </si>
  <si>
    <t>(3) Interruptores de luz para veículos</t>
  </si>
  <si>
    <t>(4) Interruptores de trava central para veículos</t>
  </si>
  <si>
    <t>(8) Interruptores de volantes para veículos</t>
  </si>
  <si>
    <t>(7) Juntas de motor para veículos</t>
  </si>
  <si>
    <t>(1) Kits de acessórios para compressores de ar</t>
  </si>
  <si>
    <t>(1) Kits de ferramentas elétricas</t>
  </si>
  <si>
    <t>(17) Lanternas de pisca para veículos</t>
  </si>
  <si>
    <t>(9) Lentes de lanternas de pisca para carros e caminhonetes</t>
  </si>
  <si>
    <t>(5) Localizadores de satélites</t>
  </si>
  <si>
    <t>(17) Lâmpadas para veículos</t>
  </si>
  <si>
    <t>(25) Mangueiras de admissão para veículos</t>
  </si>
  <si>
    <t>(4) Mangueiras de direção hidráulica para veículos</t>
  </si>
  <si>
    <t>(4) Mangueiras de intercooler para veículos</t>
  </si>
  <si>
    <t>(4) Mangueiras de radiador para veículos</t>
  </si>
  <si>
    <t>(26) Manoplas de câmbio para veículos</t>
  </si>
  <si>
    <t>(3) Manômetros analógicos</t>
  </si>
  <si>
    <t>(3) Maçanetas de portas para carros e caminhonetes</t>
  </si>
  <si>
    <t>(6) Medidores de combustível para veículos</t>
  </si>
  <si>
    <t>(2) Molduras de estéreos para veículos</t>
  </si>
  <si>
    <t>(6) Motores de arranque para veículos</t>
  </si>
  <si>
    <t>(2) Motores de limpa pára-brisas para veículos</t>
  </si>
  <si>
    <t>(19) Peças de linha leviana</t>
  </si>
  <si>
    <t>(2) Peças para motos</t>
  </si>
  <si>
    <t>(3) Pistolas de irrigação para jardim</t>
  </si>
  <si>
    <t>(7) Ponteiras de escapamento para veículos</t>
  </si>
  <si>
    <t>(6) Puxadores de porta interior para veículos</t>
  </si>
  <si>
    <t>(2) Quadros dos faróis dianteiros para carros e caminhonetes</t>
  </si>
  <si>
    <t>(6) Radiadores de água para carros e caminhonetes</t>
  </si>
  <si>
    <t>(5) Receptores de carga sem fios</t>
  </si>
  <si>
    <t>(2) Reguladores de pressão de combustível para veículos</t>
  </si>
  <si>
    <t>(3) Reservatórios de óleo de direção hidráulica para veículos</t>
  </si>
  <si>
    <t>(15) Retentores para veículos</t>
  </si>
  <si>
    <t>(8) Scanners para veículos</t>
  </si>
  <si>
    <t>(4) Sensores de detonação para veículos</t>
  </si>
  <si>
    <t>(2) Sensores de pressão de óleo de direção hidráulica para veículos</t>
  </si>
  <si>
    <t>(4) Sensores de pressão de óleo de motor para veículos</t>
  </si>
  <si>
    <t>(2) Sensores de velocidade para veículos</t>
  </si>
  <si>
    <t>(5) Sensores MAF para veículos</t>
  </si>
  <si>
    <t>(5) Sensores MAP para veículos</t>
  </si>
  <si>
    <t>(8) Sensores TPMS para veículos</t>
  </si>
  <si>
    <t>(5) Sensores TPS para veículos</t>
  </si>
  <si>
    <t>(5) Shampoos para veículos</t>
  </si>
  <si>
    <t>(5) Silenciosos para veículos</t>
  </si>
  <si>
    <t>(10) Suportes de celulares e GPS para veículos</t>
  </si>
  <si>
    <t>(4) Suportes de para-choques para veículos</t>
  </si>
  <si>
    <t>(4) Talhas manuais</t>
  </si>
  <si>
    <t>(8) Tampas de radiador para veículos</t>
  </si>
  <si>
    <t>(8) Tampas de tanque de combustível para veículos</t>
  </si>
  <si>
    <t>(4) Tampas de tanques de gasolina para motos</t>
  </si>
  <si>
    <t>(2) Telas de tablets</t>
  </si>
  <si>
    <t>(2) Transmissores FM sem fio para veículos</t>
  </si>
  <si>
    <t>(3) Velas de ignição para veículos</t>
  </si>
  <si>
    <t>(2) Válvulas de expansão de ar condicionado para veículos</t>
  </si>
  <si>
    <t>(4) Válvulas de pneus para veículos</t>
  </si>
  <si>
    <t>(7) Válvulas termostáticas de motores para veículos</t>
  </si>
  <si>
    <t>(2) Áudio para veículos</t>
  </si>
  <si>
    <t>TITLE</t>
  </si>
  <si>
    <t>Título do anúncio</t>
  </si>
  <si>
    <r>
      <t>Título do anúncio</t>
    </r>
    <r>
      <rPr>
        <u val="none"/>
        <sz val="8.0"/>
        <rFont val="Arial"/>
      </rPr>
      <t xml:space="preserve"> </t>
    </r>
  </si>
  <si>
    <t/>
  </si>
  <si>
    <t>Não altere esta coluna</t>
  </si>
  <si>
    <r>
      <t>Não altere esta coluna</t>
    </r>
    <r>
      <rPr>
        <u val="none"/>
        <sz val="8.0"/>
        <rFont val="Arial"/>
      </rPr>
      <t xml:space="preserve"> </t>
    </r>
  </si>
  <si>
    <t>ITEM_ID</t>
  </si>
  <si>
    <t>Número do anúncio</t>
  </si>
  <si>
    <r>
      <t>Número do anúncio</t>
    </r>
    <r>
      <rPr>
        <u val="none"/>
        <sz val="8.0"/>
        <rFont val="Arial"/>
      </rPr>
      <t xml:space="preserve"> </t>
    </r>
  </si>
  <si>
    <t>SKU</t>
  </si>
  <si>
    <r>
      <t>SKU</t>
    </r>
    <r>
      <rPr>
        <u val="none"/>
        <sz val="8.0"/>
        <rFont val="Arial"/>
      </rPr>
      <t xml:space="preserve"> </t>
    </r>
  </si>
  <si>
    <t>ORIGINAL_PRICE</t>
  </si>
  <si>
    <t>Preço original</t>
  </si>
  <si>
    <r>
      <t>Preço original</t>
    </r>
    <r>
      <rPr>
        <u val="none"/>
        <sz val="8.0"/>
        <rFont val="Arial"/>
      </rPr>
      <t xml:space="preserve"> </t>
    </r>
  </si>
  <si>
    <t>DISCOUNT_PERCENTAGE</t>
  </si>
  <si>
    <t>Desconto</t>
  </si>
  <si>
    <r>
      <t>Desconto</t>
    </r>
    <r>
      <rPr>
        <u val="none"/>
        <sz val="8.0"/>
        <rFont val="Arial"/>
      </rPr>
      <t xml:space="preserve"> </t>
    </r>
  </si>
  <si>
    <t>Porcentagem</t>
  </si>
  <si>
    <t>Não inclua decimais nem porcentagens abaixo de 5% ou acima de 80%.</t>
  </si>
  <si>
    <r>
      <t>Não inclua decimais nem porcentagens abaixo de 5% ou acima de 80%.</t>
    </r>
    <r>
      <rPr>
        <u val="none"/>
        <sz val="8.0"/>
        <rFont val="Arial"/>
      </rPr>
      <t xml:space="preserve"> </t>
    </r>
  </si>
  <si>
    <t>FINAL_PRICE</t>
  </si>
  <si>
    <t>Preço final</t>
  </si>
  <si>
    <t>SUGGESTION</t>
  </si>
  <si>
    <t>Avaliação do desconto</t>
  </si>
  <si>
    <r>
      <t>Não altere esta coluna</t>
    </r>
    <r>
      <rPr>
        <u val="none"/>
        <sz val="8.0"/>
        <rFont val="Arial"/>
      </rPr>
      <t xml:space="preserve"> 
Um desconto atrativo aumenta suas chances de se destacar e ser a primeira opção de compra.</t>
    </r>
  </si>
  <si>
    <t>RECEIVES</t>
  </si>
  <si>
    <t>Você recebe</t>
  </si>
  <si>
    <t>Não altere esta coluna
Se você alterar o desconto ou o preço final,</t>
  </si>
  <si>
    <r>
      <t>Não altere esta coluna
Se você alterar o desconto ou o preço final,</t>
    </r>
    <r>
      <rPr>
        <u val="none"/>
        <sz val="8.0"/>
        <rFont val="Arial"/>
      </rPr>
      <t xml:space="preserve"> poderá ver este valor atualizado na Central de promoções.</t>
    </r>
  </si>
  <si>
    <t>LOYALTY_DISCOUNT_PERCENTAGE</t>
  </si>
  <si>
    <t>Desconto exclusivo Meli+</t>
  </si>
  <si>
    <r>
      <t>Desconto exclusivo Meli+</t>
    </r>
    <r>
      <rPr>
        <u val="none"/>
        <color rgb="FF000000"/>
        <sz val="8.0"/>
        <rFont val="Arial"/>
      </rPr>
      <t xml:space="preserve"> 
 Ofereça um desconto para assinantes do Meli+, eles compram 78% a mais do que outras pessoas. É opcional.</t>
    </r>
  </si>
  <si>
    <t>Você pode alterar esta coluna. Para aplicarmos esse desconto, não inclua porcentagens com decimais e certifique-se de que seja pelo menos 5% acima do desconto base.</t>
  </si>
  <si>
    <r>
      <t>Você pode alterar esta coluna. Para aplicarmos esse desconto, não inclua porcentagens com decimais e certifique-se de que seja pelo menos 5% acima do desconto base.</t>
    </r>
    <r>
      <rPr>
        <u val="none"/>
        <sz val="8.0"/>
        <rFont val="Arial"/>
      </rPr>
      <t xml:space="preserve"> </t>
    </r>
  </si>
  <si>
    <t>LOYALTY_PRICE</t>
  </si>
  <si>
    <r>
      <t>Desconto exclusivo Meli+</t>
    </r>
    <r>
      <rPr>
        <u val="none"/>
        <sz val="8.0"/>
        <rFont val="Arial"/>
      </rPr>
      <t xml:space="preserve"> </t>
    </r>
  </si>
  <si>
    <t>Você pode alterar esta coluna. Lembre-se de que o preço final deve coincidir com o desconto adicionado na coluna anterior.</t>
  </si>
  <si>
    <r>
      <t>Você pode alterar esta coluna. Lembre-se de que o preço final deve coincidir com o desconto adicionado na coluna anterior.</t>
    </r>
    <r>
      <rPr>
        <u val="none"/>
        <sz val="8.0"/>
        <rFont val="Arial"/>
      </rPr>
      <t xml:space="preserve"> </t>
    </r>
  </si>
  <si>
    <t>LOYALTY_RECEIVES</t>
  </si>
  <si>
    <t>STATUS</t>
  </si>
  <si>
    <t>Status da promoção</t>
  </si>
  <si>
    <r>
      <t>Status da promoção</t>
    </r>
    <r>
      <rPr>
        <u val="none"/>
        <sz val="8.0"/>
        <rFont val="Arial"/>
      </rPr>
      <t xml:space="preserve"> </t>
    </r>
  </si>
  <si>
    <t xml:space="preserve">
Não altere este campo</t>
  </si>
  <si>
    <r>
      <t>Não altere este campo</t>
    </r>
    <r>
      <rPr>
        <u val="none"/>
        <sz val="8.0"/>
        <rFont val="Arial"/>
      </rPr>
      <t xml:space="preserve"> </t>
    </r>
  </si>
  <si>
    <t>ACTION</t>
  </si>
  <si>
    <t>O que você quer fazer com este anúncio?</t>
  </si>
  <si>
    <r>
      <t>O que você quer fazer com este anúncio?</t>
    </r>
    <r>
      <rPr>
        <u val="none"/>
        <sz val="8.0"/>
        <rFont val="Arial"/>
      </rPr>
      <t xml:space="preserve"> </t>
    </r>
  </si>
  <si>
    <t>ERRORS</t>
  </si>
  <si>
    <t>Observações e erros</t>
  </si>
  <si>
    <r>
      <t>Observações e erros</t>
    </r>
    <r>
      <rPr>
        <u val="none"/>
        <color rgb="FFFFFFFF"/>
        <sz val="8.0"/>
        <rFont val="Arial"/>
      </rPr>
      <t xml:space="preserve"> 
Não altere este campo</t>
    </r>
  </si>
  <si>
    <t>MLB1754398064</t>
  </si>
  <si>
    <t>Manopla Câmbio Automático Citroen C4 C5 Peugeot 307 408 Capa Preto</t>
  </si>
  <si>
    <t>19-1</t>
  </si>
  <si>
    <t>$ 61.68</t>
  </si>
  <si>
    <t>Ativo</t>
  </si>
  <si>
    <t>Participar</t>
  </si>
  <si>
    <t>MLB1754398068</t>
  </si>
  <si>
    <t>Manopla Câmbio Automático Peugeot 307 Citroen C4 Pallas Preto</t>
  </si>
  <si>
    <t>$ 86.62</t>
  </si>
  <si>
    <t>MLB1754398071</t>
  </si>
  <si>
    <t>Manopla Câmbio Automático Citroen C4 Pallas 2010-2013 Preto</t>
  </si>
  <si>
    <t>$ 81.85</t>
  </si>
  <si>
    <t>MLB1754403273</t>
  </si>
  <si>
    <t>Manopla Cambio Aut Citroën C4 Pallas/hatch Original Deckas Preto</t>
  </si>
  <si>
    <t>$ 95.60</t>
  </si>
  <si>
    <t>MLB1754403275</t>
  </si>
  <si>
    <t>Manopla Bola Cambio Automático Para Citroen C4 2007/2011 Preto</t>
  </si>
  <si>
    <t>$ 59.82</t>
  </si>
  <si>
    <t>MLB1754406574</t>
  </si>
  <si>
    <t>Manopla Cambio Automático Peugeot 307 Citroen C4 Sedan Hatch Preto</t>
  </si>
  <si>
    <t>$ 71.89</t>
  </si>
  <si>
    <t>MLB1960412973</t>
  </si>
  <si>
    <t>Mangueira Filtro Ar Mercedes A200 B200 Cla200 2013 2014 2015</t>
  </si>
  <si>
    <t>278</t>
  </si>
  <si>
    <t>$ 176.40</t>
  </si>
  <si>
    <t>MLB1960417346</t>
  </si>
  <si>
    <t>Mangueira De Entrada De Ar Mercedes A200 B200 Cla E Gla</t>
  </si>
  <si>
    <t>$ 217.25</t>
  </si>
  <si>
    <t>MLB1960422165</t>
  </si>
  <si>
    <t>Mangueira Filtro De Ar Mercedes A200 Cla200 Gla200 2013/2018</t>
  </si>
  <si>
    <t>$ 196.14</t>
  </si>
  <si>
    <t>MLB1960550832</t>
  </si>
  <si>
    <t>Esteira Cambio Volvo C70 C30 S40 V50 2004/2013 Preto</t>
  </si>
  <si>
    <t>246</t>
  </si>
  <si>
    <t>$ 69.40</t>
  </si>
  <si>
    <t>MLB1960560520</t>
  </si>
  <si>
    <t>Esteira Do Câmbio Automático Volvo C30 V50 S40 C70 - 8699465 Preto</t>
  </si>
  <si>
    <t>$ 75.19</t>
  </si>
  <si>
    <t>MLB1961850617</t>
  </si>
  <si>
    <t>Retentor Do Comando Válvulas Cruze Sonic Tracker 2012 A 2016</t>
  </si>
  <si>
    <t>280</t>
  </si>
  <si>
    <t>$ 58.20</t>
  </si>
  <si>
    <t>MLB1961852000</t>
  </si>
  <si>
    <t>Retentor Do Comando De Valvulas Cruze 2012/2016 55563374</t>
  </si>
  <si>
    <t>$ 46.95</t>
  </si>
  <si>
    <t>MLB1961932123</t>
  </si>
  <si>
    <t>Comando Botões Vidro Elétrico Motorista Sorento 2 Auto</t>
  </si>
  <si>
    <t>276</t>
  </si>
  <si>
    <t>$ 121.53</t>
  </si>
  <si>
    <t>MLB1971104633</t>
  </si>
  <si>
    <t>Puxador Interno Porta Bmw 528i 535i 550i M5 2011-2016 Bege Bege</t>
  </si>
  <si>
    <t>275-5</t>
  </si>
  <si>
    <t>$ 306.88</t>
  </si>
  <si>
    <t>MLB1971107441</t>
  </si>
  <si>
    <t>Comando Botão Vidro Eletrico Ford Ranger 2012 2013 2014 2015</t>
  </si>
  <si>
    <t>273</t>
  </si>
  <si>
    <t>$ 168.21</t>
  </si>
  <si>
    <t>MLB1971120417</t>
  </si>
  <si>
    <t>Comando Do Vidro Elétrico P/ Ford Ranger 2012 2013 2014 2015</t>
  </si>
  <si>
    <t>$ 88.92</t>
  </si>
  <si>
    <t>MLB1978126939</t>
  </si>
  <si>
    <t>Medidor De Fluxo Ar 7 Pinos Mitsubishi Pajero Tr4 2.0 16v</t>
  </si>
  <si>
    <t>289</t>
  </si>
  <si>
    <t>$ 581.83</t>
  </si>
  <si>
    <t>MLB1978142239</t>
  </si>
  <si>
    <t>Chave Farol Luz Milha Neblina Auto Passat Jetta Tiguan Golf</t>
  </si>
  <si>
    <t>$ 144.63</t>
  </si>
  <si>
    <t>MLB1984386684</t>
  </si>
  <si>
    <t>Bomba De Vácuo Para Peugeot E Citroen Thp 1.6 16v Turbo 3008</t>
  </si>
  <si>
    <t>295</t>
  </si>
  <si>
    <t>$ 553.79</t>
  </si>
  <si>
    <t>MLB1984394218</t>
  </si>
  <si>
    <t>Bomba De Vácuo Para Peugeot E Citroen Thp 1.6 16v Turbo 308 Cinza</t>
  </si>
  <si>
    <t>$ 527.31</t>
  </si>
  <si>
    <t>MLB1984439649</t>
  </si>
  <si>
    <t>Válvula Niveladora Banco Pneumático Volvo Fh Fm 20443641 Branco</t>
  </si>
  <si>
    <t>286</t>
  </si>
  <si>
    <t>MLB1984448244</t>
  </si>
  <si>
    <t>Valvula Nivel Banco Volvo Fh Vm Sc 124 Serie Pgr Mb Axor</t>
  </si>
  <si>
    <t>$ 85</t>
  </si>
  <si>
    <t>MLB1984448319</t>
  </si>
  <si>
    <t>Válvula De Nível Do Banco Pneumático Volvo Fh/fm 20443641 Branco</t>
  </si>
  <si>
    <t>$ 78.53</t>
  </si>
  <si>
    <t>MLB1984448321</t>
  </si>
  <si>
    <t>$ 76.20</t>
  </si>
  <si>
    <t>MLB1984819034</t>
  </si>
  <si>
    <t>Cebolão Interruptor Ventoinha Honda Civic 1.7 2001 2002 2003</t>
  </si>
  <si>
    <t>16</t>
  </si>
  <si>
    <t>$ 104.65</t>
  </si>
  <si>
    <t>MLB1984823376</t>
  </si>
  <si>
    <t>Tampa Portinhola Tanque Combustivel Ford Focus 2009-2013</t>
  </si>
  <si>
    <t>002</t>
  </si>
  <si>
    <t>$ 59.39</t>
  </si>
  <si>
    <t>MLB1984832123</t>
  </si>
  <si>
    <t>Tampa Portinhola Tanque Focus 2008 2009 2010 2011 2012 2013</t>
  </si>
  <si>
    <t>$ 58.64</t>
  </si>
  <si>
    <t>MLB1984861692</t>
  </si>
  <si>
    <t>Boia Sensor Nível Combustível P/ Focus 2.0 Duratec Gas 08/09</t>
  </si>
  <si>
    <t>20</t>
  </si>
  <si>
    <t>$ 124.43</t>
  </si>
  <si>
    <t>MLB1984882492</t>
  </si>
  <si>
    <t>Sensor Temperatura Cebolão Radiador Cb500 Hornet</t>
  </si>
  <si>
    <t>001</t>
  </si>
  <si>
    <t>$ 118.22</t>
  </si>
  <si>
    <t>MLB1984892935</t>
  </si>
  <si>
    <t>Cebolinha Radiador Cb500 Hornet Shadow</t>
  </si>
  <si>
    <t>$ 35.60</t>
  </si>
  <si>
    <t>MLB1984903133</t>
  </si>
  <si>
    <t>Sensor Pressão Flauta Turbo Ford Ranger 3.0 Troller T4</t>
  </si>
  <si>
    <t>005</t>
  </si>
  <si>
    <t>$ 146.03</t>
  </si>
  <si>
    <t>MLB1984905629</t>
  </si>
  <si>
    <t>Sensor Tubo Rail Ranger Troller 3.0 5ws40039 55pp02-03</t>
  </si>
  <si>
    <t>$ 120.51</t>
  </si>
  <si>
    <t>MLB1985423253</t>
  </si>
  <si>
    <t>Bomba Combustivel Honda Shadow 600 Carburada 2 Fios Gasolina</t>
  </si>
  <si>
    <t>12</t>
  </si>
  <si>
    <t>$ 166.38</t>
  </si>
  <si>
    <t>-</t>
  </si>
  <si>
    <t>Elegível</t>
  </si>
  <si>
    <t>Não há informações suficientes para te sugerir um desconto.</t>
  </si>
  <si>
    <t>MLB1985423263</t>
  </si>
  <si>
    <t>Bomba Combustivel Gasolina Honda Shadow Vt 600 1996 À 2005na</t>
  </si>
  <si>
    <t>$ 114.26</t>
  </si>
  <si>
    <t>MLB1985428470</t>
  </si>
  <si>
    <t>Bomba Combustivel Xvs Drag Star V Star 650 Virago Xv535</t>
  </si>
  <si>
    <t>$ 143.34</t>
  </si>
  <si>
    <t>MLB1985533200</t>
  </si>
  <si>
    <t>Sensor De Detonação Tracker Suzuki Grand Vitara 2.0 16v</t>
  </si>
  <si>
    <t>15-1</t>
  </si>
  <si>
    <t>$ 67.64</t>
  </si>
  <si>
    <t>MLB1985536370</t>
  </si>
  <si>
    <t>Sensor Detonação Tracker Vitara 2.0 16v Gasolina 99 À 2019</t>
  </si>
  <si>
    <t>$ 83.24</t>
  </si>
  <si>
    <t>MLB1985554370</t>
  </si>
  <si>
    <t>Bomba Combustível P/ Ford Focus 2.0 16v Duratec 2009 Gasoli</t>
  </si>
  <si>
    <t>18</t>
  </si>
  <si>
    <t>$ 454.07</t>
  </si>
  <si>
    <t>MLB1985554385</t>
  </si>
  <si>
    <t>$ 449.21</t>
  </si>
  <si>
    <t>MLB1985589133</t>
  </si>
  <si>
    <t>Piloto Automático Controle De Velocidade Focus Mk2,5</t>
  </si>
  <si>
    <t>23</t>
  </si>
  <si>
    <t>$ 238.57</t>
  </si>
  <si>
    <t>MLB1985658166</t>
  </si>
  <si>
    <t>Engrenagem Caixa De Transferência Bmw X3 X5 X6 Servo Atuador</t>
  </si>
  <si>
    <t>27-K</t>
  </si>
  <si>
    <t>$ 94.10</t>
  </si>
  <si>
    <t>MLB1985744707</t>
  </si>
  <si>
    <t>Sensor Direção Hidráulica Citroen Peugeot 206 207 Original</t>
  </si>
  <si>
    <t>35</t>
  </si>
  <si>
    <t>MLB1985747751</t>
  </si>
  <si>
    <t>Sensor De Velocidade Audi/vw A3/golf Cambio Automatico 01m</t>
  </si>
  <si>
    <t>37</t>
  </si>
  <si>
    <t>$ 56.08</t>
  </si>
  <si>
    <t>MLB1985755395</t>
  </si>
  <si>
    <t>Sensor G68 Cambio 01m Audi A3 1.8 Golf Bora New Beetle 2.0</t>
  </si>
  <si>
    <t>$ 56.40</t>
  </si>
  <si>
    <t>MLB1986786024</t>
  </si>
  <si>
    <t>Jogo 6 Velas Ngk Platinum Santa Fe Tucson 2.7 V6 Pfr5n-11</t>
  </si>
  <si>
    <t>152-K6</t>
  </si>
  <si>
    <t>$ 765.21</t>
  </si>
  <si>
    <t>MLB1986792691</t>
  </si>
  <si>
    <t>Jogo Velas Iridium Para Santa Fé 3.5 V6 285 Cv 2009/2011</t>
  </si>
  <si>
    <t>$ 602.31</t>
  </si>
  <si>
    <t>MLB1986895010</t>
  </si>
  <si>
    <t>Caixa Bsm Peugeot 206, 207, 307 1.4 E 1.6 - Nova E Original</t>
  </si>
  <si>
    <t>290</t>
  </si>
  <si>
    <t>$ 572.67</t>
  </si>
  <si>
    <t>MLB1986900887</t>
  </si>
  <si>
    <t>Caixa Fusível Módulo Bsm B3 B5 Citroen C3 6500y1 Original</t>
  </si>
  <si>
    <t>$ 559.74</t>
  </si>
  <si>
    <t>MLB1986900888</t>
  </si>
  <si>
    <t>Modulo Caixa Bsm B3 B5 Original Citroen Picasso C3 C5 C8</t>
  </si>
  <si>
    <t>$ 524.51</t>
  </si>
  <si>
    <t>MLB1987802723</t>
  </si>
  <si>
    <t>Motor Partida Ktm 2t Exc 200 300 Xcw 250 300 410 Watts</t>
  </si>
  <si>
    <t>52</t>
  </si>
  <si>
    <t>$ 612.51</t>
  </si>
  <si>
    <t>MLB1987804808</t>
  </si>
  <si>
    <t>Sensor De Pressão Do Pneu Captiva 2.4 3.0 E 3.6 V6 Após 2008</t>
  </si>
  <si>
    <t>46</t>
  </si>
  <si>
    <t>$ 54.86</t>
  </si>
  <si>
    <t>MLB1987804809</t>
  </si>
  <si>
    <t>Sensor Pressão Do Pneu Tpms Gm Captiva Camaro Malibu</t>
  </si>
  <si>
    <t>$ 59.04</t>
  </si>
  <si>
    <t>MLB1987809522</t>
  </si>
  <si>
    <t>Motor Partida Ktm 2t Exc 200 300 Xcw 250 300 Novo</t>
  </si>
  <si>
    <t>$ 519.23</t>
  </si>
  <si>
    <t>MLB1987841102</t>
  </si>
  <si>
    <t>Manopla Cambio Automatico Ford Focus Fiesta 05-12 Preto</t>
  </si>
  <si>
    <t>62</t>
  </si>
  <si>
    <t>$ 104.02</t>
  </si>
  <si>
    <t>MLB1987841103</t>
  </si>
  <si>
    <t>Manopla Cambio Automatico Ford Focus Fiesta 05/12 Preto</t>
  </si>
  <si>
    <t>$ 102.26</t>
  </si>
  <si>
    <t>MLB1987848106</t>
  </si>
  <si>
    <t>Manopla Cambio Automatico Ford Focus 09 2010 2011 2012 2013 Preto</t>
  </si>
  <si>
    <t>$ 85.56</t>
  </si>
  <si>
    <t>MLB1988756796</t>
  </si>
  <si>
    <t>Tampa Bomba Combustível Evoque 2.0 Gasolina 2012 2013 2014</t>
  </si>
  <si>
    <t>66</t>
  </si>
  <si>
    <t>$ 220.12</t>
  </si>
  <si>
    <t>MLB1988781236</t>
  </si>
  <si>
    <t>Roda Livre Automatica Original Frontier - 2.8 Preto</t>
  </si>
  <si>
    <t>70</t>
  </si>
  <si>
    <t>$ 406.88</t>
  </si>
  <si>
    <t>MLB1988792599</t>
  </si>
  <si>
    <t>Par De Roda Livre Automatica Original Frontier 402601s700 Preto</t>
  </si>
  <si>
    <t>70-K</t>
  </si>
  <si>
    <t>$ 710.23</t>
  </si>
  <si>
    <t>MLB1988895736</t>
  </si>
  <si>
    <t>Mini Bomba D'água 22w 5m 800l/h 24v Dc Solar/bateria/convers</t>
  </si>
  <si>
    <t>$ 73.24</t>
  </si>
  <si>
    <t>MLB1988957890</t>
  </si>
  <si>
    <t>Cabo Auxiliar Aux Para Radio Original Fiat Punto Linea Stilo</t>
  </si>
  <si>
    <t>100</t>
  </si>
  <si>
    <t>$ 33.41</t>
  </si>
  <si>
    <t>MLB1988959579</t>
  </si>
  <si>
    <t>Boia Sensor Nivel Combustível Honda Crv 2007 A 2011 Gasolina</t>
  </si>
  <si>
    <t>105</t>
  </si>
  <si>
    <t>$ 92.66</t>
  </si>
  <si>
    <t>MLB1988962872</t>
  </si>
  <si>
    <t>Manopla Cromada Voyage / Gol / Saveiro G5 E G6 Original Preto</t>
  </si>
  <si>
    <t>107</t>
  </si>
  <si>
    <t>$ 74.11</t>
  </si>
  <si>
    <t>MLB1988966684</t>
  </si>
  <si>
    <t>Manopla Gol / Voyage / Saveiro G5 E G6 Original Vw Preto</t>
  </si>
  <si>
    <t>$ 76.04</t>
  </si>
  <si>
    <t>MLB1988968514</t>
  </si>
  <si>
    <t>Boia Sensor Nível Combustível Honda Crv 2007 A 2011</t>
  </si>
  <si>
    <t>$ 93.14</t>
  </si>
  <si>
    <t>MLB1988969587</t>
  </si>
  <si>
    <t>Bola Do Cambio Manopla Gol Cromada Voyage Saveiro G5 G6 Preto</t>
  </si>
  <si>
    <t>$ 74.88</t>
  </si>
  <si>
    <t>MLB1988981254</t>
  </si>
  <si>
    <t>Manopla Bola Câmbio Manual 6 Amarok 2011 2012 2013 2014 2015 Preto</t>
  </si>
  <si>
    <t>107-1</t>
  </si>
  <si>
    <t>MLB1990027778</t>
  </si>
  <si>
    <t>Tubo Saída Corpo Borboleta Tbi Sonic 2012 13 2014 55559353</t>
  </si>
  <si>
    <t>115</t>
  </si>
  <si>
    <t>$ 51.90</t>
  </si>
  <si>
    <t>MLB1990042469</t>
  </si>
  <si>
    <t>Mangueira Retorno Reservatóri Água Cruze Tracker 2012 - 2016</t>
  </si>
  <si>
    <t>116</t>
  </si>
  <si>
    <t>$ 74.40</t>
  </si>
  <si>
    <t>MLB1990048537</t>
  </si>
  <si>
    <t>Mangueira Retorno Reservatóri Água Cruze Tracker 2012 À 2016</t>
  </si>
  <si>
    <t>$ 42.49</t>
  </si>
  <si>
    <t>MLB1991208688</t>
  </si>
  <si>
    <t>Junta Da Válvula Vtec Civic Ex 2001 A 2005 - 1.7</t>
  </si>
  <si>
    <t>120</t>
  </si>
  <si>
    <t>$ 39.48</t>
  </si>
  <si>
    <t>MLB1991264780</t>
  </si>
  <si>
    <t>Tampa Reservatório Agua Cruze Onix Spin Sonic Blazer S10</t>
  </si>
  <si>
    <t>150</t>
  </si>
  <si>
    <t>$ 37.92</t>
  </si>
  <si>
    <t>MLB1991268011</t>
  </si>
  <si>
    <t>Tampa Reservatório Água Radiador Spin /tracker Original</t>
  </si>
  <si>
    <t>$ 33.49</t>
  </si>
  <si>
    <t>MLB1991283594</t>
  </si>
  <si>
    <t>Sensor Pressão Map Turbina Pajero Triton L200 Dakar Mr577031</t>
  </si>
  <si>
    <t>154</t>
  </si>
  <si>
    <t>$ 94.34</t>
  </si>
  <si>
    <t>MLB2000704908</t>
  </si>
  <si>
    <t>Amortecedor Gás Ford Hilux 789123400224 1 Unidade</t>
  </si>
  <si>
    <t>$ 213.41</t>
  </si>
  <si>
    <t>MLB2000725808</t>
  </si>
  <si>
    <t>Reservatório Carvão Ativo Canister Jetta 2.0 Audi Tfsi</t>
  </si>
  <si>
    <t>190</t>
  </si>
  <si>
    <t>$ 131</t>
  </si>
  <si>
    <t>MLB2026742005</t>
  </si>
  <si>
    <t>Extensor Válvula Bico Pneu 90 Graus Bike Moto Adaptador Prateado</t>
  </si>
  <si>
    <t>167</t>
  </si>
  <si>
    <t>$ 17.79</t>
  </si>
  <si>
    <t>MLB2026743334</t>
  </si>
  <si>
    <t>Suporte Tampa Tanque Ford Focus 2009-2019</t>
  </si>
  <si>
    <t>61</t>
  </si>
  <si>
    <t>$ 51.73</t>
  </si>
  <si>
    <t>MLB2026788344</t>
  </si>
  <si>
    <t>Manopla Alavanca Manete Freio De Mao Honda New Civic</t>
  </si>
  <si>
    <t>71</t>
  </si>
  <si>
    <t>$ 54.73</t>
  </si>
  <si>
    <t>MLB2026790393</t>
  </si>
  <si>
    <t>Maçaneta Externa Para Sorento 2003 A 2009 Traseira Esquerda</t>
  </si>
  <si>
    <t>198-4</t>
  </si>
  <si>
    <t>$ 143.58</t>
  </si>
  <si>
    <t>MLB2026796766</t>
  </si>
  <si>
    <t>Maçaneta Externa Para Sorento Traseira Esquerda Preta 2003/</t>
  </si>
  <si>
    <t>$ 143.11</t>
  </si>
  <si>
    <t>MLB2026802362</t>
  </si>
  <si>
    <t>Maçaneta Externa Para Kia Sorento Dianteira Direita</t>
  </si>
  <si>
    <t>198-1</t>
  </si>
  <si>
    <t>$ 338.98</t>
  </si>
  <si>
    <t>MLB2026809477</t>
  </si>
  <si>
    <t>Maçaneta Externa Para Kia Sorento Traseira Direita</t>
  </si>
  <si>
    <t>198-3</t>
  </si>
  <si>
    <t>$ 136.70</t>
  </si>
  <si>
    <t>MLB2026820566</t>
  </si>
  <si>
    <t>Kit Alavanca Manopla Freio De Mão Honda New Civic Si 2007-11</t>
  </si>
  <si>
    <t>$ 31.98</t>
  </si>
  <si>
    <t>MLB2027888744</t>
  </si>
  <si>
    <t>Valvula Reguladora Sprinter 415 515 311 Original A6510740084</t>
  </si>
  <si>
    <t>203</t>
  </si>
  <si>
    <t>$ 485.13</t>
  </si>
  <si>
    <t>MLB2028235586</t>
  </si>
  <si>
    <t>Farol Lanterna Fita Led Traseira Pisca Moto Custom Harley</t>
  </si>
  <si>
    <t>228</t>
  </si>
  <si>
    <t>$ 16.92</t>
  </si>
  <si>
    <t>MLB2029586794</t>
  </si>
  <si>
    <t>Esteira Câmbio Automático Jetta Bora Golf Mk4 Passat</t>
  </si>
  <si>
    <t>245</t>
  </si>
  <si>
    <t>$ 224.65</t>
  </si>
  <si>
    <t>MLB2029606011</t>
  </si>
  <si>
    <t>Esteira Do Câmbio Automático Jetta Bora Polo Mk4 Tiptronic</t>
  </si>
  <si>
    <t>$ 178.25</t>
  </si>
  <si>
    <t>MLB2030860768</t>
  </si>
  <si>
    <t>Tubo Duto Entrada Filtro Ar Mercedes A200 Cla200 Gla200 B200</t>
  </si>
  <si>
    <t>279</t>
  </si>
  <si>
    <t>$ 202.57</t>
  </si>
  <si>
    <t>MLB2030919286</t>
  </si>
  <si>
    <t>Sensor Nível Óleo Cebolinha Peugeot 307 408 C4 2.0 16v 1131k</t>
  </si>
  <si>
    <t>292</t>
  </si>
  <si>
    <t>$ 152.19</t>
  </si>
  <si>
    <t>MLB2031655802</t>
  </si>
  <si>
    <t>Lâmpada D4r Xenon Original Toyota Corolla Seg Alti 6000k 1un</t>
  </si>
  <si>
    <t>81</t>
  </si>
  <si>
    <t>$ 115.46</t>
  </si>
  <si>
    <t>MLB2031692044</t>
  </si>
  <si>
    <t>Válvulas De Ar (bico De Roda 11.3mm) Artic. 90º Para Motos</t>
  </si>
  <si>
    <t>169-K</t>
  </si>
  <si>
    <t>MLB2031818180</t>
  </si>
  <si>
    <t>Esteira Do Câmbio Automático Peugeot 307 E Citroen C4</t>
  </si>
  <si>
    <t>312</t>
  </si>
  <si>
    <t>$ 84.73</t>
  </si>
  <si>
    <t>MLB2039755990</t>
  </si>
  <si>
    <t>Esteira Alavanca Cambio Automático Pajero Full Deslizante</t>
  </si>
  <si>
    <t>313</t>
  </si>
  <si>
    <t>$ 54.82</t>
  </si>
  <si>
    <t>MLB2039775254</t>
  </si>
  <si>
    <t>Esteira Alavanca Do Câmbio Pajero Full Acabamento Manopla</t>
  </si>
  <si>
    <t>MLB2041002449</t>
  </si>
  <si>
    <t>Botão Vidro Elétrico Sprinter 311/415/515 - Ld - Passageiro</t>
  </si>
  <si>
    <t>257</t>
  </si>
  <si>
    <t>$ 92.20</t>
  </si>
  <si>
    <t>MLB2041007475</t>
  </si>
  <si>
    <t>Interruptor Botão Vidro Sprinter 311 415 515 Direito Passage</t>
  </si>
  <si>
    <t>$ 83.86</t>
  </si>
  <si>
    <t>MLB2041012158</t>
  </si>
  <si>
    <t>Calibrador Sincronizador Fusion Fiesta Tpms Sensor Pneu Ford</t>
  </si>
  <si>
    <t>99</t>
  </si>
  <si>
    <t>$ 65.62</t>
  </si>
  <si>
    <t>MLB2041023649</t>
  </si>
  <si>
    <t>Bomba Água 12v Circulação Água Quente Solar 800 L/h</t>
  </si>
  <si>
    <t>$ 101.17</t>
  </si>
  <si>
    <t>MLB2041042829</t>
  </si>
  <si>
    <t>Bomba D'água Solar, Aquario, Alta Pressão 12v/24 Dc 19w</t>
  </si>
  <si>
    <t>$ 81.41</t>
  </si>
  <si>
    <t>MLB2041051833</t>
  </si>
  <si>
    <t>Sensor Nível Boia Combustível Ix35 Gasolina 2010/ Sportage</t>
  </si>
  <si>
    <t>223</t>
  </si>
  <si>
    <t>$ 129.47</t>
  </si>
  <si>
    <t>MLB2041090853</t>
  </si>
  <si>
    <t>Par Puxador Porta Dianteira Bmw 320i 328i F30 2013 Á 2017</t>
  </si>
  <si>
    <t>$ 119.96</t>
  </si>
  <si>
    <t>MLB2042391071</t>
  </si>
  <si>
    <t>Engrenagem Caixa Transferência Bmw X3 X5 X6 Servo Atuador</t>
  </si>
  <si>
    <t>$ 98.91</t>
  </si>
  <si>
    <t>MLB2043212082</t>
  </si>
  <si>
    <t>Mangueira Filtro Ar Tbi Nissan Sentra 1.8 2.0 2010 2011 2012</t>
  </si>
  <si>
    <t>53</t>
  </si>
  <si>
    <t>$ 55.20</t>
  </si>
  <si>
    <t>MLB2043231421</t>
  </si>
  <si>
    <t>Mangueira Filtro Ar Tbi Nissan Sentra 2.0 2010 2011 2012</t>
  </si>
  <si>
    <t>$ 76.80</t>
  </si>
  <si>
    <t>MLB2044178742</t>
  </si>
  <si>
    <t>Esguicho Lavagem De Carros Cachorr Pet Chuveiro Pulverizador</t>
  </si>
  <si>
    <t>256</t>
  </si>
  <si>
    <t>$ 49.97</t>
  </si>
  <si>
    <t>MLB2049037465</t>
  </si>
  <si>
    <t>Sensor Tps Posição Borboleta Honda Civic 96 97 98 99 00</t>
  </si>
  <si>
    <t>59</t>
  </si>
  <si>
    <t>$ 89.79</t>
  </si>
  <si>
    <t>MLB2049089564</t>
  </si>
  <si>
    <t>Sensor Tps Posição Borboleta Honda Civic 92 93 94 95 96 4376</t>
  </si>
  <si>
    <t>$ 55.52</t>
  </si>
  <si>
    <t>MLB2055821664</t>
  </si>
  <si>
    <t>Par Puxador Porta Dianteira Bmw 320i 328i F30 2013-2017</t>
  </si>
  <si>
    <t>$ 181.29</t>
  </si>
  <si>
    <t>MLB2059442581</t>
  </si>
  <si>
    <t>Cilindro Atuador Hidráulico Meriva 2012 Easytronic G1d500201</t>
  </si>
  <si>
    <t>319</t>
  </si>
  <si>
    <t>$ 194.56</t>
  </si>
  <si>
    <t>MLB2059448896</t>
  </si>
  <si>
    <t>Cilindro Atuador Hidráulico Meriva Easytronic G1d500201</t>
  </si>
  <si>
    <t>$ 134.23</t>
  </si>
  <si>
    <t>MLB2063101460</t>
  </si>
  <si>
    <t>Sensor Da Direção Hidráulica Renault Clio Sandero Logan</t>
  </si>
  <si>
    <t>316</t>
  </si>
  <si>
    <t>MLB2063120868</t>
  </si>
  <si>
    <t>Sensor Direção Hidráulica Renault Clio Logan Kang 497610324r</t>
  </si>
  <si>
    <t>$ 42.32</t>
  </si>
  <si>
    <t>MLB2063178138</t>
  </si>
  <si>
    <t>Difusor Ar Console Central Jetta 2.5 Original</t>
  </si>
  <si>
    <t>326</t>
  </si>
  <si>
    <t>$ 216.14</t>
  </si>
  <si>
    <t>MLB2063191042</t>
  </si>
  <si>
    <t xml:space="preserve">Difusor Saída Ar Console Central Traseiro Jetta Variant 2.5 </t>
  </si>
  <si>
    <t>$ 247.12</t>
  </si>
  <si>
    <t>MLB2064402990</t>
  </si>
  <si>
    <t>Tampa Lavador Esguicho Farol Direito Focus 2014 A 2015 Preto Direito</t>
  </si>
  <si>
    <t>252-1</t>
  </si>
  <si>
    <t>$ 65.86</t>
  </si>
  <si>
    <t>MLB2064402995</t>
  </si>
  <si>
    <t>Tampa Lavador Esguicho Farol Esquerdo Focus 2014 A 2015 Preto Esquerdo</t>
  </si>
  <si>
    <t>252-2</t>
  </si>
  <si>
    <t>$ 35.82</t>
  </si>
  <si>
    <t>MLB2064415567</t>
  </si>
  <si>
    <t>Par Tampa Esguicho Farol Ford Focus 2014 E 2015</t>
  </si>
  <si>
    <t>252-K</t>
  </si>
  <si>
    <t>$ 169.88</t>
  </si>
  <si>
    <t>MLB2065150709</t>
  </si>
  <si>
    <t>Fechadura Trava Tranca Tampa Porta Malas Hb20s Sedan 2016</t>
  </si>
  <si>
    <t>318</t>
  </si>
  <si>
    <t>$ 80.38</t>
  </si>
  <si>
    <t>MLB2068135950</t>
  </si>
  <si>
    <t>Flange De Água Cabeçote Alumínio Jetta Passat Tiguan 2.0 Tsi</t>
  </si>
  <si>
    <t>327</t>
  </si>
  <si>
    <t>MLB2068147397</t>
  </si>
  <si>
    <t>Lampada Xenon Original Toyota D4r Corolla 35w 12v 4300k 1un</t>
  </si>
  <si>
    <t>82</t>
  </si>
  <si>
    <t>$ 47.68</t>
  </si>
  <si>
    <t>MLB2068200150</t>
  </si>
  <si>
    <t>Lampada Xenon D4r 35w 4300k Corolla Camry Hilux Subaro 2un</t>
  </si>
  <si>
    <t>82-K</t>
  </si>
  <si>
    <t>MLB2068217472</t>
  </si>
  <si>
    <t>Sincronizador Calibrador Tpms Sensor Pneu Ford Fusion Edge</t>
  </si>
  <si>
    <t>$ 51.12</t>
  </si>
  <si>
    <t>MLB2068228159</t>
  </si>
  <si>
    <t>Calibrador Sincronizador Tpms Sensor Pneu Ford Fusion - Edge</t>
  </si>
  <si>
    <t>$ 48.48</t>
  </si>
  <si>
    <t>MLB2068416358</t>
  </si>
  <si>
    <t>Acessórios Honda Civic G10 2017 18 19 Ponteira Escapamento S Cinza</t>
  </si>
  <si>
    <t>160</t>
  </si>
  <si>
    <t>$ 200.81</t>
  </si>
  <si>
    <t>MLB2069105883</t>
  </si>
  <si>
    <t>Suporte Celular Moto Gps Bmw R 1200 R 1250 Gs F 850 F 800 Preto</t>
  </si>
  <si>
    <t>241</t>
  </si>
  <si>
    <t>$ 199.89</t>
  </si>
  <si>
    <t>MLB2069158192</t>
  </si>
  <si>
    <t>Bico Aspersor Nebulizador Irrigação Pulverização Regulável</t>
  </si>
  <si>
    <t>251</t>
  </si>
  <si>
    <t>$ 50.51</t>
  </si>
  <si>
    <t>MLB2070880558</t>
  </si>
  <si>
    <t>Tampa Esguicho Lavador Farol Esquerdo Azera 2012 A 2014 Preto Esquerdo</t>
  </si>
  <si>
    <t>250-2</t>
  </si>
  <si>
    <t>$ 77.70</t>
  </si>
  <si>
    <t>MLB2074931217</t>
  </si>
  <si>
    <t xml:space="preserve">Tampa Filtro Ar Condicionado Fusca Tsi Jetta Passat Tiguan </t>
  </si>
  <si>
    <t>324</t>
  </si>
  <si>
    <t>$ 90.10</t>
  </si>
  <si>
    <t>MLB2077459394</t>
  </si>
  <si>
    <t>Tapete De Água Inflável Atividades Infantil Almofada Bebê</t>
  </si>
  <si>
    <t>350-1</t>
  </si>
  <si>
    <t>$ 28.42</t>
  </si>
  <si>
    <t>MLB2079306227</t>
  </si>
  <si>
    <t>Filtros Combustível Bmw 120i 320i 325i X1 Modelos Actveflex</t>
  </si>
  <si>
    <t>341</t>
  </si>
  <si>
    <t>$ 167.44</t>
  </si>
  <si>
    <t>MLB2079312589</t>
  </si>
  <si>
    <t>Filtro Combustível Bmw F30 320i 2014</t>
  </si>
  <si>
    <t>$ 174.09</t>
  </si>
  <si>
    <t>MLB2079332047</t>
  </si>
  <si>
    <t>Filtro Combustivel Bmw X1 X3 118 320 120 318 16127233840</t>
  </si>
  <si>
    <t>$ 185.69</t>
  </si>
  <si>
    <t>MLB2081890398</t>
  </si>
  <si>
    <t>Marcador Medidor Sensor Nível Combustível Digital Universal</t>
  </si>
  <si>
    <t>342</t>
  </si>
  <si>
    <t>$ 70.44</t>
  </si>
  <si>
    <t>MLB2087066503</t>
  </si>
  <si>
    <t>Boia Nivel Sensor Medidor Tanque Pajero Full - Mr342870</t>
  </si>
  <si>
    <t>343</t>
  </si>
  <si>
    <t>$ 194.01</t>
  </si>
  <si>
    <t>MLB2087259778</t>
  </si>
  <si>
    <t>Lampada Xenon D4s Ou D4r 35w 6000k Corolla Camry Hilux Subar</t>
  </si>
  <si>
    <t>$ 133.36</t>
  </si>
  <si>
    <t>MLB2087277360</t>
  </si>
  <si>
    <t>Lampada Xenon D4r 35w 6000k Corolla Camry Hilux Subar 1un</t>
  </si>
  <si>
    <t>$ 217.18</t>
  </si>
  <si>
    <t>MLB2103546858</t>
  </si>
  <si>
    <t>Anel Vedação Retentor Resfriador Dodge Journey Jeep Pós 13</t>
  </si>
  <si>
    <t>347</t>
  </si>
  <si>
    <t>MLB2103621703</t>
  </si>
  <si>
    <t>Par Tração De Roda F250 F350 F4000 4x4</t>
  </si>
  <si>
    <t>344-K</t>
  </si>
  <si>
    <t>$ 2,232.65</t>
  </si>
  <si>
    <t>MLB2103639726</t>
  </si>
  <si>
    <t>Roda Livre F250 2006 Até 2011 1c3z3b396cb</t>
  </si>
  <si>
    <t>344</t>
  </si>
  <si>
    <t>$ 387.78</t>
  </si>
  <si>
    <t>MLB2108564402</t>
  </si>
  <si>
    <t>Retentor Do Virabrequim Lado Volante Civic 1.7 2001 A 2005</t>
  </si>
  <si>
    <t>360</t>
  </si>
  <si>
    <t>$ 117.09</t>
  </si>
  <si>
    <t>MLB2108564404</t>
  </si>
  <si>
    <t>Retentor Do Virabrequim Lado Volante Honda Civic 1.7 E 1.6</t>
  </si>
  <si>
    <t>$ 66.74</t>
  </si>
  <si>
    <t>MLB2108581259</t>
  </si>
  <si>
    <t>Retentor Do Virabrequim Lado Volante Civic 1.6 1996 A 2000</t>
  </si>
  <si>
    <t>$ 103.08</t>
  </si>
  <si>
    <t>MLB2116318330</t>
  </si>
  <si>
    <t>Sensor Nivel Combustivel Pajero 2.0 2.5 2.8 3.0 3.5 90 A 01</t>
  </si>
  <si>
    <t>354</t>
  </si>
  <si>
    <t>$ 131.96</t>
  </si>
  <si>
    <t>MLB2116324585</t>
  </si>
  <si>
    <t>Sensor Do Nivel Combustivel Pajero Gls-b 2.8 Diesel 90 A 00</t>
  </si>
  <si>
    <t>$ 115.58</t>
  </si>
  <si>
    <t>MLB2116337476</t>
  </si>
  <si>
    <t>Sensor De Nivel Tanque Pajero 2.8 1992 Até 2000</t>
  </si>
  <si>
    <t>$ 119.11</t>
  </si>
  <si>
    <t>MLB2120234033</t>
  </si>
  <si>
    <t>Anel Vedação Completo Resfriador Trocador Journey 3.6 Ate 13</t>
  </si>
  <si>
    <t>346</t>
  </si>
  <si>
    <t>$ 59.92</t>
  </si>
  <si>
    <t>MLB2121300018</t>
  </si>
  <si>
    <t>Botão Vidro Elétrico Sprinter 311/415/515 Esquerdo Motorista</t>
  </si>
  <si>
    <t>352</t>
  </si>
  <si>
    <t>$ 104.90</t>
  </si>
  <si>
    <t>MLB2121300019</t>
  </si>
  <si>
    <t>Comando Botão Interruptor Vidro Eletrico Sprinter Cdi 415</t>
  </si>
  <si>
    <t>$ 89.71</t>
  </si>
  <si>
    <t>MLB2121318800</t>
  </si>
  <si>
    <t>Comando Botao Vidro Eletrico Sprinter 311/ 415/ 515 3 Plugs</t>
  </si>
  <si>
    <t>$ 112.62</t>
  </si>
  <si>
    <t>MLB2121724318</t>
  </si>
  <si>
    <t>Pisca Seta Retrovisor Sonata Lado Direito Carona Original Es Cinza</t>
  </si>
  <si>
    <t>222-1</t>
  </si>
  <si>
    <t>$ 77.08</t>
  </si>
  <si>
    <t>MLB2121738095</t>
  </si>
  <si>
    <t>Pisca Retrovisor Lado Esquerdo Sonata 2011 2012 2013 2014  Cinza</t>
  </si>
  <si>
    <t>222-2</t>
  </si>
  <si>
    <t>$ 80.12</t>
  </si>
  <si>
    <t>MLB2121744443</t>
  </si>
  <si>
    <t>Par Pisca Seta Retrovisor Hyundai Sonata 11 2012 13 14 15 16 Cinza</t>
  </si>
  <si>
    <t>222-K</t>
  </si>
  <si>
    <t>$ 228.82</t>
  </si>
  <si>
    <t>MLB2121775728</t>
  </si>
  <si>
    <t>Cinto Anti Alarme Mitsubishi Pajero Adaptador Segurança</t>
  </si>
  <si>
    <t>333</t>
  </si>
  <si>
    <t>$ 18.96</t>
  </si>
  <si>
    <t>MLB2121794656</t>
  </si>
  <si>
    <t>Cinto Anti Alarme Mitsubishi Pajero Adaptador Segurança- Par</t>
  </si>
  <si>
    <t>333-K</t>
  </si>
  <si>
    <t>$ 30.92</t>
  </si>
  <si>
    <t>MLB2121802426</t>
  </si>
  <si>
    <t>Cinto Anti Alarme Jetta Adaptador Cinto Segurança - Par</t>
  </si>
  <si>
    <t>331-K</t>
  </si>
  <si>
    <t>$ 36.48</t>
  </si>
  <si>
    <t>MLB2127140953</t>
  </si>
  <si>
    <t>Super Broca Helicoidal P/ Solo Terra Jardim Espiral Metal</t>
  </si>
  <si>
    <t>357</t>
  </si>
  <si>
    <t>$ 58.06</t>
  </si>
  <si>
    <t>MLB2127160487</t>
  </si>
  <si>
    <t xml:space="preserve">Super Broca Perfurador Solo Terra Jardim Espiral De Metal </t>
  </si>
  <si>
    <t>$ 38.45</t>
  </si>
  <si>
    <t>MLB2131159219</t>
  </si>
  <si>
    <t>Comando Som Volante L200 Triton Pajero Dakar Outlender</t>
  </si>
  <si>
    <t>363</t>
  </si>
  <si>
    <t>$ 180.66</t>
  </si>
  <si>
    <t>MLB2131178655</t>
  </si>
  <si>
    <t>Par Comando Botão Som Volante Pajero Dakar L200 Triton Asx</t>
  </si>
  <si>
    <t>$ 189.90</t>
  </si>
  <si>
    <t>MLB2136935860</t>
  </si>
  <si>
    <t>Adaptador Sem Fio Wireless Qi Indução Receptor Universal</t>
  </si>
  <si>
    <t>$ 55.67</t>
  </si>
  <si>
    <t>MLB2136951134</t>
  </si>
  <si>
    <t>Receptor Adaptador Qi Carregador Universal Indução Wireless</t>
  </si>
  <si>
    <t>$ 33.91</t>
  </si>
  <si>
    <t>MLB2139730005</t>
  </si>
  <si>
    <t>Tubo Bypass Bomba De Agua Grand Cherokee 3.0 V6 Diesel 2015 Preto</t>
  </si>
  <si>
    <t>369</t>
  </si>
  <si>
    <t>MLB2142097223</t>
  </si>
  <si>
    <t>Cinto Anti Alarme Jetta Adaptador Cinto Segurança</t>
  </si>
  <si>
    <t>331</t>
  </si>
  <si>
    <t>$ 28.26</t>
  </si>
  <si>
    <t>MLB2152568189</t>
  </si>
  <si>
    <t>Display Satlink Tela Lcd 6909 6912 6918 6906 6908 - Novo</t>
  </si>
  <si>
    <t>361</t>
  </si>
  <si>
    <t>$ 200.22</t>
  </si>
  <si>
    <t>MLB2152605963</t>
  </si>
  <si>
    <t>Tela Original 3.5 Lcd Satlink Ws-6902 6905 6906 6908 6909...</t>
  </si>
  <si>
    <t>$ 186.02</t>
  </si>
  <si>
    <t>MLB2152622019</t>
  </si>
  <si>
    <t>Display Tela Lcd Satlink Ws 6950 Hd 3.5 Polegadas</t>
  </si>
  <si>
    <t>$ 199.63</t>
  </si>
  <si>
    <t>MLB2155528272</t>
  </si>
  <si>
    <t>Adaptador Hub Rede Rj45 2usb-c Hdmi Macbookpro 2016/17/18 Cinza</t>
  </si>
  <si>
    <t>141</t>
  </si>
  <si>
    <t>$ 87.35</t>
  </si>
  <si>
    <t>MLB2156469166</t>
  </si>
  <si>
    <t>Fita Par Led Flexível Fina Seqüencial Farol Drl 60 Cm Carro</t>
  </si>
  <si>
    <t>194-K</t>
  </si>
  <si>
    <t>$ 33.84</t>
  </si>
  <si>
    <t>MLB2162495353</t>
  </si>
  <si>
    <t xml:space="preserve">Carcaça E Válvula Termostática Freemont 2.4 Compass 2.0 </t>
  </si>
  <si>
    <t>373</t>
  </si>
  <si>
    <t>$ 424.95</t>
  </si>
  <si>
    <t>MLB2170238955</t>
  </si>
  <si>
    <t>Tampa + Flange Conexão Radiador Freemont 2.4 Dodge Journey</t>
  </si>
  <si>
    <t>371</t>
  </si>
  <si>
    <t>$ 58.59</t>
  </si>
  <si>
    <t>MLB2170257124</t>
  </si>
  <si>
    <t>Tubo Conexão Mangueira Radiador Freemont 2.4 2012/ C/ Tampa</t>
  </si>
  <si>
    <t>$ 58.84</t>
  </si>
  <si>
    <t>MLB2176999312</t>
  </si>
  <si>
    <t xml:space="preserve">Par De Luz Lâmpada Subaquática Azul 27 Leds Lancha Barco </t>
  </si>
  <si>
    <t>377-4-K</t>
  </si>
  <si>
    <t>$ 177.21</t>
  </si>
  <si>
    <t>MLB2177030246</t>
  </si>
  <si>
    <t>Luz Subaquática Submarina 27 Led's 12v Barcos Lanchas Iates</t>
  </si>
  <si>
    <t>$ 93.86</t>
  </si>
  <si>
    <t>MLB2177030248</t>
  </si>
  <si>
    <t>Luz Subaquática 27 Leds Potência 50w Barco Lancha Ip68 12v</t>
  </si>
  <si>
    <t>$ 110.82</t>
  </si>
  <si>
    <t>MLB2179970413</t>
  </si>
  <si>
    <t>Painel Elétrico 5 Chaves 2 Usb Com Voltímetro Lancha Barco</t>
  </si>
  <si>
    <t>380</t>
  </si>
  <si>
    <t>$ 167.77</t>
  </si>
  <si>
    <t>MLB2179982700</t>
  </si>
  <si>
    <t>Painel Elétrico 5 Botões Usb Voltímetro Tomada Gptrend</t>
  </si>
  <si>
    <t>$ 199.67</t>
  </si>
  <si>
    <t>MLB2179988899</t>
  </si>
  <si>
    <t>$ 169.93</t>
  </si>
  <si>
    <t>MLB2180006875</t>
  </si>
  <si>
    <t>$ 169.59</t>
  </si>
  <si>
    <t>MLB2181951634</t>
  </si>
  <si>
    <t>Luz Subaquática Submarina 42 Led's 12v Barcos Lanchas Azul</t>
  </si>
  <si>
    <t>$ 148.36</t>
  </si>
  <si>
    <t>MLB2181971176</t>
  </si>
  <si>
    <t>Luz Subaquática Submarina 42 Led's 12v Barcos Lanchas Iates</t>
  </si>
  <si>
    <t>$ 145.48</t>
  </si>
  <si>
    <t>MLB2612422816</t>
  </si>
  <si>
    <t>Ventosa Manual Sucção Vácuo Marmoraria Profissional 200kg</t>
  </si>
  <si>
    <t>391</t>
  </si>
  <si>
    <t>$ 161.90</t>
  </si>
  <si>
    <t>MLB2612440458</t>
  </si>
  <si>
    <t>8inch Vácuo Ventosa 200kg Capacidade De Rolamento Heavy Duty</t>
  </si>
  <si>
    <t>$ 160.59</t>
  </si>
  <si>
    <t>MLB2661398753</t>
  </si>
  <si>
    <t>Comando Botão Vidro Motorista P/ Fluence 2012 2013 2014 2016</t>
  </si>
  <si>
    <t>398</t>
  </si>
  <si>
    <t>$ 146.55</t>
  </si>
  <si>
    <t>MLB2661418026</t>
  </si>
  <si>
    <t>$ 138.98</t>
  </si>
  <si>
    <t>MLB2661418027</t>
  </si>
  <si>
    <t>Interruptor Botao Comando Vidro Renault Fluence  13 14 15 16</t>
  </si>
  <si>
    <t>$ 191.04</t>
  </si>
  <si>
    <t>MLB2662064371</t>
  </si>
  <si>
    <t>Kit 100 Presilha Grampo Parabarro Parachoque Universal Carro</t>
  </si>
  <si>
    <t>397</t>
  </si>
  <si>
    <t>$ 38.27</t>
  </si>
  <si>
    <t>MLB2662070649</t>
  </si>
  <si>
    <t>$ 35.50</t>
  </si>
  <si>
    <t>MLB2665560176</t>
  </si>
  <si>
    <t>Comando Botão Vidro Elétrico S10 2012 2013 20142015 94728492</t>
  </si>
  <si>
    <t>405</t>
  </si>
  <si>
    <t>$ 118.74</t>
  </si>
  <si>
    <t>MLB2665578070</t>
  </si>
  <si>
    <t>Botão Vidro Eletrico S10 Nova 2012 2013 2014 2015 94728492</t>
  </si>
  <si>
    <t>$ 112.82</t>
  </si>
  <si>
    <t>MLB2665950771</t>
  </si>
  <si>
    <t>Interruptor Botoes Comando Vidro Dianteiro Esq. Peugeot 308</t>
  </si>
  <si>
    <t>401</t>
  </si>
  <si>
    <t>$ 594.08</t>
  </si>
  <si>
    <t>MLB2665997871</t>
  </si>
  <si>
    <t>$ 601.55</t>
  </si>
  <si>
    <t>MLB2674654660</t>
  </si>
  <si>
    <t>Tampa Combustível Kawasaki Z750 Z800 Z1000 Vulcan Versys</t>
  </si>
  <si>
    <t>406</t>
  </si>
  <si>
    <t>$ 285.30</t>
  </si>
  <si>
    <t>MLB2674693047</t>
  </si>
  <si>
    <t>$ 223.89</t>
  </si>
  <si>
    <t>MLB2674699533</t>
  </si>
  <si>
    <t>Tampa De Combustivel Do Tanque De Kavasaki Z100 Er6n Versus Preto E Prata</t>
  </si>
  <si>
    <t>$ 211.43</t>
  </si>
  <si>
    <t>MLB2676804176</t>
  </si>
  <si>
    <t>396</t>
  </si>
  <si>
    <t>$ 21.52</t>
  </si>
  <si>
    <t>MLB2676834764</t>
  </si>
  <si>
    <t>Kit 100 Presilhas Grampos Fixadores Automotivos Acabamentos</t>
  </si>
  <si>
    <t>$ 24.16</t>
  </si>
  <si>
    <t>MLB2676847030</t>
  </si>
  <si>
    <t>Kit 100 Presilha Grampo Fixadores Automotivo Universal Carro</t>
  </si>
  <si>
    <t>$ 23.81</t>
  </si>
  <si>
    <t>MLB2696135527</t>
  </si>
  <si>
    <t>Mangueira Intercooler Turbina Frontier 2013 2014 2015 2016  Preto</t>
  </si>
  <si>
    <t>384</t>
  </si>
  <si>
    <t>$ 218.89</t>
  </si>
  <si>
    <t>MLB2696135528</t>
  </si>
  <si>
    <t>Mangueira Do Intercooler À Turbina Frontier 190cv Ano 2013/  Preto</t>
  </si>
  <si>
    <t>$ 286.58</t>
  </si>
  <si>
    <t>MLB2696185988</t>
  </si>
  <si>
    <t>Mangueira Turbina Frontier 2012 A 2016, Nova Importada</t>
  </si>
  <si>
    <t>$ 287.41</t>
  </si>
  <si>
    <t>MLB2744552225</t>
  </si>
  <si>
    <t>Kit 415 Presilhas Grampos Fixadores Automotivo Carro + Chave</t>
  </si>
  <si>
    <t>408</t>
  </si>
  <si>
    <t>$ 98.93</t>
  </si>
  <si>
    <t>MLB2785924487</t>
  </si>
  <si>
    <t>Suporte Celular Bmw Gs1200 1250 F850 Xr 1000 Por Indução Preto</t>
  </si>
  <si>
    <t>241-1</t>
  </si>
  <si>
    <t>$ 206.82</t>
  </si>
  <si>
    <t>MLB2798849114</t>
  </si>
  <si>
    <t>Mangueira Filtro Ar Tbi Honda Civic 2012-2016 2.0</t>
  </si>
  <si>
    <t>410</t>
  </si>
  <si>
    <t>MLB2798920215</t>
  </si>
  <si>
    <t>Mangueira Filtro De Ar Tbi Honda Civic 2012/2016 17225r1aa01</t>
  </si>
  <si>
    <t>$ 70.59</t>
  </si>
  <si>
    <t>MLB2798936606</t>
  </si>
  <si>
    <t>Mangueira Filtro De Ar Tbi Honda Civic 1.8 2.0 2012 A 2016</t>
  </si>
  <si>
    <t>$ 54.54</t>
  </si>
  <si>
    <t>MLB2891461901</t>
  </si>
  <si>
    <t>Carburador Completo Honda Biz 100 Dream C100 Sundown Web 100</t>
  </si>
  <si>
    <t>411</t>
  </si>
  <si>
    <t>$ 92.34</t>
  </si>
  <si>
    <t>MLB2891591278</t>
  </si>
  <si>
    <t>Enxada Rotativa Para Roçadeira Stihl Fs160 Fs220 Fs280 Fs290</t>
  </si>
  <si>
    <t>$ 286.05</t>
  </si>
  <si>
    <t>MLB2891603596</t>
  </si>
  <si>
    <t>Carburador Honda Biz-100 1998 A 2005 Mod Original</t>
  </si>
  <si>
    <t>$ 71.42</t>
  </si>
  <si>
    <t>MLB2891603600</t>
  </si>
  <si>
    <t>Carburador Biz 100 1998 Ate 2001 2002 2003 2004 2005 - Scud</t>
  </si>
  <si>
    <t>$ 107.06</t>
  </si>
  <si>
    <t>MLB2891885208</t>
  </si>
  <si>
    <t>Não foi possível adicionar este dado</t>
  </si>
  <si>
    <t>MLB2891885210</t>
  </si>
  <si>
    <t>Enxada Rotativa Para Roçadeira Stihl 360mm Grande</t>
  </si>
  <si>
    <t>$ 406.52</t>
  </si>
  <si>
    <t>MLB2894818909</t>
  </si>
  <si>
    <t>Cebolinha Cebolão Radiador Cb500 Hornet Shadow Cbr900 1100xx</t>
  </si>
  <si>
    <t>$ 57.61</t>
  </si>
  <si>
    <t>MLB2894827496</t>
  </si>
  <si>
    <t>$ 60.28</t>
  </si>
  <si>
    <t>MLB2894827501</t>
  </si>
  <si>
    <t>Tampa Portinhola Focus Pintada Branco Ártico 2009 Até 2013</t>
  </si>
  <si>
    <t>$ 65.35</t>
  </si>
  <si>
    <t>MLB2895026084</t>
  </si>
  <si>
    <t>Bomba Combustível Ford Focus 2.0 16v Duratec 08/09 Gasolina</t>
  </si>
  <si>
    <t>$ 538.91</t>
  </si>
  <si>
    <t>MLB2895044652</t>
  </si>
  <si>
    <t>Bomba De Combustível Ford Focus 2.0 16v Duratec 2009</t>
  </si>
  <si>
    <t>$ 458.39</t>
  </si>
  <si>
    <t>MLB2915600373</t>
  </si>
  <si>
    <t>Tampa Esguicho Parachoque Focus 2014 2015 Lado Direito Preto Direito</t>
  </si>
  <si>
    <t>$ 42.40</t>
  </si>
  <si>
    <t>MLB2925294409</t>
  </si>
  <si>
    <t>Sensor Tracker Suzuki Detonação 18640-78g00 Vitara Sx4</t>
  </si>
  <si>
    <t>$ 105.48</t>
  </si>
  <si>
    <t>MLB2926088479</t>
  </si>
  <si>
    <t>Retentor Do Comando De Válvulas Cruze Sonic Tracker 1.6/1.8</t>
  </si>
  <si>
    <t>$ 44.96</t>
  </si>
  <si>
    <t>MLB2926358623</t>
  </si>
  <si>
    <t>Receptor Carregador Adaptador Sem Fio Wireless Qi Indução Nf</t>
  </si>
  <si>
    <t>$ 44.26</t>
  </si>
  <si>
    <t>MLB2928466676</t>
  </si>
  <si>
    <t>Sensor Pressão Pneu Tpms Gm Captiva Camaro</t>
  </si>
  <si>
    <t>$ 54.03</t>
  </si>
  <si>
    <t>MLB2928632506</t>
  </si>
  <si>
    <t>Sensor Tpms Pressão Pneu Gm, Captiva, Camaro E Malibu</t>
  </si>
  <si>
    <t>$ 124.30</t>
  </si>
  <si>
    <t>MLB2928702784</t>
  </si>
  <si>
    <t>Mangueira Filtro De Ar Nissan Sentra 2.0 16v 08/14</t>
  </si>
  <si>
    <t>$ 55.51</t>
  </si>
  <si>
    <t>MLB2928706612</t>
  </si>
  <si>
    <t>Roda Livre Automática Nissan Frontier X-terra D22 Pickup Preto</t>
  </si>
  <si>
    <t>$ 387.71</t>
  </si>
  <si>
    <t>MLB2928757624</t>
  </si>
  <si>
    <t>Roda Livre Automática Nissan Frontier X-terra Navara D22, Preto</t>
  </si>
  <si>
    <t>$ 429.29</t>
  </si>
  <si>
    <t>MLB2928792686</t>
  </si>
  <si>
    <t>Mangueira Filtro Ar Tbi Nissan Sentra 1.8 16v 2007 Ate 2013</t>
  </si>
  <si>
    <t>$ 54.99</t>
  </si>
  <si>
    <t>MLB2928799512</t>
  </si>
  <si>
    <t>Mangueira Filtro Ar Tbi Nissan Sentra 1.8 2.0 2007-2013</t>
  </si>
  <si>
    <t>$ 61.69</t>
  </si>
  <si>
    <t>MLB2928808856</t>
  </si>
  <si>
    <t>Roda Livre Automática Nissan Frontier Xterra D22 Pick Up Preto</t>
  </si>
  <si>
    <t>$ 307.27</t>
  </si>
  <si>
    <t>MLB2928814459</t>
  </si>
  <si>
    <t>Roda Livre Automática Nissan Frontier X-terra D22 Pick Up Preto</t>
  </si>
  <si>
    <t>MLB2928875422</t>
  </si>
  <si>
    <t>Par Roda Livre Automática Nissan Frontier X-terra Pick Up Preto</t>
  </si>
  <si>
    <t>$ 711.11</t>
  </si>
  <si>
    <t>MLB2929577661</t>
  </si>
  <si>
    <t>Acessorios Ponteira Inox Civic G10 2017 2018 2020 Geração 10 Cinza</t>
  </si>
  <si>
    <t>$ 192.74</t>
  </si>
  <si>
    <t>MLB2929577668</t>
  </si>
  <si>
    <t>Acessorios Ponteira Escape Honda Civic Touring Turbo G10</t>
  </si>
  <si>
    <t>$ 117.32</t>
  </si>
  <si>
    <t>MLB2929577676</t>
  </si>
  <si>
    <t>Ponteira Honda Civic 2017 2018 2019 2020 . G-10 Em Aço Inox</t>
  </si>
  <si>
    <t>$ 84.89</t>
  </si>
  <si>
    <t>MLB2929686863</t>
  </si>
  <si>
    <t>Ponteira De Escape  Honda Civic Touring Turbo G10  Par  Cromado</t>
  </si>
  <si>
    <t>160-K</t>
  </si>
  <si>
    <t>$ 194.20</t>
  </si>
  <si>
    <t>MLB2929724640</t>
  </si>
  <si>
    <t>Par Ponteira De Escape  Honda Civic Touring Turbo G10</t>
  </si>
  <si>
    <t>$ 196.06</t>
  </si>
  <si>
    <t>MLB2929724830</t>
  </si>
  <si>
    <t>Ponteira De Escape  Honda Civic Touring Turbo G10  Par  Cinza</t>
  </si>
  <si>
    <t>$ 199.55</t>
  </si>
  <si>
    <t>MLB2931735593</t>
  </si>
  <si>
    <t>Sensor Pressão Flauta Common Rail Ranger Troller 3.0 Diesel</t>
  </si>
  <si>
    <t>$ 146.90</t>
  </si>
  <si>
    <t>MLB2933316403</t>
  </si>
  <si>
    <t>Sensor De Nível Ford Focus 2.0 Duratec 2008/2009 Gasolina</t>
  </si>
  <si>
    <t>$ 138.53</t>
  </si>
  <si>
    <t>MLB2935288462</t>
  </si>
  <si>
    <t>Bomba Combustivel Gasolina Honda Shadow Vt 600 1996 - 2005</t>
  </si>
  <si>
    <t>$ 107.89</t>
  </si>
  <si>
    <t>MLB2935746873</t>
  </si>
  <si>
    <t>Cebolão Interruptor Ventoinha Honda Fit 1.4 2003 2004 2005</t>
  </si>
  <si>
    <t>$ 106.31</t>
  </si>
  <si>
    <t>MLB2935823315</t>
  </si>
  <si>
    <t>Cebolão Interruptor Ventoinha Honda Civic 1.7 2001 2002 2006</t>
  </si>
  <si>
    <t>$ 186.45</t>
  </si>
  <si>
    <t>MLB2939497937</t>
  </si>
  <si>
    <t>$ 16.70</t>
  </si>
  <si>
    <t>MLB2939497942</t>
  </si>
  <si>
    <t>Extensor Válvula Bico Pneu 90 Graus Silver Moto Adaptador Prateado</t>
  </si>
  <si>
    <t>$ 17.11</t>
  </si>
  <si>
    <t>MLB2939511483</t>
  </si>
  <si>
    <t>2x Extensor Válvula Bico Pneu 90 Graus Bike Moto Adaptador Prateado</t>
  </si>
  <si>
    <t>167-K</t>
  </si>
  <si>
    <t>$ 22.21</t>
  </si>
  <si>
    <t>MLB2939608866</t>
  </si>
  <si>
    <t>$ 39.07</t>
  </si>
  <si>
    <t>MLB2939965585</t>
  </si>
  <si>
    <t>Válvula Bico Esportivo Pneu Moto 90 Graus Alumínio (par)</t>
  </si>
  <si>
    <t>$ 30.32</t>
  </si>
  <si>
    <t>MLB2950828149</t>
  </si>
  <si>
    <t>Lanterna De Freio E Pisca Moto Custom Cafe Racer Fita 48 Led Vermelho</t>
  </si>
  <si>
    <t>$ 25.21</t>
  </si>
  <si>
    <t>MLB2969404153</t>
  </si>
  <si>
    <t>Manopla Câmbio Manual Bola 6 Marchas Volkswagen Amarok Preto</t>
  </si>
  <si>
    <t>$ 100.50</t>
  </si>
  <si>
    <t>MLB2981545786</t>
  </si>
  <si>
    <t>Sensor Tps Posição Borboleta Honda Civic 1992 93 94 A 2000</t>
  </si>
  <si>
    <t>$ 97.18</t>
  </si>
  <si>
    <t>MLB2981782049</t>
  </si>
  <si>
    <t>Sensor Tps Posição Borboleta Honda Civic Accord Crv Prelude</t>
  </si>
  <si>
    <t>MLB2982339511</t>
  </si>
  <si>
    <t>Manopla Câmbio Automático Ford Focus 2009 2010 2011 12 Capa Preto</t>
  </si>
  <si>
    <t>MLB2982488710</t>
  </si>
  <si>
    <t>Flange Tampa Bomba Combustivel Evoque 2.0 Freelander 2 3.2</t>
  </si>
  <si>
    <t>$ 215.51</t>
  </si>
  <si>
    <t>MLB2985989720</t>
  </si>
  <si>
    <t>Par Lampada Xenon Corolla D4r 35w Altis Seg Original Toyota</t>
  </si>
  <si>
    <t>$ 136.69</t>
  </si>
  <si>
    <t>MLB2986034942</t>
  </si>
  <si>
    <t>Par Lampada Xenon Corolla D4r 35w 4300k Altis Seg Original</t>
  </si>
  <si>
    <t>$ 128.38</t>
  </si>
  <si>
    <t>MLB2986429903</t>
  </si>
  <si>
    <t>Calibrador Sincronizador Tpms Sensor Pneu Ford Fusion Edge</t>
  </si>
  <si>
    <t>$ 51.93</t>
  </si>
  <si>
    <t>MLB2986735609</t>
  </si>
  <si>
    <t>Puxador Interno Porta Bmw 528i 535i 550i M5 Ostra 2011-2016 Bege</t>
  </si>
  <si>
    <t>275-19</t>
  </si>
  <si>
    <t>$ 188.56</t>
  </si>
  <si>
    <t>MLB2988875377</t>
  </si>
  <si>
    <t>Mangueira De Retorno Dos Bicos Sprinter 311 - 415 / 515</t>
  </si>
  <si>
    <t>134</t>
  </si>
  <si>
    <t>$ 118.61</t>
  </si>
  <si>
    <t>MLB2988887230</t>
  </si>
  <si>
    <t>Mangueira Retorno Diesel Bico Injetor Sprinter 311 415 515</t>
  </si>
  <si>
    <t>$ 100.17</t>
  </si>
  <si>
    <t>MLB2988892377</t>
  </si>
  <si>
    <t>Mangueira De Retorno Dos Bicos Sprinter 311 - 415 - 515</t>
  </si>
  <si>
    <t>$ 117.02</t>
  </si>
  <si>
    <t>MLB2989066400</t>
  </si>
  <si>
    <t>Enxada Rotativa Para Roçadeira Stihl Fs80 Fs85 Fs120 Fs200</t>
  </si>
  <si>
    <t>$ 414.79</t>
  </si>
  <si>
    <t>MLB2991319103</t>
  </si>
  <si>
    <t>Marcador Medidor Sensor Nível De Combustível Digital</t>
  </si>
  <si>
    <t>$ 75.32</t>
  </si>
  <si>
    <t>MLB2991685459</t>
  </si>
  <si>
    <t>Engrenagem Caixa De Transferencia Bmw X3 3.0</t>
  </si>
  <si>
    <t>$ 107.11</t>
  </si>
  <si>
    <t>MLB2991886117</t>
  </si>
  <si>
    <t>Sensor Modulador Turbina L200 Pajero Sport 2.5 Diesel Orig.</t>
  </si>
  <si>
    <t>$ 98.01</t>
  </si>
  <si>
    <t>MLB2991886131</t>
  </si>
  <si>
    <t>Sensor Pressão Turbina Map Mr577031 Triton Pajero L200</t>
  </si>
  <si>
    <t>MLB2991898563</t>
  </si>
  <si>
    <t>Sensor Map/ Pressão Turbina Mitsubishi L200 Outdoor 2.5</t>
  </si>
  <si>
    <t>$ 98.74</t>
  </si>
  <si>
    <t>MLB2991916441</t>
  </si>
  <si>
    <t>Sensor Map/ Pressão Turbina Mitsubishi L200 2.5 Diesel</t>
  </si>
  <si>
    <t>$ 130.30</t>
  </si>
  <si>
    <t>MLB2991925626</t>
  </si>
  <si>
    <t>Par Pisca Seta Sequencial Retrovisor Focus 2014 2015 2016 Dourado-escuro</t>
  </si>
  <si>
    <t>181</t>
  </si>
  <si>
    <t>$ 158.48</t>
  </si>
  <si>
    <t>MLB2991949069</t>
  </si>
  <si>
    <t>Seta Retrovisor Sequencial Led Ford Focus Mk2mk3 2008 A 2018 Dourado-escuro</t>
  </si>
  <si>
    <t>$ 167.38</t>
  </si>
  <si>
    <t>MLB2996495088</t>
  </si>
  <si>
    <t>Amortecedor Mola Gás Tampa Caçamba Ranger S10 Hilux Nissan</t>
  </si>
  <si>
    <t>$ 135.82</t>
  </si>
  <si>
    <t>MLB2996495099</t>
  </si>
  <si>
    <t>Amortecedor De Caçamba Tampa Traseira S10 Lt Ltz 2013 2022</t>
  </si>
  <si>
    <t>$ 135.45</t>
  </si>
  <si>
    <t>MLB2997016830</t>
  </si>
  <si>
    <t>Amortecedor Tampa Caçamba Traseira Ford Ranger 2013 À 2023</t>
  </si>
  <si>
    <t>$ 212.58</t>
  </si>
  <si>
    <t>MLB2997023189</t>
  </si>
  <si>
    <t>Amortecedor A Gás Caçamba Chevrolet S10 Lt Ltz 2013 2022</t>
  </si>
  <si>
    <t>$ 212.84</t>
  </si>
  <si>
    <t>MLB2997355688</t>
  </si>
  <si>
    <t>Valvula Reguladora Bomba Hr Kia Bongo Sprinter 9109-946 C/nf</t>
  </si>
  <si>
    <t>$ 418.94</t>
  </si>
  <si>
    <t>MLB2997613063</t>
  </si>
  <si>
    <t>Botão Alavanca Câmbio Automático Honda Accord 1998-2002</t>
  </si>
  <si>
    <t>$ 74.52</t>
  </si>
  <si>
    <t>MLB2997727098</t>
  </si>
  <si>
    <t>Kit Botão Câmbio Honda Accord 1994 À 2002 Com Mola</t>
  </si>
  <si>
    <t>$ 53.90</t>
  </si>
  <si>
    <t>MLB2997738939</t>
  </si>
  <si>
    <t>Botão Do Cambio Automático Do Honda Accord 98 A 02</t>
  </si>
  <si>
    <t>$ 73.55</t>
  </si>
  <si>
    <t>MLB3006387706</t>
  </si>
  <si>
    <t>Bico Aspersor Nebulizador 1/2 Latão Metal Regul</t>
  </si>
  <si>
    <t>$ 60.23</t>
  </si>
  <si>
    <t>MLB3006620220</t>
  </si>
  <si>
    <t>Botão Vidro Elétrico Sprinter 311/415/515 Lado Direito</t>
  </si>
  <si>
    <t>$ 91.70</t>
  </si>
  <si>
    <t>MLB3006767607</t>
  </si>
  <si>
    <t>$ 102.62</t>
  </si>
  <si>
    <t>MLB3021370421</t>
  </si>
  <si>
    <t>Grade Cromado Dianteira Civic 2017 2018 2019 Prateado Cromado</t>
  </si>
  <si>
    <t>416</t>
  </si>
  <si>
    <t>$ 310.44</t>
  </si>
  <si>
    <t>MLB3021620072</t>
  </si>
  <si>
    <t>Friso Da Grade Cromado Dianteira Civic 2017 2018 2019</t>
  </si>
  <si>
    <t>$ 229.81</t>
  </si>
  <si>
    <t>MLB3021620083</t>
  </si>
  <si>
    <t>Aplique Friso Cromado Grade Dianteira Civic 2017 2018 2019 Prateado Cromado</t>
  </si>
  <si>
    <t>$ 288.67</t>
  </si>
  <si>
    <t>MLB3022189347</t>
  </si>
  <si>
    <t>$ 205.24</t>
  </si>
  <si>
    <t>MLB3022302274</t>
  </si>
  <si>
    <t>$ 197.19</t>
  </si>
  <si>
    <t>MLB3030582867</t>
  </si>
  <si>
    <t>$ 184.05</t>
  </si>
  <si>
    <t>MLB3031977976</t>
  </si>
  <si>
    <t>Deslizante / Esteira Alavanca Cambio Automático Pajero Full</t>
  </si>
  <si>
    <t>$ 54.64</t>
  </si>
  <si>
    <t>MLB3032604721</t>
  </si>
  <si>
    <t>Sensor De Direção Hidr. Renault Sandero Clio Logan Duster</t>
  </si>
  <si>
    <t>$ 62.27</t>
  </si>
  <si>
    <t>MLB3032696999</t>
  </si>
  <si>
    <t>Fechadura Trava Tranca Tampa Porta Malas Hb20s Sedan</t>
  </si>
  <si>
    <t>MLB3032760921</t>
  </si>
  <si>
    <t>MLB3033139250</t>
  </si>
  <si>
    <t>Snow Foam Esguicho Shampoozeira Lavagem Cera Reservatório</t>
  </si>
  <si>
    <t>$ 44.72</t>
  </si>
  <si>
    <t>MLB3036134540</t>
  </si>
  <si>
    <t>Conexão Flange De Água Cabeçote Jetta Passat Tiguan 2.0 Tsi</t>
  </si>
  <si>
    <t>$ 74.39</t>
  </si>
  <si>
    <t>MLB3042268759</t>
  </si>
  <si>
    <t>Relógio Marcador Combustível Digital 52mm Universal 12v Led</t>
  </si>
  <si>
    <t>MLB3042535174</t>
  </si>
  <si>
    <t>$ 69.64</t>
  </si>
  <si>
    <t>MLB3042634461</t>
  </si>
  <si>
    <t>Carburador Honda Biz 100 Sundown Web 100 Dream C100 98a 2005</t>
  </si>
  <si>
    <t>MLB3050000331</t>
  </si>
  <si>
    <t>Friso Cromado Moldura Grade Civic 2017 2018 2019 G10</t>
  </si>
  <si>
    <t>$ 291.03</t>
  </si>
  <si>
    <t>MLB3076878592</t>
  </si>
  <si>
    <t>Boia Do Tanque De Pajero Gls-b Glx 2.8 8v Diesel 1990 A 2000</t>
  </si>
  <si>
    <t>$ 119.18</t>
  </si>
  <si>
    <t>MLB3076885083</t>
  </si>
  <si>
    <t>Medidor De Combustivel Pajero Gls-b 2.8 8v Diesel 90 A 2000</t>
  </si>
  <si>
    <t>$ 153.07</t>
  </si>
  <si>
    <t>MLB3079660599</t>
  </si>
  <si>
    <t>Painel Botão Vidro Eletrico Sprinter 415 2017 2018 2019 2021</t>
  </si>
  <si>
    <t>$ 120.91</t>
  </si>
  <si>
    <t>MLB3079691929</t>
  </si>
  <si>
    <t>$ 149.74</t>
  </si>
  <si>
    <t>MLB3079904547</t>
  </si>
  <si>
    <t>Maçaneta Externa Sorento 2004 A 2009 Dianteira Direita</t>
  </si>
  <si>
    <t>$ 283.31</t>
  </si>
  <si>
    <t>MLB3081508110</t>
  </si>
  <si>
    <t>Esgicho Espuma Pulverizador Agua P/ Mangueira Jardim Tanque</t>
  </si>
  <si>
    <t>$ 48.68</t>
  </si>
  <si>
    <t>MLB3081705456</t>
  </si>
  <si>
    <t>Esguicho Ducha Banho Cavalo Cachorro Gatos Carro Pet Plantas</t>
  </si>
  <si>
    <t>$ 46.91</t>
  </si>
  <si>
    <t>MLB3124015905</t>
  </si>
  <si>
    <t>Lampada D4r Xenon Original Toyota Corola Altis 6000k 2un</t>
  </si>
  <si>
    <t>81-K</t>
  </si>
  <si>
    <t>$ 139.36</t>
  </si>
  <si>
    <t>MLB3124052019</t>
  </si>
  <si>
    <t>Original Lampada Xenon D4r Toyota Corolla Altis 2011 2012 13</t>
  </si>
  <si>
    <t>MLB3125546946</t>
  </si>
  <si>
    <t>Tubo Duto Intercooler Turbina Frontier 2013 2014 2015 2016 Preto</t>
  </si>
  <si>
    <t>$ 239.77</t>
  </si>
  <si>
    <t>MLB3137138717</t>
  </si>
  <si>
    <t>Sincronizador Calibrador Tpms Sensor Pneu Gm S10 Agile Onix</t>
  </si>
  <si>
    <t>99-1</t>
  </si>
  <si>
    <t>$ 45.84</t>
  </si>
  <si>
    <t>MLB3137145071</t>
  </si>
  <si>
    <t>Calibrador Linha Gm Ativação Sensor Pneu Tpms El 50448</t>
  </si>
  <si>
    <t>MLB3137151472</t>
  </si>
  <si>
    <t>Sincronizador Calibrador Tpms Sensor Pneu Gm S10 Onix Agile</t>
  </si>
  <si>
    <t>MLB3137151482</t>
  </si>
  <si>
    <t>Ferramenta De Ativação Sensor Pressão Pneu Tpms Gm El 50448</t>
  </si>
  <si>
    <t>$ 54.80</t>
  </si>
  <si>
    <t>MLB3151181904</t>
  </si>
  <si>
    <t>Adaptador Gps Suporte Celular Moto Bmw 1200 1250 R1200 R1250 Preto</t>
  </si>
  <si>
    <t>$ 176.51</t>
  </si>
  <si>
    <t>MLB3151206855</t>
  </si>
  <si>
    <t>Suporte Adaptador Celular Gps Para Bmw R 1250 R 1200 Gs Preto</t>
  </si>
  <si>
    <t>$ 265.82</t>
  </si>
  <si>
    <t>MLB3151207086</t>
  </si>
  <si>
    <t>Suporte Bmw Celular Moto Gps R 1200 R 1250 Gs F 850 F 800 Preto</t>
  </si>
  <si>
    <t>$ 174.49</t>
  </si>
  <si>
    <t>MLB3151829015</t>
  </si>
  <si>
    <t>Maçaneta Externa Para Sorento Traseira Direita Preta 2003/ Preto Traseira</t>
  </si>
  <si>
    <t>$ 152.52</t>
  </si>
  <si>
    <t>MLB3178397785</t>
  </si>
  <si>
    <t>Boia Sensor Nível De Combustível Honda Cr-v 2007 A 2011 Novo</t>
  </si>
  <si>
    <t>$ 115.36</t>
  </si>
  <si>
    <t>MLB3243093717</t>
  </si>
  <si>
    <t>Roda Livre Ford F250 F350 F450 F550 4x4 Dianteira 4wd</t>
  </si>
  <si>
    <t>$ 329.49</t>
  </si>
  <si>
    <t>MLB3243118011</t>
  </si>
  <si>
    <t>Roda Livre Automática Ford F250 F350 F450 F550 Super Duty 4w</t>
  </si>
  <si>
    <t>$ 390.90</t>
  </si>
  <si>
    <t>MLB3254083015</t>
  </si>
  <si>
    <t>Radiador De Arrefecimento Jac J3 1.4 1.5 12/18 Gas. G-8004</t>
  </si>
  <si>
    <t>417</t>
  </si>
  <si>
    <t>$ 357.71</t>
  </si>
  <si>
    <t>MLB3265912775</t>
  </si>
  <si>
    <t>Caixa Modulo Bsm Peugeot 206 207 307 Citroen C3 C4 1.6 1.4</t>
  </si>
  <si>
    <t>$ 560.91</t>
  </si>
  <si>
    <t>MLB3269670502</t>
  </si>
  <si>
    <t>Radiador De Arrefecimento Jac J3 1.4 1.5 12/18 Gasolina 8004</t>
  </si>
  <si>
    <t>$ 387.05</t>
  </si>
  <si>
    <t>MLB3269880568</t>
  </si>
  <si>
    <t>Radiador Motor Arrefecimento Jac J3 1.4 1.5 12a18  G-8004</t>
  </si>
  <si>
    <t>$ 363.56</t>
  </si>
  <si>
    <t>MLB3271833971</t>
  </si>
  <si>
    <t>Junta Valvula Vtec Honda Civic Ex 1998-2005 1.6 1.7 Original</t>
  </si>
  <si>
    <t>$ 31.82</t>
  </si>
  <si>
    <t>MLB3277994325</t>
  </si>
  <si>
    <t>Pisca Retrovisor Hyundai Sonata Lado Direito Importado Novo Cinza</t>
  </si>
  <si>
    <t>$ 257.92</t>
  </si>
  <si>
    <t>MLB3279320197</t>
  </si>
  <si>
    <t>Tampa Esguicho Agua Farol Xenon Hyundai Azera 2012 A 14 Esq Preto Esquerdo</t>
  </si>
  <si>
    <t>MLB3285225831</t>
  </si>
  <si>
    <t>$ 144.20</t>
  </si>
  <si>
    <t>MLB3285238549</t>
  </si>
  <si>
    <t>$ 148.14</t>
  </si>
  <si>
    <t>MLB3286413697</t>
  </si>
  <si>
    <t>Roda Livre Manual Gptrend Ford Ranger Tração 4x4</t>
  </si>
  <si>
    <t>367-K</t>
  </si>
  <si>
    <t>$ 649.07</t>
  </si>
  <si>
    <t>MLB3287240077</t>
  </si>
  <si>
    <t>Display Tela Satlink Lcd 6906 6908 6909 6912 6918 Original</t>
  </si>
  <si>
    <t>MLB3287683073</t>
  </si>
  <si>
    <t>$ 216.56</t>
  </si>
  <si>
    <t>MLB3288374879</t>
  </si>
  <si>
    <t>Puxador Interno Porta Bmw 528i 535i 550i M5 Bege 2011 - 2016 Bege</t>
  </si>
  <si>
    <t>$ 381.59</t>
  </si>
  <si>
    <t>MLB3298324219</t>
  </si>
  <si>
    <t>Módulo Placa Fusíveis Bateria Peugeot 3008 C4 Picasso 6500gr</t>
  </si>
  <si>
    <t>291-1</t>
  </si>
  <si>
    <t>$ 694.44</t>
  </si>
  <si>
    <t>MLB3298348397</t>
  </si>
  <si>
    <t>Módulo Placa De Fusíveis Bateria Peugeot 3008 Citroen C4</t>
  </si>
  <si>
    <t>$ 557.13</t>
  </si>
  <si>
    <t>MLB3298372667</t>
  </si>
  <si>
    <t>$ 736.81</t>
  </si>
  <si>
    <t>MLB3306414961</t>
  </si>
  <si>
    <t>Botão Da Alavanca Câmbio Automático Honda Accord 03 04 05</t>
  </si>
  <si>
    <t>$ 67.32</t>
  </si>
  <si>
    <t>MLB3306436271</t>
  </si>
  <si>
    <t>Botão Da Alavanca Do Câmbio Automático Honda Accord 03-05</t>
  </si>
  <si>
    <t>$ 65.52</t>
  </si>
  <si>
    <t>MLB3310247655</t>
  </si>
  <si>
    <t>Ponteira De Escapamento Inox Honda Civic G10 2017 18 19 20</t>
  </si>
  <si>
    <t>$ 79.68</t>
  </si>
  <si>
    <t>MLB3331195036</t>
  </si>
  <si>
    <t>Mangueira Retorno Reservatório Água Gm Cruze 2012 2013 2014</t>
  </si>
  <si>
    <t>$ 54.44</t>
  </si>
  <si>
    <t>MLB3336927641</t>
  </si>
  <si>
    <t>Hub Usb-c 8 Em 1 Com Hdmi 4k E Rj45 Para Macbook Pro Dell Cinza</t>
  </si>
  <si>
    <t>$ 90.04</t>
  </si>
  <si>
    <t>MLB3343874347</t>
  </si>
  <si>
    <t>Tela Toque Touch Screen Citroen C4 Cactus Peugeot 208 2008</t>
  </si>
  <si>
    <t>415</t>
  </si>
  <si>
    <t>MLB3343944605</t>
  </si>
  <si>
    <t>Tela Toque Touch Screen Multimídia Citroen C4 Cactus Lounge</t>
  </si>
  <si>
    <t>$ 142.37</t>
  </si>
  <si>
    <t>MLB3347878458</t>
  </si>
  <si>
    <t>Caixa Bsm Peugeot 206, 207, 307 1.4 E 1.6 Citroen Original</t>
  </si>
  <si>
    <t>$ 495.86</t>
  </si>
  <si>
    <t>MLB3349539231</t>
  </si>
  <si>
    <t>Botão Interruptor Vidro Elétrico Renault Fluence 2013 2014</t>
  </si>
  <si>
    <t>$ 149.12</t>
  </si>
  <si>
    <t>MLB3355603269</t>
  </si>
  <si>
    <t>Tampa Tanque Combustível Kawasaki Z750 Z800 Z1000 Vulcan</t>
  </si>
  <si>
    <t>MLB3355639123</t>
  </si>
  <si>
    <t>Placa Fusíveis Bateria Peugeot 3008 C4 Picasso 28236841 Bpga</t>
  </si>
  <si>
    <t>$ 747.93</t>
  </si>
  <si>
    <t>MLB3361987231</t>
  </si>
  <si>
    <t>Medidor Fluxo Ar Maf Suzuki Vitara Tracker Sidekick 1.6 2.0</t>
  </si>
  <si>
    <t>310</t>
  </si>
  <si>
    <t>$ 270.36</t>
  </si>
  <si>
    <t>MLB3373224124</t>
  </si>
  <si>
    <t>Alavanca Freio De Mão Honda New Civic 2007-2011 Original</t>
  </si>
  <si>
    <t>$ 38.80</t>
  </si>
  <si>
    <t>MLB3374294788</t>
  </si>
  <si>
    <t>Junta Anel Filtro Valvula Selenoide Vtec Honda Civic 1.6 1.7</t>
  </si>
  <si>
    <t>$ 46.12</t>
  </si>
  <si>
    <t>MLB3374664285</t>
  </si>
  <si>
    <t>$ 170.87</t>
  </si>
  <si>
    <t>MLB3377290785</t>
  </si>
  <si>
    <t>Esguicho Prg Snow Foam Shampoozeira 1l Limpeza Veículo</t>
  </si>
  <si>
    <t>MLB3379329771</t>
  </si>
  <si>
    <t>Bico Nebulizador Aspersor 1/2 Latão Horta Estufa Jardim</t>
  </si>
  <si>
    <t>$ 91.76</t>
  </si>
  <si>
    <t>MLB3379860753</t>
  </si>
  <si>
    <t>Botao Vidro Eletrico S10 Nova 2012 2013 2014 2015 Quadrupulo</t>
  </si>
  <si>
    <t>$ 114.70</t>
  </si>
  <si>
    <t>MLB3381044631</t>
  </si>
  <si>
    <t>Manopla Cambio Automatico Ford Focus 2009 A 2013 Preto</t>
  </si>
  <si>
    <t>MLB3386957411</t>
  </si>
  <si>
    <t>Ducha Spray Jato Mangueira Banho Cães E Gatos Chuveiro Pe</t>
  </si>
  <si>
    <t>$ 61.48</t>
  </si>
  <si>
    <t>MLB3419452288</t>
  </si>
  <si>
    <t>Pisca Retrovisor Hyundai Sonata L Direito Importado Novo Cinza</t>
  </si>
  <si>
    <t>$ 220.08</t>
  </si>
  <si>
    <t>MLB3426736760</t>
  </si>
  <si>
    <t>Fita De Led Dual Color Drl C Seta Rayx Farol Dianteiro 60cm</t>
  </si>
  <si>
    <t>$ 34.04</t>
  </si>
  <si>
    <t>MLB3438431953</t>
  </si>
  <si>
    <t>Caneta Stylus Com Palm Rejection iPad 9 Geração 10.2 2021</t>
  </si>
  <si>
    <t>358</t>
  </si>
  <si>
    <t>$ 58.18</t>
  </si>
  <si>
    <t>MLB3438472595</t>
  </si>
  <si>
    <t>Tampa Esguicho Lavador Farol Sorento 2010 2011 2012 2013 Preto Esquerdo</t>
  </si>
  <si>
    <t>$ 81.48</t>
  </si>
  <si>
    <t>MLB3457840421</t>
  </si>
  <si>
    <t>Caixa Fusivel Rele Bsm B5 Peugeot 206 207 Citroen C3 Nova</t>
  </si>
  <si>
    <t>$ 480.89</t>
  </si>
  <si>
    <t>MLB3465314544</t>
  </si>
  <si>
    <t>Sensor Pressão Tpms Pneu Captiva Camaro Malibu Gm Chevrolet</t>
  </si>
  <si>
    <t>$ 56.48</t>
  </si>
  <si>
    <t>MLB3467687640</t>
  </si>
  <si>
    <t>Par De Tampas Esguicho Lavador Do Farol Focus 2013 2014 2015</t>
  </si>
  <si>
    <t>$ 68.08</t>
  </si>
  <si>
    <t>MLB3502508943</t>
  </si>
  <si>
    <t>Par Pisca Seta Sequencial Retrovisor Bmw G20 340 440i 320 M3 Laranja</t>
  </si>
  <si>
    <t>426-K</t>
  </si>
  <si>
    <t>$ 122.83</t>
  </si>
  <si>
    <t>MLB3502509157</t>
  </si>
  <si>
    <t>Seta Pisca Retrovisor Led Sequencial Golf Gti Mk7 Jetta Gli Laranja</t>
  </si>
  <si>
    <t>$ 144.41</t>
  </si>
  <si>
    <t>MLB3502651701</t>
  </si>
  <si>
    <t>Par Pisca Dinâmico Vw Golf 2003 Sapão Seta Sequencial Laranja</t>
  </si>
  <si>
    <t>427</t>
  </si>
  <si>
    <t>$ 53.76</t>
  </si>
  <si>
    <t>MLB3502651779</t>
  </si>
  <si>
    <t>Seta Pisca Sequencial Vw Golf Mk4 Amarok Passat Bora Seat Laranja</t>
  </si>
  <si>
    <t>$ 56.30</t>
  </si>
  <si>
    <t>MLB3502691741</t>
  </si>
  <si>
    <t>Grade Toyota Corolla 2015 2016 2017 Cromada Prateado Cromado</t>
  </si>
  <si>
    <t>430</t>
  </si>
  <si>
    <t>$ 193.46</t>
  </si>
  <si>
    <t>MLB3502691867</t>
  </si>
  <si>
    <t>$ 222.40</t>
  </si>
  <si>
    <t>MLB3502716727</t>
  </si>
  <si>
    <t>Grade Dianteira Toyota Corolla 2015 2016 2017 Cromada Prateado Cromado</t>
  </si>
  <si>
    <t>$ 214.19</t>
  </si>
  <si>
    <t>MLB3509386405</t>
  </si>
  <si>
    <t>Ventosa Manual, Alça/bomba Em Plástico Industrial -máx 200kg</t>
  </si>
  <si>
    <t>MLB3524022099</t>
  </si>
  <si>
    <t>Par Puxador Porta Traseira Bmw 320i 328i 335i 2013 A 2018 Preto</t>
  </si>
  <si>
    <t>232-2</t>
  </si>
  <si>
    <t>MLB3525625844</t>
  </si>
  <si>
    <t>$ 693.67</t>
  </si>
  <si>
    <t>MLB3539262044</t>
  </si>
  <si>
    <t>Kit 415 Presilhas Grampos Fixadores Parabarro Carro + Chave</t>
  </si>
  <si>
    <t>$ 95.18</t>
  </si>
  <si>
    <t>MLB3548384971</t>
  </si>
  <si>
    <t>$ 66.59</t>
  </si>
  <si>
    <t>MLB3551731589</t>
  </si>
  <si>
    <t>Bomba D'agua Solar, Aquario, Alta Pressão  12v  Dc 19w Mo</t>
  </si>
  <si>
    <t>$ 108.39</t>
  </si>
  <si>
    <t>MLB3551783947</t>
  </si>
  <si>
    <t>Par Roda Livre Automática Nissan Frontier X-terra Navara 2pç</t>
  </si>
  <si>
    <t>$ 709.19</t>
  </si>
  <si>
    <t>MLB3553306191</t>
  </si>
  <si>
    <t>Suporte Celular Moto Gps Bmw R1200/r1250 Gs F 850 F 800 Preto</t>
  </si>
  <si>
    <t>$ 178.05</t>
  </si>
  <si>
    <t>MLB3557236595</t>
  </si>
  <si>
    <t>Suporte Tampa Tanque Ford Focus 2009 Á 2019 Preto</t>
  </si>
  <si>
    <t>$ 88.52</t>
  </si>
  <si>
    <t>MLB3557326171</t>
  </si>
  <si>
    <t>Suporte Tampa Tanque Ford Focus 2009 Á 2019</t>
  </si>
  <si>
    <t>$ 74.44</t>
  </si>
  <si>
    <t>MLB3557424429</t>
  </si>
  <si>
    <t>Kit Capa Do Freio De Mão Honda New Civic 2006 A 2011 Full</t>
  </si>
  <si>
    <t>MLB3557539233</t>
  </si>
  <si>
    <t>Ferramenta De Ativação Sensor Pressão Pneu Tpms Ford El50449</t>
  </si>
  <si>
    <t>MLB3558056423</t>
  </si>
  <si>
    <t>Cabo Auxiliar Carro Fiat Para Rádio Original Punto Palio</t>
  </si>
  <si>
    <t>$ 34.38</t>
  </si>
  <si>
    <t>MLB3558108785</t>
  </si>
  <si>
    <t>Cabo Auxiliar Para Radio Original Do Fiat Punto Promoção</t>
  </si>
  <si>
    <t>$ 26.95</t>
  </si>
  <si>
    <t>MLB3558151207</t>
  </si>
  <si>
    <t>Tapete De Atividades Para Bebes Inflavel Interativo Aquario</t>
  </si>
  <si>
    <t>$ 30.24</t>
  </si>
  <si>
    <t>MLB3558249607</t>
  </si>
  <si>
    <t>Tubo Retorno Reservatório Agua Cruze Tracker 1.8 16v</t>
  </si>
  <si>
    <t>$ 88.87</t>
  </si>
  <si>
    <t>MLB3558390215</t>
  </si>
  <si>
    <t>Junta Da Válvula Vtec Civic 1.7 Ex 2001 2002 2003 2004 2005</t>
  </si>
  <si>
    <t>$ 44.46</t>
  </si>
  <si>
    <t>MLB3559490787</t>
  </si>
  <si>
    <t>Adaptador Hub Para Macbook Pro Air Thunderbolt Usb C Hdmi 4k Cinza</t>
  </si>
  <si>
    <t>$ 80.78</t>
  </si>
  <si>
    <t>MLB3562120261</t>
  </si>
  <si>
    <t>Reservatorio De Carvao Canister Jetta 2.0 Tsi De 2011 À 2017</t>
  </si>
  <si>
    <t>$ 220.95</t>
  </si>
  <si>
    <t>MLB3564109883</t>
  </si>
  <si>
    <t>Lanterna 48 Led Fita Flexível Moto Pisca Luz Freio Custom</t>
  </si>
  <si>
    <t>$ 23.51</t>
  </si>
  <si>
    <t>MLB3564167505</t>
  </si>
  <si>
    <t>MLB3564793417</t>
  </si>
  <si>
    <t>Suporte Celular Por Indução P/ Bmw Gs1200 1250 F850 Xr 1000 Preto</t>
  </si>
  <si>
    <t>$ 198.92</t>
  </si>
  <si>
    <t>MLB3565129843</t>
  </si>
  <si>
    <t>Válvula Morcego Regulagem Banco Isri Nts Scania/volvo/mmb</t>
  </si>
  <si>
    <t>$ 100.92</t>
  </si>
  <si>
    <t>MLB3565991557</t>
  </si>
  <si>
    <t>Esteira Do Câmbio Automático Al4 Para Peugeot E Citroën</t>
  </si>
  <si>
    <t>$ 84.34</t>
  </si>
  <si>
    <t>MLB3568256741</t>
  </si>
  <si>
    <t>$ 145.50</t>
  </si>
  <si>
    <t>MLB3569981471</t>
  </si>
  <si>
    <t>Tubo Bypass Bomba De Agua Grand Cherokee 3.0 V6 Diesel 2015</t>
  </si>
  <si>
    <t>$ 76.87</t>
  </si>
  <si>
    <t>MLB3571999085</t>
  </si>
  <si>
    <t>Carburador Honda Biz 100 1998-2005 Modelo Original Completo</t>
  </si>
  <si>
    <t>$ 61.13</t>
  </si>
  <si>
    <t>MLB3576638829</t>
  </si>
  <si>
    <t>Maçaneta Externa Porta Dianteira Direita Sorento 2007 2008 Preto Dianteira</t>
  </si>
  <si>
    <t>$ 289.30</t>
  </si>
  <si>
    <t>MLB3582691365</t>
  </si>
  <si>
    <t>Medidor Sensor Maf Fluxo Ar Grand Vitara Gm Tracker</t>
  </si>
  <si>
    <t>$ 230.80</t>
  </si>
  <si>
    <t>MLB3583863743</t>
  </si>
  <si>
    <t>Ponteira Escape Amg Para Mercedes Classes A B C E Glc Cinza</t>
  </si>
  <si>
    <t>349</t>
  </si>
  <si>
    <t>$ 196.33</t>
  </si>
  <si>
    <t>MLB3584436853</t>
  </si>
  <si>
    <t>Broca Jardim Espiral Ferramenta Escavadeira Buraco Plantio</t>
  </si>
  <si>
    <t>$ 39.38</t>
  </si>
  <si>
    <t>MLB3584541045</t>
  </si>
  <si>
    <t>Broca Furo Espiral Para Plantio Jardim Portátil Uso Fácil</t>
  </si>
  <si>
    <t>$ 56.39</t>
  </si>
  <si>
    <t>MLB3596218285</t>
  </si>
  <si>
    <t>Retentor Do Comando De Valvulas Sonic 1.6 2012 2013 2014</t>
  </si>
  <si>
    <t>$ 64.76</t>
  </si>
  <si>
    <t>MLB3596306433</t>
  </si>
  <si>
    <t>$ 62.83</t>
  </si>
  <si>
    <t>MLB3598209639</t>
  </si>
  <si>
    <t>Mangueira Tubo Saída Calor Tbi Sonic Cruze Tracker 12/16</t>
  </si>
  <si>
    <t>$ 54.97</t>
  </si>
  <si>
    <t>MLB3601910705</t>
  </si>
  <si>
    <t>$ 183.98</t>
  </si>
  <si>
    <t>MLB3602661979</t>
  </si>
  <si>
    <t>Valvula Nivel Banco Volvo Fh Vm Sc 124 Serie Pgr Mb Axor Branco</t>
  </si>
  <si>
    <t>MLB3604183763</t>
  </si>
  <si>
    <t>Kit 100 Presilhas Grampos Fixadores Carro Veiculo Parabarro</t>
  </si>
  <si>
    <t>$ 28.21</t>
  </si>
  <si>
    <t>MLB3607193023</t>
  </si>
  <si>
    <t>Guia Farol Dianteiro Dianteiro Hrv Hr-v 2015 2016 17 Á 2019</t>
  </si>
  <si>
    <t>$ 64.92</t>
  </si>
  <si>
    <t>MLB3608112939</t>
  </si>
  <si>
    <t>Seta Pisca Retrovisor Led Sequencial Golf Gti Mk7 Jetta Gli</t>
  </si>
  <si>
    <t>$ 133.27</t>
  </si>
  <si>
    <t>MLB3618050495</t>
  </si>
  <si>
    <t>Guia Farol Dianteiro Dianteiro Hr-v 2015 2016 2017 2018 2019</t>
  </si>
  <si>
    <t>$ 64.29</t>
  </si>
  <si>
    <t>MLB3651679373</t>
  </si>
  <si>
    <t>Grampo Presilha Parabarro Parachoque Fixadores Kit 100pçs</t>
  </si>
  <si>
    <t>$ 22.40</t>
  </si>
  <si>
    <t>MLB3653649123</t>
  </si>
  <si>
    <t>Par Válvula Bico Esportivo Pneu Moto 90 Graus Alumínio</t>
  </si>
  <si>
    <t>$ 41.85</t>
  </si>
  <si>
    <t>MLB3654137869</t>
  </si>
  <si>
    <t>Esteira Alavanca Câmbio Tiptronic Jetta Bora Golf Mk4 Passat Preto</t>
  </si>
  <si>
    <t>$ 180.57</t>
  </si>
  <si>
    <t>MLB3658010579</t>
  </si>
  <si>
    <t>2x Extensor Válvula Bico Pneu 90 Grau Bike Moto Carro Adapt</t>
  </si>
  <si>
    <t>MLB3658452839</t>
  </si>
  <si>
    <t>Mangueira Retorno Reservatório Água Gm Cruze Tracker Saída</t>
  </si>
  <si>
    <t>$ 42.01</t>
  </si>
  <si>
    <t>MLB3660376395</t>
  </si>
  <si>
    <t>Mini Bomba D'agua 12 Volts 800 Litros/h Coluna 5m 19w</t>
  </si>
  <si>
    <t>$ 73.94</t>
  </si>
  <si>
    <t>MLB3660399513</t>
  </si>
  <si>
    <t>Mini Bomba D'agua 800 Litro/h 12v Para Fontes De Jardim</t>
  </si>
  <si>
    <t>$ 85.31</t>
  </si>
  <si>
    <t>MLB3675268379</t>
  </si>
  <si>
    <t>Adaptador Luva Roçadeira Cardam Stihl Quadrado 5,5mm Ou 6mm.</t>
  </si>
  <si>
    <t>$ 18.25</t>
  </si>
  <si>
    <t>MLB3680635594</t>
  </si>
  <si>
    <t>Par Lampada Xenon Corolla D4r 35w Altis Seg Original 6000k</t>
  </si>
  <si>
    <t>$ 90.54</t>
  </si>
  <si>
    <t>MLB3692066514</t>
  </si>
  <si>
    <t>$ 109.39</t>
  </si>
  <si>
    <t>MLB3692095662</t>
  </si>
  <si>
    <t>Adaptador Hub Para Macbook Air M1 M2 8 Em 1 Usb-c Hdmi 4k Cinza</t>
  </si>
  <si>
    <t>$ 97.58</t>
  </si>
  <si>
    <t>MLB3727614849</t>
  </si>
  <si>
    <t>Sensor Nivel Oleo 307 308 408 C4 Pallas Lounge Picasso 2.0</t>
  </si>
  <si>
    <t>$ 185.04</t>
  </si>
  <si>
    <t>MLB3728618216</t>
  </si>
  <si>
    <t>Adaptador Receptor Carregador Indução Wireless Micro Usb</t>
  </si>
  <si>
    <t>$ 34.09</t>
  </si>
  <si>
    <t>MLB3737462448</t>
  </si>
  <si>
    <t>$ 69.74</t>
  </si>
  <si>
    <t>MLB3747794275</t>
  </si>
  <si>
    <t>Kit 100 Presilhas Grampos Mitsubishi L200 Asx Pajero Citroen</t>
  </si>
  <si>
    <t>MLB3783467275</t>
  </si>
  <si>
    <t>Reservatório De Óleo De Direção Hidra Fiesta 2002 A 2014</t>
  </si>
  <si>
    <t>452</t>
  </si>
  <si>
    <t>$ 94.78</t>
  </si>
  <si>
    <t>MLB3789242767</t>
  </si>
  <si>
    <t>Acessorios Mercedes W205 C180 C200 C250 Gtr Amg Grade Chrome Prateado Cromado</t>
  </si>
  <si>
    <t>457-2</t>
  </si>
  <si>
    <t>$ 454.14</t>
  </si>
  <si>
    <t>MLB3790875155</t>
  </si>
  <si>
    <t>Bomba De Direção Hidráulica Peugeot 206 / 207</t>
  </si>
  <si>
    <t>450</t>
  </si>
  <si>
    <t>$ 593.48</t>
  </si>
  <si>
    <t>MLB3790877175</t>
  </si>
  <si>
    <t>Bomba De Direção Hidráulica Peugeot 206 207 Citroen Xsara</t>
  </si>
  <si>
    <t>MLB3792233449</t>
  </si>
  <si>
    <t>Par De Bandeja Dianteira Ford Fusion 2.0 2013 2014 2015 2016</t>
  </si>
  <si>
    <t>451-K</t>
  </si>
  <si>
    <t>$ 940.11</t>
  </si>
  <si>
    <t>MLB3796645969</t>
  </si>
  <si>
    <t>Acessorios Honda Civic Touring Turbo G10 Ponteira Par Top Cinza</t>
  </si>
  <si>
    <t>$ 165.34</t>
  </si>
  <si>
    <t>MLB3833309681</t>
  </si>
  <si>
    <t>Reservatorio De Oleo Da Hidraulica Fiesta Rocam 2002 A 2014</t>
  </si>
  <si>
    <t>$ 134.45</t>
  </si>
  <si>
    <t>MLB3840995325</t>
  </si>
  <si>
    <t>Alavanca Do Freio De Mão Jac J3 2010 Ao 2013 Original</t>
  </si>
  <si>
    <t>456</t>
  </si>
  <si>
    <t>$ 299.10</t>
  </si>
  <si>
    <t>MLB3852698189</t>
  </si>
  <si>
    <t>Ativador Sensor Tpms Gm Chevrolet El-50448 S10 Cruze Onix</t>
  </si>
  <si>
    <t>MLB3866615819</t>
  </si>
  <si>
    <t>Caneta Stylus Com Palm Rejection iPad 9 Geração 10.2</t>
  </si>
  <si>
    <t>$ 57.31</t>
  </si>
  <si>
    <t>MLB3884217515</t>
  </si>
  <si>
    <t>Friso Cromado Da Grade Honda City 2015 A 2017 Nova Cromado Prateado</t>
  </si>
  <si>
    <t>458-2</t>
  </si>
  <si>
    <t>$ 405.89</t>
  </si>
  <si>
    <t>MLB3884242075</t>
  </si>
  <si>
    <t>$ 423.32</t>
  </si>
  <si>
    <t>MLB3885091347</t>
  </si>
  <si>
    <t>Chicote Plug Conector Peugeot Citroen 1.6 16v Thp 9804315380</t>
  </si>
  <si>
    <t>307-2</t>
  </si>
  <si>
    <t>$ 77.62</t>
  </si>
  <si>
    <t>MLB3885272231</t>
  </si>
  <si>
    <t>Chicote Válvula Termostática Sensor Temperatura Thp 1.6 Turb</t>
  </si>
  <si>
    <t>$ 66.65</t>
  </si>
  <si>
    <t>MLB3885317533</t>
  </si>
  <si>
    <t>Chicote P/ Carcaça Válvula Termostática Peugeot 308/408 Thp</t>
  </si>
  <si>
    <t>$ 49.14</t>
  </si>
  <si>
    <t>MLB3892173916</t>
  </si>
  <si>
    <t>Tampinha Esguich Limpador Farol Direito Focus 2014 2015 Preto Direito</t>
  </si>
  <si>
    <t>$ 96.10</t>
  </si>
  <si>
    <t>MLB3899732231</t>
  </si>
  <si>
    <t>$ 108.81</t>
  </si>
  <si>
    <t>MLB3902435207</t>
  </si>
  <si>
    <t>Talha Manual 1 Tonelada 1000 Kg Corrente 10 Metros Deckas</t>
  </si>
  <si>
    <t>446</t>
  </si>
  <si>
    <t>$ 515.51</t>
  </si>
  <si>
    <t>MLB3913287197</t>
  </si>
  <si>
    <t>Filtro Eliminador De Água Com Regulador De Pressão 1/4</t>
  </si>
  <si>
    <t>459</t>
  </si>
  <si>
    <t>MLB3913396243</t>
  </si>
  <si>
    <t>Filtro Regulador Deckas Afr-2000 1/4  Com Manometro 150 Psi</t>
  </si>
  <si>
    <t>$ 39.69</t>
  </si>
  <si>
    <t>MLB3913408297</t>
  </si>
  <si>
    <t>Filtro Regulador Evotek 1/4  Ar Compressor C/ Manômetro</t>
  </si>
  <si>
    <t>$ 40.31</t>
  </si>
  <si>
    <t>MLB3922851097</t>
  </si>
  <si>
    <t>Par Retentor Comando Válvulas Cruze 1.8 16v Sonic 1.6 Ecotec</t>
  </si>
  <si>
    <t>280-K</t>
  </si>
  <si>
    <t>$ 92.27</t>
  </si>
  <si>
    <t>MLB3935451177</t>
  </si>
  <si>
    <t>Botão De Vidro Elétrico Simples Sprinter 311/313/415/515</t>
  </si>
  <si>
    <t>$ 93.11</t>
  </si>
  <si>
    <t>MLB3944426609</t>
  </si>
  <si>
    <t>Ventosa Profissional Sucção A Vácuo Vidro Mármore 200kg Top</t>
  </si>
  <si>
    <t>$ 170.33</t>
  </si>
  <si>
    <t>MLB3950755258</t>
  </si>
  <si>
    <t>Mangueira Retorno Reservatório Água Cruze 1.8 55579102</t>
  </si>
  <si>
    <t>$ 41.94</t>
  </si>
  <si>
    <t>MLB3958965489</t>
  </si>
  <si>
    <t>$ 508.59</t>
  </si>
  <si>
    <t>MLB3962309413</t>
  </si>
  <si>
    <t>Sensor Medidor Maf Fluxo Ar J20a Tracker Grand Vitara</t>
  </si>
  <si>
    <t>$ 272.85</t>
  </si>
  <si>
    <t>MLB3967142419</t>
  </si>
  <si>
    <t>Talha Manual De Corrente - 1 Toneladas - 10 Metros - Deckas</t>
  </si>
  <si>
    <t>$ 441.96</t>
  </si>
  <si>
    <t>MLB3983900449</t>
  </si>
  <si>
    <t>Maçaneta Externa Sorento Dianteira Esquerda</t>
  </si>
  <si>
    <t>198-2</t>
  </si>
  <si>
    <t>$ 132.72</t>
  </si>
  <si>
    <t>MLB3988605943</t>
  </si>
  <si>
    <t>Receptor Adaptador Carregador Universal Indução Wireless Qi</t>
  </si>
  <si>
    <t>$ 34.25</t>
  </si>
  <si>
    <t>MLB3998163089</t>
  </si>
  <si>
    <t>Bandeja Dianteira Ford Fusion Lado Esquerdo De 2013 Até 2017 Esquerdo</t>
  </si>
  <si>
    <t>451-2</t>
  </si>
  <si>
    <t>$ 790.02</t>
  </si>
  <si>
    <t>MLB3999326941</t>
  </si>
  <si>
    <t>Par Bandeja Fusion Dianteira 2.0/2.5 16v/3.0 2013 Até 2018</t>
  </si>
  <si>
    <t>$ 1,138.12</t>
  </si>
  <si>
    <t>MLB4000715459</t>
  </si>
  <si>
    <t>Bandeja Dianteira Ford Fusion 2.0 Lado Direito 2013 A 2017 Dianteiro Direito</t>
  </si>
  <si>
    <t>451-1</t>
  </si>
  <si>
    <t>$ 542.61</t>
  </si>
  <si>
    <t>MLB4000895541</t>
  </si>
  <si>
    <t>Bandeja Dianteira Ford Fusion Lado Direito 2013 A 2017 Dianteiro Direito</t>
  </si>
  <si>
    <t>$ 563.88</t>
  </si>
  <si>
    <t>MLB4006302981</t>
  </si>
  <si>
    <t>$ 73.28</t>
  </si>
  <si>
    <t>MLB4038971489</t>
  </si>
  <si>
    <t>$ 291.97</t>
  </si>
  <si>
    <t>MLB4056151659</t>
  </si>
  <si>
    <t>Tampa Filtro Ar Condicionado Vw Audi Jetta Passat Tiguan</t>
  </si>
  <si>
    <t>$ 90.23</t>
  </si>
  <si>
    <t>MLB4057913998</t>
  </si>
  <si>
    <t>MLB4060785769</t>
  </si>
  <si>
    <t>Esguicho Hutz Multi Jatos 8 Funções Com Reservatório Sabão 100ml</t>
  </si>
  <si>
    <t>$ 49.66</t>
  </si>
  <si>
    <t>MLB4068455831</t>
  </si>
  <si>
    <t>Sensor Nível Óleo Carter 307 308 408 C4 C5 Xsara Picasso 2.0</t>
  </si>
  <si>
    <t>$ 151.66</t>
  </si>
  <si>
    <t>MLB4090357929</t>
  </si>
  <si>
    <t>Bomba De Direção Hidráulica Peugeot 206 / 207 2008 A 2015</t>
  </si>
  <si>
    <t>$ 467.35</t>
  </si>
  <si>
    <t>MLB4103721403</t>
  </si>
  <si>
    <t>Par Esguicho Brucutu Para Brisas Hyunday Tucson Kia Sportage</t>
  </si>
  <si>
    <t>298-K</t>
  </si>
  <si>
    <t>MLB4103999719</t>
  </si>
  <si>
    <t>Medidor Fluxo Ar Maf Vitara E Tracker 1.6 E 2.0 16v Gasolina</t>
  </si>
  <si>
    <t>$ 215.58</t>
  </si>
  <si>
    <t>MLB4104078305</t>
  </si>
  <si>
    <t>Motor Partida Arranque Ktm 2t 250 300 Exc 55140001100 410w</t>
  </si>
  <si>
    <t>$ 448.83</t>
  </si>
  <si>
    <t>MLB4106425531</t>
  </si>
  <si>
    <t>$ 94.61</t>
  </si>
  <si>
    <t>MLB4113974573</t>
  </si>
  <si>
    <t>Botão Vidro Eletrico Para Kia Sorento 2010 A 2014 ( 1 X Auto</t>
  </si>
  <si>
    <t>285</t>
  </si>
  <si>
    <t>$ 141.98</t>
  </si>
  <si>
    <t>MLB4155642956</t>
  </si>
  <si>
    <t>Par Puxador Porta Dianteira Bmw 320i 328i 335 2012-2018</t>
  </si>
  <si>
    <t>$ 137.30</t>
  </si>
  <si>
    <t>MLB4165369732</t>
  </si>
  <si>
    <t>Bico Aspersor Irrigação Jardim Metal Latão 1/2 Ajustável</t>
  </si>
  <si>
    <t>$ 47.92</t>
  </si>
  <si>
    <t>MLB4179310894</t>
  </si>
  <si>
    <t>Par Guia Farol Dianteiro Hrv Hr-v 2015 2016 2017 2018 2019</t>
  </si>
  <si>
    <t>428-K</t>
  </si>
  <si>
    <t>$ 240.48</t>
  </si>
  <si>
    <t>MLB4183515444</t>
  </si>
  <si>
    <t>Seta Retrovisor Sequencial Dinâmica Golf Mk7 Mk7.5 Jetta Gli Laranja</t>
  </si>
  <si>
    <t>$ 183.21</t>
  </si>
  <si>
    <t>MLB4183515600</t>
  </si>
  <si>
    <t>Seta Retrovisor Sequencial Dinâmica Golf Mk7 Gti Jetta Gli Laranja</t>
  </si>
  <si>
    <t>$ 225.54</t>
  </si>
  <si>
    <t>MLB4183547432</t>
  </si>
  <si>
    <t>$ 135.40</t>
  </si>
  <si>
    <t>MLB4183842990</t>
  </si>
  <si>
    <t>$ 90.28</t>
  </si>
  <si>
    <t>MLB4183869070</t>
  </si>
  <si>
    <t>Kit Seta Pisca Sequencial Vw Amarok Paralama Lateral Led Laranja</t>
  </si>
  <si>
    <t>$ 89.40</t>
  </si>
  <si>
    <t>MLB4184011272</t>
  </si>
  <si>
    <t>Grade Dianteira Corolla 2015 2016 2017 Cromada Sem Emblema Prateado Cromado</t>
  </si>
  <si>
    <t>$ 242.42</t>
  </si>
  <si>
    <t>MLB4190741461</t>
  </si>
  <si>
    <t>Radiador Jac J3 /turin 1.4/1.5 16v 2011 A 2015 Manual</t>
  </si>
  <si>
    <t>$ 428.26</t>
  </si>
  <si>
    <t>MLB4192475945</t>
  </si>
  <si>
    <t>Botão Freio De Mão Honda Civic 2016 2017 2018</t>
  </si>
  <si>
    <t>454</t>
  </si>
  <si>
    <t>$ 123.02</t>
  </si>
  <si>
    <t>MLB4233190554</t>
  </si>
  <si>
    <t>$ 220.90</t>
  </si>
  <si>
    <t>MLB4233340414</t>
  </si>
  <si>
    <t>$ 197.91</t>
  </si>
  <si>
    <t>MLB4245039171</t>
  </si>
  <si>
    <t>Manopla Bola Câmbio Manual 6 Marcha Fox 2015/2022 Preto</t>
  </si>
  <si>
    <t>$ 72.14</t>
  </si>
  <si>
    <t>MLB4297486130</t>
  </si>
  <si>
    <t>$ 348.75</t>
  </si>
  <si>
    <t>MLB4312453416</t>
  </si>
  <si>
    <t>Marcador Medidor Combustível Digital Moto Carro Barco Full</t>
  </si>
  <si>
    <t>$ 86.76</t>
  </si>
  <si>
    <t>MLB4315801277</t>
  </si>
  <si>
    <t>Alongador Bico Do Pneu Válvula Moto Carro Bike 45 Graus</t>
  </si>
  <si>
    <t>167-1</t>
  </si>
  <si>
    <t>$ 15.93</t>
  </si>
  <si>
    <t>MLB4319301377</t>
  </si>
  <si>
    <t>2x Extensor Válvula Bico Pneu 45° Bike Moto Prateado</t>
  </si>
  <si>
    <t>167-1K</t>
  </si>
  <si>
    <t>$ 22.57</t>
  </si>
  <si>
    <t>MLB4319570435</t>
  </si>
  <si>
    <t>Válvula Extensora 135° Silver Para Bicicleta Prateado</t>
  </si>
  <si>
    <t>167-2</t>
  </si>
  <si>
    <t>$ 15.12</t>
  </si>
  <si>
    <t>MLB4321924928</t>
  </si>
  <si>
    <t>Mini Bomba D'agua 12v 800 Litros/h Para Fontes De Jardim</t>
  </si>
  <si>
    <t>$ 117.08</t>
  </si>
  <si>
    <t>MLB4326100438</t>
  </si>
  <si>
    <t>Suporte Smartphone No Gps Navegator Bmw Gs 1250 Preto</t>
  </si>
  <si>
    <t>$ 236.27</t>
  </si>
  <si>
    <t>MLB4333551086</t>
  </si>
  <si>
    <t>Sensor Detonação Tracker Suzuki 18640-78g00 Vitara Sx4</t>
  </si>
  <si>
    <t>$ 80.19</t>
  </si>
  <si>
    <t>MLB4333704744</t>
  </si>
  <si>
    <t>Boia Sensor Nível Combustível Focus 2.0 Duratec 2008 Á 2009</t>
  </si>
  <si>
    <t>$ 143.51</t>
  </si>
  <si>
    <t>MLB4334035248</t>
  </si>
  <si>
    <t>Botao Piloto Automático Controle Velocidade Focus Mk 2,5</t>
  </si>
  <si>
    <t>$ 223.76</t>
  </si>
  <si>
    <t>MLB4334094249</t>
  </si>
  <si>
    <t>Suporte Celular Por Indução Bmw Gs1200 1250 F850 Xr 1000 Preto</t>
  </si>
  <si>
    <t>$ 207.05</t>
  </si>
  <si>
    <t>MLB4335219706</t>
  </si>
  <si>
    <t>Motor Arranque Partida Ktm 2t 250 300 Exc 55140001100 410w</t>
  </si>
  <si>
    <t>$ 403.06</t>
  </si>
  <si>
    <t>MLB4337875236</t>
  </si>
  <si>
    <t>Ferramenta Ativação Sensor Pressão Pneu Tpms Sincronizador</t>
  </si>
  <si>
    <t>$ 68.51</t>
  </si>
  <si>
    <t>MLB4340741952</t>
  </si>
  <si>
    <t>Junta Valvula Anel Filtro Solenoide Vtec Honda Civic 1.6 1.7</t>
  </si>
  <si>
    <t>$ 68.52</t>
  </si>
  <si>
    <t>MLB4343482804</t>
  </si>
  <si>
    <t>Mangueira Retorno Bico Injetor Sprinter 311 415 515 2012-19</t>
  </si>
  <si>
    <t>$ 113.44</t>
  </si>
  <si>
    <t>MLB4343495522</t>
  </si>
  <si>
    <t>Mangueira De Retorno Dos Bicos Sprinter 311 / 415 / 515</t>
  </si>
  <si>
    <t>$ 110.02</t>
  </si>
  <si>
    <t>MLB4356513338</t>
  </si>
  <si>
    <t>Sensor Combustível Nível Boia Ix35 Gasolina 2010/ Sportage</t>
  </si>
  <si>
    <t>$ 127.81</t>
  </si>
  <si>
    <t>MLB4356852352</t>
  </si>
  <si>
    <t>Pisca 48 Led Fita Flexível Seta Lanterna Freio Moto Custom L Vermelho</t>
  </si>
  <si>
    <t>$ 23.16</t>
  </si>
  <si>
    <t>MLB4359774366</t>
  </si>
  <si>
    <t>Bomba De Vácuo Peugeot E Citroen Thp 1.6 16v Turbo 3008 Ds3</t>
  </si>
  <si>
    <t>$ 486.72</t>
  </si>
  <si>
    <t>MLB4362495004</t>
  </si>
  <si>
    <t>Sensor Pressão Direção Hidráulica Scenic Megane Kangoo Clio</t>
  </si>
  <si>
    <t>MLB4362573546</t>
  </si>
  <si>
    <t>Sensor Pressão Direção Hidráulica Renault Clio Logan Sandero</t>
  </si>
  <si>
    <t>MLB4362687096</t>
  </si>
  <si>
    <t>Fechadura Tranca Traseira Elétrica Porta Mala Hb20s Sedan</t>
  </si>
  <si>
    <t>MLB4362766994</t>
  </si>
  <si>
    <t>Tranca Fechadura Tampa Traseira Hb20s Sedan 812301s210</t>
  </si>
  <si>
    <t>$ 124.38</t>
  </si>
  <si>
    <t>MLB4369968520</t>
  </si>
  <si>
    <t>$ 82.68</t>
  </si>
  <si>
    <t>MLB4373163012</t>
  </si>
  <si>
    <t>Par Comando Cruzeiro Som Volante Pajero L200 Outlander Asx</t>
  </si>
  <si>
    <t>$ 179.60</t>
  </si>
  <si>
    <t>MLB4375783552</t>
  </si>
  <si>
    <t>Tubo Conexão Mangueira Radiador Freemont 2.4 2012 2013 2014</t>
  </si>
  <si>
    <t>$ 89.62</t>
  </si>
  <si>
    <t>MLB4375795068</t>
  </si>
  <si>
    <t>$ 63.10</t>
  </si>
  <si>
    <t>MLB4379616141</t>
  </si>
  <si>
    <t>$ 78.78</t>
  </si>
  <si>
    <t>MLB4392790418</t>
  </si>
  <si>
    <t>Maçaneta Externa Kia Sorento Dianteira Esquerda 826503e010 Preto Dianteira</t>
  </si>
  <si>
    <t>$ 134.92</t>
  </si>
  <si>
    <t>MLB4397783000</t>
  </si>
  <si>
    <t>Botão Vidro Elétrico Motorista Ranger 2012 2013 2014 2015</t>
  </si>
  <si>
    <t>$ 97.86</t>
  </si>
  <si>
    <t>MLB4411212850</t>
  </si>
  <si>
    <t>Anel Vedação Completo Resfriador Trocador Calor Journey 3.6</t>
  </si>
  <si>
    <t>$ 56.91</t>
  </si>
  <si>
    <t>MLB4431690724</t>
  </si>
  <si>
    <t>Tela Display Lcd Painel Ford Focus Titanium Lq042t5dz14b</t>
  </si>
  <si>
    <t>200</t>
  </si>
  <si>
    <t>$ 298.52</t>
  </si>
  <si>
    <t>MLB4445536326</t>
  </si>
  <si>
    <t>Sensor Posição Borboleta Tps Honda Accord Civic Cr-v Prelude</t>
  </si>
  <si>
    <t>$ 106.80</t>
  </si>
  <si>
    <t>MLB4445975264</t>
  </si>
  <si>
    <t>Roda Livre Manual Original Gptrend 470 Ford Ranger 4x4</t>
  </si>
  <si>
    <t>$ 647.97</t>
  </si>
  <si>
    <t>MLB4446202916</t>
  </si>
  <si>
    <t>Manopla Bola Cambio Manual Amarok 6 Marchas Preto</t>
  </si>
  <si>
    <t>$ 71.04</t>
  </si>
  <si>
    <t>MLB4471323400</t>
  </si>
  <si>
    <t>Guia Farol Dianteiro Hrv Hr-v 2015 2016 17 Á 2019</t>
  </si>
  <si>
    <t>$ 107.75</t>
  </si>
  <si>
    <t>MLB4473685750</t>
  </si>
  <si>
    <t>$ 144.98</t>
  </si>
  <si>
    <t>MLB4473697112</t>
  </si>
  <si>
    <t>Seta Retrovisor Sequencial Dinâmica Golf Mk7 Mk7.5 Jetta Gli</t>
  </si>
  <si>
    <t>$ 183.99</t>
  </si>
  <si>
    <t>MLB4473710012</t>
  </si>
  <si>
    <t>Seta Retrovisor Sequencial Dinâmica Golf Mk7 Gti Jetta Gli</t>
  </si>
  <si>
    <t>$ 225.49</t>
  </si>
  <si>
    <t>MLB4481241058</t>
  </si>
  <si>
    <t>Par Lâmpada D4r Xenon 12v 35w Toyota Corolla Altis 6000k</t>
  </si>
  <si>
    <t>$ 150.42</t>
  </si>
  <si>
    <t>MLB4481253760</t>
  </si>
  <si>
    <t>Jogo 2 Lâmpada Xenon Farol Corolla Seg Altis D4r 6000k Toyot</t>
  </si>
  <si>
    <t>$ 170.80</t>
  </si>
  <si>
    <t>MLB4485936079</t>
  </si>
  <si>
    <t>Ponteira De Escapamento Honda New Civic City Fit Hrv Crv Prateado</t>
  </si>
  <si>
    <t>MLB4498882640</t>
  </si>
  <si>
    <t>Par Comando Botão Volante Pajero Dakar L200 Triton Asx Full</t>
  </si>
  <si>
    <t>$ 208.11</t>
  </si>
  <si>
    <t>MLB4503499410</t>
  </si>
  <si>
    <t>MLB4512661002</t>
  </si>
  <si>
    <t>Pisca Retrovisor Lado Esquerdo Sonata 2011 2012 2013 2014 15</t>
  </si>
  <si>
    <t>$ 79.24</t>
  </si>
  <si>
    <t>MLB4540001606</t>
  </si>
  <si>
    <t>Boia Sensor De Nível Crv 2007 2008 2009 2010 2011</t>
  </si>
  <si>
    <t>$ 110.38</t>
  </si>
  <si>
    <t>MLB4540101233</t>
  </si>
  <si>
    <t>Grade Superior Cruze 2010 2011 2012 2013 2014 Friso Cromado Preto</t>
  </si>
  <si>
    <t>449-1</t>
  </si>
  <si>
    <t>$ 182.95</t>
  </si>
  <si>
    <t>MLB4540104563</t>
  </si>
  <si>
    <t>Grade Para Choque Superior Cruze Fr Cromado 10/14 Cód 12102 Preto</t>
  </si>
  <si>
    <t>$ 154.29</t>
  </si>
  <si>
    <t>MLB4571421067</t>
  </si>
  <si>
    <t>Tampa Do Radiador De Água Jac J2 Nova Original - 1.1 Bar</t>
  </si>
  <si>
    <t>417-2</t>
  </si>
  <si>
    <t>$ 49.83</t>
  </si>
  <si>
    <t>MLB4571457805</t>
  </si>
  <si>
    <t>Tampa Sistema Arrefecimento Honda 1.1 Bar Civic Fit Accord</t>
  </si>
  <si>
    <t>$ 53.67</t>
  </si>
  <si>
    <t>MLB4586328416</t>
  </si>
  <si>
    <t>Lampada Xenon D4r Reposição 35w 4300k  Corolla Hilux</t>
  </si>
  <si>
    <t>MLB4592635432</t>
  </si>
  <si>
    <t>Chave Farol Auto Original Vw Golf Jetta Tsi Gti 2014 A 2018</t>
  </si>
  <si>
    <t>$ 157.55</t>
  </si>
  <si>
    <t>MLB4644655270</t>
  </si>
  <si>
    <t>Adaptador Luva Roçadeira Cardam Stihl Stihl Fs160/220/280</t>
  </si>
  <si>
    <t>$ 18.43</t>
  </si>
  <si>
    <t>MLB4644694108</t>
  </si>
  <si>
    <t>Adaptador Luva Roçadeira 9 Estrias De Enxada Rotativa Arador</t>
  </si>
  <si>
    <t>$ 19.31</t>
  </si>
  <si>
    <t>MLB4644705176</t>
  </si>
  <si>
    <t>$ 18.88</t>
  </si>
  <si>
    <t>MLB4657518424</t>
  </si>
  <si>
    <t>Tela Touch Screen Gptrend 50 Pinos Peugeot E Citroen</t>
  </si>
  <si>
    <t>$ 130.65</t>
  </si>
  <si>
    <t>MLB4657555476</t>
  </si>
  <si>
    <t>Touch Screen Peugeot 208 2008 Tela De Toque Continental</t>
  </si>
  <si>
    <t>$ 146.20</t>
  </si>
  <si>
    <t>MLB4657581472</t>
  </si>
  <si>
    <t>Tela Touch Screen Peugeot 208 2008 2018 A 2020 Multimidia</t>
  </si>
  <si>
    <t>$ 140.71</t>
  </si>
  <si>
    <t>MLB4670241206</t>
  </si>
  <si>
    <t>Pisca Seta Retrovisor Sonata 2011 2012 2013 2014 Unidade Laranja</t>
  </si>
  <si>
    <t>MLB4670292924</t>
  </si>
  <si>
    <t>Pisca Seta Retrovisor P/ Hyundai Ix35 2010 2011 2012 2013 14 Cromado</t>
  </si>
  <si>
    <t>$ 76.86</t>
  </si>
  <si>
    <t>MLB4670396294</t>
  </si>
  <si>
    <t>Pisca Retrovisor Hyundai Sonata L Esquerdo Importado Novo Laranja</t>
  </si>
  <si>
    <t>$ 89.34</t>
  </si>
  <si>
    <t>MLB4750056848</t>
  </si>
  <si>
    <t>Mangueira Intercooler A Turbina Frontier  190cv 144635x02b Preto</t>
  </si>
  <si>
    <t>$ 279.86</t>
  </si>
  <si>
    <t>MLB4761872520</t>
  </si>
  <si>
    <t>Motor Arranque Partida Ktm 2 Tempo Ktm 250 Xc Ktm 300 Xc</t>
  </si>
  <si>
    <t>52-1</t>
  </si>
  <si>
    <t>$ 452.45</t>
  </si>
  <si>
    <t>MLB4762006540</t>
  </si>
  <si>
    <t>Motor Arranque Partida Ktm 2 Tempo 250 300 17-20</t>
  </si>
  <si>
    <t>$ 554.79</t>
  </si>
  <si>
    <t>MLB4771509154</t>
  </si>
  <si>
    <t>MLB4848986660</t>
  </si>
  <si>
    <t>Par Retentor Comando Válvulas Cruze Sonic Tracker 55563374</t>
  </si>
  <si>
    <t>$ 86.84</t>
  </si>
  <si>
    <t>MLB4913278978</t>
  </si>
  <si>
    <t>Grade Honda City Preta 2015 2016 2017 Nova Preto Cromado</t>
  </si>
  <si>
    <t>458-1</t>
  </si>
  <si>
    <t>$ 239.42</t>
  </si>
  <si>
    <t>MLB4936573640</t>
  </si>
  <si>
    <t>Reservatório Direção Hidráulica Para Ford Fiesta 2002 A 2014</t>
  </si>
  <si>
    <t>$ 96.90</t>
  </si>
  <si>
    <t>MLB4938751960</t>
  </si>
  <si>
    <t>Guia Farol Dianteiro Honda Hr-v 2015 2016 2017 2018</t>
  </si>
  <si>
    <t>$ 103.03</t>
  </si>
  <si>
    <t>MLB4939545646</t>
  </si>
  <si>
    <t>Par Bandeja Dianteira Fusion 2013 2014 2015 2016 2017 Kit</t>
  </si>
  <si>
    <t>$ 953.07</t>
  </si>
  <si>
    <t>MLB4939557412</t>
  </si>
  <si>
    <t>Kit Par Bandeja Dianteira Fusion 2013 2014 2015 2016 2017 -</t>
  </si>
  <si>
    <t>$ 1,000.86</t>
  </si>
  <si>
    <t>MLB4939982806</t>
  </si>
  <si>
    <t>Bandeja Dianteira Lado Direito Fusion 2013 2014 2015 2016</t>
  </si>
  <si>
    <t>$ 547.63</t>
  </si>
  <si>
    <t>MLB4942973510</t>
  </si>
  <si>
    <t>Braco Bandeja Dianteira Direita Fusion 2013 2014 2015</t>
  </si>
  <si>
    <t>$ 494.70</t>
  </si>
  <si>
    <t>MLB4942973736</t>
  </si>
  <si>
    <t>Bandeja Dianteira L Direito Fusion 2013 2014 2015 16</t>
  </si>
  <si>
    <t>$ 486.40</t>
  </si>
  <si>
    <t>MLB4942976702</t>
  </si>
  <si>
    <t>Grade Honda City Preta 2016 2017 2018 Nova Prateado Cromado</t>
  </si>
  <si>
    <t>$ 254.17</t>
  </si>
  <si>
    <t>MLB4943028012</t>
  </si>
  <si>
    <t>Grade Dianteira Preta Honda City 2015 2016 2017 Preto Fosco Preto Preto Texturizado</t>
  </si>
  <si>
    <t>$ 233.41</t>
  </si>
  <si>
    <t>MLB4943054490</t>
  </si>
  <si>
    <t>Grade Honda City Preta 2015 2016 2017 Nova Preto Preto Texturizado</t>
  </si>
  <si>
    <t>$ 252.19</t>
  </si>
  <si>
    <t>MLB4944444726</t>
  </si>
  <si>
    <t>Kit Grade Inferior + Grade Superior Chevrolet Malibu 2013 Cinza</t>
  </si>
  <si>
    <t>449-K</t>
  </si>
  <si>
    <t>$ 303.44</t>
  </si>
  <si>
    <t>MLB4944482982</t>
  </si>
  <si>
    <t>$ 316.61</t>
  </si>
  <si>
    <t>MLB4955974440</t>
  </si>
  <si>
    <t>Grade Dianteira Corolla Cromada 2015 2016 2017 Sem Emblema Prateado Cromado</t>
  </si>
  <si>
    <t>$ 260.74</t>
  </si>
  <si>
    <t>MLB5054931426</t>
  </si>
  <si>
    <t>Alavanca Do Freio De Mão - Jac J3</t>
  </si>
  <si>
    <t>$ 350.61</t>
  </si>
  <si>
    <t>MLB5054983076</t>
  </si>
  <si>
    <t>Alavanca Puxador Do Freio De Mão Estacioname Jac J3 Original</t>
  </si>
  <si>
    <t>$ 252.16</t>
  </si>
  <si>
    <t>MLB5055031430</t>
  </si>
  <si>
    <t>$ 264.35</t>
  </si>
  <si>
    <t>MLB5111579736</t>
  </si>
  <si>
    <t>Par Puxador Porta Dianteira Bmw 320i 328i 335i 316i F30 F31.</t>
  </si>
  <si>
    <t>$ 133.17</t>
  </si>
  <si>
    <t>MLB5113786214</t>
  </si>
  <si>
    <t>Válvula Morcego Banco Isri Para Volvo Fh /fm/ Fmx - 20748450 Branco</t>
  </si>
  <si>
    <t>$ 74.98</t>
  </si>
  <si>
    <t>MLB5166616316</t>
  </si>
  <si>
    <t>Talha Manual De Corrente - 1 Tonelada- 10 Metros De Corrente</t>
  </si>
  <si>
    <t>$ 492.70</t>
  </si>
  <si>
    <t>MLB5166616368</t>
  </si>
  <si>
    <t>Talha Manual - 1 Tonelada - 10 Metros - Deckas</t>
  </si>
  <si>
    <t>$ 564.81</t>
  </si>
  <si>
    <t>MLB5187032368</t>
  </si>
  <si>
    <t>Filtro De Ar 1/4 Deckas Afr-2000 Para Compressor 150 Psi</t>
  </si>
  <si>
    <t>MLB5202483004</t>
  </si>
  <si>
    <t>$ 89.48</t>
  </si>
  <si>
    <t>MLB5266062134</t>
  </si>
  <si>
    <t>Aneis Vedação Resfriador Calor Wrangler Dodge Charge 3.6 7pc</t>
  </si>
  <si>
    <t>$ 107.22</t>
  </si>
  <si>
    <t>MLB5266087708</t>
  </si>
  <si>
    <t>Aneis Resfriador Oleo Journey 3.6 Town Country Jeep Cherokee</t>
  </si>
  <si>
    <t>$ 153.06</t>
  </si>
  <si>
    <t>MLB5360780658</t>
  </si>
  <si>
    <t>$ 300.92</t>
  </si>
  <si>
    <t>MLB5414540178</t>
  </si>
  <si>
    <t>Comando Vidro Eletrico Para S10 Nova 2012 2013 2015 94728492</t>
  </si>
  <si>
    <t>$ 126.12</t>
  </si>
  <si>
    <t>MLB5415931218</t>
  </si>
  <si>
    <t>$ 53.01</t>
  </si>
  <si>
    <t>MLB5416026190</t>
  </si>
  <si>
    <t>$ 129.21</t>
  </si>
  <si>
    <t>MLB5416036662</t>
  </si>
  <si>
    <t>Lâmpada D4r Xenon 12v 35w Toyota Corolla Altis 4300k</t>
  </si>
  <si>
    <t>$ 38.14</t>
  </si>
  <si>
    <t>MLB5453919846</t>
  </si>
  <si>
    <t>02 Esguicho Brucutu Para Brisas Hyunday Tucson Kia Sportage</t>
  </si>
  <si>
    <t>MLB5530093628</t>
  </si>
  <si>
    <t>Botão Freio Mão Honda Civic 2016 2017 2018</t>
  </si>
  <si>
    <t>MLB5619478228</t>
  </si>
  <si>
    <t>Boia Medidor De Nível Do Tanque De Combustível Pajero Full</t>
  </si>
  <si>
    <t>$ 194.83</t>
  </si>
  <si>
    <t>MLB5671293580</t>
  </si>
  <si>
    <t>Botão Freio De Mão Civic 2016 2017 2018 8 Pinos 35355tbaa01</t>
  </si>
  <si>
    <t>$ 127.41</t>
  </si>
  <si>
    <t>MLB5671294838</t>
  </si>
  <si>
    <t>Botão Liberação Freio Mão Honda Civic 2016 2017 2018</t>
  </si>
  <si>
    <t>$ 126.14</t>
  </si>
  <si>
    <t>MLB5700799638</t>
  </si>
  <si>
    <t>Suporte Celular Moto Gps Honda Cb 500x 2019... Preto</t>
  </si>
  <si>
    <t>$ 262.97</t>
  </si>
  <si>
    <t>MLB5720915150</t>
  </si>
  <si>
    <t>Suporte Tampa Tanque Focus 2009... 2014 2015 2016 2017 2019 Preto</t>
  </si>
  <si>
    <t>$ 68.84</t>
  </si>
  <si>
    <t>MLB5799633986</t>
  </si>
  <si>
    <t>Boia Sensor Nivel Combustível Para Ix35 Nova</t>
  </si>
  <si>
    <t>$ 208.12</t>
  </si>
  <si>
    <t>MLB5799754520</t>
  </si>
  <si>
    <t>Boia Sensor De Nível Combustível Sportage 2.0 16v Gasolina</t>
  </si>
  <si>
    <t>$ 116.19</t>
  </si>
  <si>
    <t>MLB5841178986</t>
  </si>
  <si>
    <t>Boia Nivel Sensor Medidor Tanque Pajero Full</t>
  </si>
  <si>
    <t>$ 207.02</t>
  </si>
  <si>
    <t>MLB5950551696</t>
  </si>
  <si>
    <t>Extensor Válvula Bico Pneu 45 Graus Silver Moto Adaptador Prateado</t>
  </si>
  <si>
    <t>$ 20.07</t>
  </si>
  <si>
    <t>MLB5956186382</t>
  </si>
  <si>
    <t>Par Alongador Bico Do Pneu Válvula Moto Carro Bike 45 Graus</t>
  </si>
  <si>
    <t>$ 25.04</t>
  </si>
  <si>
    <t>MLB5956895894</t>
  </si>
  <si>
    <t>Válvula Extensora 135° Para Bicicleta Silver Prateado</t>
  </si>
  <si>
    <t>167-2K</t>
  </si>
  <si>
    <t>$ 23</t>
  </si>
  <si>
    <t>MLB5956982160</t>
  </si>
  <si>
    <t>Extensor Válvula Bico Pneu 135 Graus Silver Moto Adaptador</t>
  </si>
  <si>
    <t>$ 38.98</t>
  </si>
  <si>
    <t>MLB5957012000</t>
  </si>
  <si>
    <t>Válvula Extensora 135° Para Bicicleta Moto Silver Prateado</t>
  </si>
  <si>
    <t>$ 22.11</t>
  </si>
  <si>
    <t>MLB5957033968</t>
  </si>
  <si>
    <t>Extensor Válvula Bico 135° Silver Para Bicicleta Prateado</t>
  </si>
  <si>
    <t>$ 17.26</t>
  </si>
  <si>
    <t>MLB5957137660</t>
  </si>
  <si>
    <t>Par Extensor Válvula Bico 135 Graus Silver Moto Adaptador Prateado</t>
  </si>
  <si>
    <t>$ 22.47</t>
  </si>
  <si>
    <t>MLB5996894230</t>
  </si>
  <si>
    <t>Puxador Porta Interno Bmw 528i 535i 550i M5 Ostra 2011-2016 Ostra</t>
  </si>
  <si>
    <t>$ 290.48</t>
  </si>
  <si>
    <t>MLB5997259200</t>
  </si>
  <si>
    <t>Friso Moldura Cromado Dianteira Grade City 2015 2016 2017 Prateado</t>
  </si>
  <si>
    <t>$ 502.65</t>
  </si>
  <si>
    <t>MLB6021545472</t>
  </si>
  <si>
    <t>Jogo Velas Iridium Santa Fé 3.5 V6 285 Cv 2009/2011</t>
  </si>
  <si>
    <t>$ 896.76</t>
  </si>
  <si>
    <t>MLB6142218880</t>
  </si>
  <si>
    <t>Carcaça E Válvula Termostática Freemont 2.4 Compass 2.0</t>
  </si>
  <si>
    <t>MLB6142841484</t>
  </si>
  <si>
    <t>Carcaça E Válvula Termostática Freemont 2.4 E Compass 2.0</t>
  </si>
  <si>
    <t>$ 421.32</t>
  </si>
  <si>
    <t>MLB6296243040</t>
  </si>
  <si>
    <t>Ponteira Escape Angular Toyota Yaris Corolla Sw4</t>
  </si>
  <si>
    <t>$ 82.37</t>
  </si>
  <si>
    <t>MLB6477438106</t>
  </si>
  <si>
    <t>Grade Superior Cruze Hatch/sedan 2010 2011 2012 2013 2014 Preto</t>
  </si>
  <si>
    <t>$ 175.76</t>
  </si>
  <si>
    <t>MLB6477590784</t>
  </si>
  <si>
    <t>Grade Superior C/ Friso Cromado Dianteira Cruze 2010 A 2014 Preto</t>
  </si>
  <si>
    <t>$ 158.87</t>
  </si>
  <si>
    <t>MLB6477646248</t>
  </si>
  <si>
    <t>$ 139.67</t>
  </si>
  <si>
    <t>MLB6539238824</t>
  </si>
  <si>
    <t>Tampa Radiador Honda New Civic City Fit Pressão De 1.1 Bar</t>
  </si>
  <si>
    <t>$ 58.13</t>
  </si>
  <si>
    <t>MLB6539241882</t>
  </si>
  <si>
    <t>MLB6539265018</t>
  </si>
  <si>
    <t>Tampa Radiador Honda Civic City Fit Crv Pressão De 1.1 Bar</t>
  </si>
  <si>
    <t>$ 27.94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</si>
</sst>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8" x14ac:knownFonts="1">
    <font>
      <sz val="10"/>
      <color rgb="FF000000"/>
      <name val="Arial"/>
      <scheme val="minor"/>
    </font>
    <font>
      <sz val="14"/>
      <color rgb="FF666666"/>
      <name val="Arial"/>
      <family val="2"/>
    </font>
    <font>
      <sz val="21"/>
      <color rgb="FF333333"/>
      <name val="Arial"/>
      <family val="2"/>
    </font>
    <font>
      <sz val="10"/>
      <name val="Arial"/>
      <family val="2"/>
    </font>
    <font>
      <sz val="12"/>
      <color rgb="FF434343"/>
      <name val="Arial"/>
      <family val="2"/>
    </font>
    <font>
      <sz val="10"/>
      <color theme="1"/>
      <name val="Arial"/>
      <family val="2"/>
    </font>
    <font>
      <sz val="14"/>
      <color rgb="FF333333"/>
      <name val="Arial"/>
      <family val="2"/>
    </font>
    <font>
      <b/>
      <sz val="14"/>
      <color rgb="FF333333"/>
      <name val="Arial"/>
      <family val="2"/>
    </font>
    <font>
      <sz val="10"/>
      <color rgb="FF666666"/>
      <name val="Arial"/>
      <family val="2"/>
    </font>
    <font>
      <b/>
      <sz val="10"/>
      <color rgb="FF1155CC"/>
      <name val="Arial"/>
      <family val="2"/>
    </font>
    <font>
      <b/>
      <sz val="10"/>
      <color rgb="FF666666"/>
      <name val="Arial"/>
      <family val="2"/>
    </font>
    <font>
      <b/>
      <sz val="12"/>
      <color rgb="FF434343"/>
      <name val="Arial"/>
      <family val="2"/>
    </font>
    <font>
      <sz val="14"/>
      <color rgb="FF434343"/>
      <name val="Arial"/>
      <family val="2"/>
    </font>
    <font>
      <name val="Arial"/>
      <sz val="21.0"/>
      <u val="none"/>
    </font>
    <font>
      <name val="Arial"/>
      <sz val="10.0"/>
      <u val="single"/>
      <color rgb="FF1155CC"/>
    </font>
    <font>
      <name val="Arial"/>
      <sz val="10.0"/>
      <u val="none"/>
      <color rgb="FF666666"/>
    </font>
    <font>
      <name val="Arial"/>
      <sz val="10.0"/>
      <u val="single"/>
      <color rgb="FFB7B7B7"/>
    </font>
    <font>
      <name val="Arial"/>
      <sz val="10.0"/>
      <u val="none"/>
    </font>
    <font>
      <name val="Arial"/>
      <sz val="10.0"/>
      <b val="true"/>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10.0"/>
      <b val="true"/>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10.0"/>
      <b val="true"/>
      <u val="none"/>
    </font>
    <font>
      <name val="Arial"/>
      <sz val="8.0"/>
      <u val="none"/>
      <color rgb="FF000000"/>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color rgb="FF000000"/>
    </font>
    <font>
      <name val="Arial"/>
      <sz val="8.0"/>
      <u val="none"/>
    </font>
    <font>
      <name val="Arial"/>
      <sz val="10.0"/>
      <b val="true"/>
      <u val="none"/>
      <color rgb="FFFFFFFF"/>
    </font>
    <font>
      <name val="Arial"/>
      <sz val="8.0"/>
      <u val="none"/>
    </font>
    <font>
      <name val="Arial"/>
      <sz val="10.0"/>
      <b val="true"/>
      <u val="none"/>
      <color rgb="FFFFFFFF"/>
    </font>
    <font>
      <name val="Arial"/>
      <sz val="8.0"/>
      <u val="none"/>
      <color rgb="FFFFFFFF"/>
    </font>
    <font>
      <name val="Arial"/>
      <sz val="10.0"/>
      <u val="none"/>
      <color rgb="FF999999"/>
    </font>
    <font>
      <name val="Arial"/>
      <sz val="10.0"/>
      <u val="none"/>
      <color rgb="FF999999"/>
    </font>
    <font>
      <name val="Arial"/>
      <sz val="10.0"/>
      <u val="none"/>
      <color rgb="FF999999"/>
    </font>
    <font>
      <name val="Arial"/>
      <sz val="10.0"/>
      <u val="none"/>
    </font>
    <font>
      <name val="Arial"/>
      <sz val="10.0"/>
      <u val="none"/>
      <color rgb="FF999999"/>
    </font>
    <font>
      <name val="Arial"/>
      <sz val="10.0"/>
      <u val="none"/>
    </font>
    <font>
      <name val="Arial"/>
      <sz val="10.0"/>
      <u val="none"/>
      <color rgb="FFF23D4F"/>
    </font>
    <font>
      <name val="Arial"/>
      <sz val="10.0"/>
      <u val="none"/>
      <color rgb="FF737373"/>
    </font>
  </fonts>
  <fills count="25">
    <fill>
      <patternFill patternType="none"/>
    </fill>
    <fill>
      <patternFill patternType="gray125"/>
    </fill>
    <fill>
      <patternFill patternType="solid">
        <fgColor rgb="FFFFF158"/>
        <bgColor rgb="FFFFF158"/>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8F8F8"/>
        <bgColor rgb="FFF8F8F8"/>
      </patternFill>
    </fill>
    <fill>
      <patternFill patternType="none">
        <fgColor rgb="FFFFF157"/>
      </patternFill>
    </fill>
    <fill>
      <patternFill patternType="solid">
        <fgColor rgb="FFFFF157"/>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DDDDDD"/>
      </patternFill>
    </fill>
    <fill>
      <patternFill patternType="solid">
        <fgColor rgb="FFDDDDDD"/>
      </patternFill>
    </fill>
    <fill>
      <patternFill patternType="none">
        <fgColor rgb="FFF3F3F3"/>
      </patternFill>
    </fill>
    <fill>
      <patternFill patternType="solid">
        <fgColor rgb="FFF3F3F3"/>
      </patternFill>
    </fill>
    <fill>
      <patternFill patternType="none">
        <fgColor rgb="FF9EC284"/>
      </patternFill>
    </fill>
    <fill>
      <patternFill patternType="solid">
        <fgColor rgb="FF9EC284"/>
      </patternFill>
    </fill>
    <fill>
      <patternFill patternType="none">
        <fgColor rgb="FFEAC3E4"/>
      </patternFill>
    </fill>
    <fill>
      <patternFill patternType="solid">
        <fgColor rgb="FFEAC3E4"/>
      </patternFill>
    </fill>
    <fill>
      <patternFill patternType="none">
        <fgColor rgb="FF4683F2"/>
      </patternFill>
    </fill>
    <fill>
      <patternFill patternType="solid">
        <fgColor rgb="FF4683F2"/>
      </patternFill>
    </fill>
    <fill>
      <patternFill patternType="none">
        <fgColor rgb="FFF23D4F"/>
      </patternFill>
    </fill>
    <fill>
      <patternFill patternType="solid">
        <fgColor rgb="FFF23D4F"/>
      </patternFill>
    </fill>
  </fills>
  <borders count="72">
    <border>
      <left/>
      <right/>
      <top/>
      <bottom/>
      <diagonal/>
    </border>
    <border>
      <left style="medium">
        <color rgb="FFFFF158"/>
      </left>
      <right style="medium">
        <color rgb="FFFFF158"/>
      </right>
      <top style="medium">
        <color rgb="FFFFF158"/>
      </top>
      <bottom style="medium">
        <color rgb="FFFFF158"/>
      </bottom>
      <diagonal/>
    </border>
    <border>
      <left style="medium">
        <color rgb="FFFFF158"/>
      </left>
      <right/>
      <top style="medium">
        <color rgb="FFFFF158"/>
      </top>
      <bottom style="medium">
        <color rgb="FFFFF158"/>
      </bottom>
      <diagonal/>
    </border>
    <border>
      <left/>
      <right/>
      <top style="medium">
        <color rgb="FFFFF158"/>
      </top>
      <bottom style="medium">
        <color rgb="FFFFF158"/>
      </bottom>
      <diagonal/>
    </border>
    <border>
      <left/>
      <right style="medium">
        <color rgb="FFFFF158"/>
      </right>
      <top style="medium">
        <color rgb="FFFFF158"/>
      </top>
      <bottom style="medium">
        <color rgb="FFFFF158"/>
      </bottom>
      <diagonal/>
    </border>
    <border>
      <left/>
      <right/>
      <top/>
      <bottom/>
      <diagonal/>
    </border>
    <border>
      <left/>
      <right/>
      <top/>
      <bottom/>
      <diagonal/>
    </border>
    <border>
      <left style="medium">
        <color rgb="FFFFF158"/>
      </left>
      <right/>
      <top style="medium">
        <color rgb="FFFFF158"/>
      </top>
      <bottom/>
      <diagonal/>
    </border>
    <border>
      <left/>
      <right/>
      <top style="medium">
        <color rgb="FFFFF158"/>
      </top>
      <bottom/>
      <diagonal/>
    </border>
    <border>
      <left/>
      <right style="medium">
        <color rgb="FFFFF158"/>
      </right>
      <top style="medium">
        <color rgb="FFFFF158"/>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F5F5F5"/>
      </left>
      <right style="thin">
        <color rgb="FFF5F5F5"/>
      </right>
      <top style="thin">
        <color rgb="FFF5F5F5"/>
      </top>
      <bottom style="thin">
        <color rgb="FFF5F5F5"/>
      </bottom>
      <diagonal/>
    </border>
    <border>
      <left/>
      <right style="thin">
        <color rgb="FFD9D9D9"/>
      </right>
      <top style="thin">
        <color rgb="FFF5F5F5"/>
      </top>
      <bottom/>
      <diagonal/>
    </border>
    <border>
      <left style="thin">
        <color rgb="FFD9D9D9"/>
      </left>
      <right style="medium">
        <color rgb="FFF9F9F9"/>
      </right>
      <top style="thin">
        <color rgb="FFF9F9F9"/>
      </top>
      <bottom/>
      <diagonal/>
    </border>
    <border>
      <left style="medium">
        <color rgb="FFF9F9F9"/>
      </left>
      <right/>
      <top style="thin">
        <color rgb="FFF9F9F9"/>
      </top>
      <bottom style="medium">
        <color rgb="FFF9F9F9"/>
      </bottom>
      <diagonal/>
    </border>
    <border>
      <left/>
      <right/>
      <top style="thin">
        <color rgb="FFF9F9F9"/>
      </top>
      <bottom style="medium">
        <color rgb="FFF9F9F9"/>
      </bottom>
      <diagonal/>
    </border>
    <border>
      <left/>
      <right style="medium">
        <color rgb="FFF9F9F9"/>
      </right>
      <top style="thin">
        <color rgb="FFF9F9F9"/>
      </top>
      <bottom style="medium">
        <color rgb="FFF9F9F9"/>
      </bottom>
      <diagonal/>
    </border>
    <border>
      <left style="medium">
        <color rgb="FFF5F5F5"/>
      </left>
      <right style="medium">
        <color rgb="FFF5F5F5"/>
      </right>
      <top/>
      <bottom style="medium">
        <color rgb="FFF5F5F5"/>
      </bottom>
      <diagonal/>
    </border>
    <border>
      <left/>
      <right style="thin">
        <color rgb="FFD9D9D9"/>
      </right>
      <top/>
      <bottom/>
      <diagonal/>
    </border>
    <border>
      <left style="thin">
        <color rgb="FFD9D9D9"/>
      </left>
      <right style="medium">
        <color rgb="FFF9F9F9"/>
      </right>
      <top/>
      <bottom/>
      <diagonal/>
    </border>
    <border>
      <left style="medium">
        <color rgb="FFF9F9F9"/>
      </left>
      <right/>
      <top style="medium">
        <color rgb="FFF9F9F9"/>
      </top>
      <bottom style="medium">
        <color rgb="FFF9F9F9"/>
      </bottom>
      <diagonal/>
    </border>
    <border>
      <left/>
      <right/>
      <top style="medium">
        <color rgb="FFF9F9F9"/>
      </top>
      <bottom style="thin">
        <color rgb="FFF9F9F9"/>
      </bottom>
      <diagonal/>
    </border>
    <border>
      <left/>
      <right style="medium">
        <color rgb="FFF9F9F9"/>
      </right>
      <top style="medium">
        <color rgb="FFF9F9F9"/>
      </top>
      <bottom style="thin">
        <color rgb="FFF9F9F9"/>
      </bottom>
      <diagonal/>
    </border>
    <border>
      <left style="medium">
        <color rgb="FFF9F9F9"/>
      </left>
      <right style="medium">
        <color rgb="FFF9F9F9"/>
      </right>
      <top style="medium">
        <color rgb="FFF9F9F9"/>
      </top>
      <bottom style="medium">
        <color rgb="FFF9F9F9"/>
      </bottom>
      <diagonal/>
    </border>
    <border>
      <left style="medium">
        <color rgb="FFF5F5F5"/>
      </left>
      <right style="medium">
        <color rgb="FFF5F5F5"/>
      </right>
      <top style="medium">
        <color rgb="FFF5F5F5"/>
      </top>
      <bottom style="medium">
        <color rgb="FFF5F5F5"/>
      </bottom>
      <diagonal/>
    </border>
    <border>
      <left style="medium">
        <color rgb="FFF9F9F9"/>
      </left>
      <right style="thin">
        <color rgb="FFF9F9F9"/>
      </right>
      <top/>
      <bottom style="thin">
        <color rgb="FFF9F9F9"/>
      </bottom>
      <diagonal/>
    </border>
    <border>
      <left/>
      <right style="thin">
        <color rgb="FFF9F9F9"/>
      </right>
      <top/>
      <bottom style="thin">
        <color rgb="FFF9F9F9"/>
      </bottom>
      <diagonal/>
    </border>
    <border>
      <left/>
      <right style="thin">
        <color rgb="FFF9F9F9"/>
      </right>
      <top/>
      <bottom style="medium">
        <color rgb="FFF9F9F9"/>
      </bottom>
      <diagonal/>
    </border>
    <border>
      <left style="medium">
        <color rgb="FFF9F9F9"/>
      </left>
      <right style="medium">
        <color rgb="FFF9F9F9"/>
      </right>
      <top style="medium">
        <color rgb="FFF9F9F9"/>
      </top>
      <bottom/>
      <diagonal/>
    </border>
    <border>
      <left/>
      <right style="medium">
        <color rgb="FFF9F9F9"/>
      </right>
      <top/>
      <bottom style="thin">
        <color rgb="FFF9F9F9"/>
      </bottom>
      <diagonal/>
    </border>
    <border>
      <left style="medium">
        <color rgb="FFF9F9F9"/>
      </left>
      <right/>
      <top style="medium">
        <color rgb="FFF9F9F9"/>
      </top>
      <bottom style="thin">
        <color rgb="FFF9F9F9"/>
      </bottom>
      <diagonal/>
    </border>
    <border>
      <left/>
      <right/>
      <top style="medium">
        <color rgb="FFF9F9F9"/>
      </top>
      <bottom style="thin">
        <color rgb="FFF9F9F9"/>
      </bottom>
      <diagonal/>
    </border>
    <border>
      <left/>
      <right style="medium">
        <color rgb="FFF8F8F8"/>
      </right>
      <top style="medium">
        <color rgb="FFF9F9F9"/>
      </top>
      <bottom style="thin">
        <color rgb="FFF9F9F9"/>
      </bottom>
      <diagonal/>
    </border>
    <border>
      <left style="medium">
        <color rgb="FFF8F8F8"/>
      </left>
      <right style="medium">
        <color rgb="FFF8F8F8"/>
      </right>
      <top style="medium">
        <color rgb="FFF8F8F8"/>
      </top>
      <bottom style="medium">
        <color rgb="FFF8F8F8"/>
      </bottom>
      <diagonal/>
    </border>
    <border>
      <left style="thin">
        <color rgb="FFF9F9F9"/>
      </left>
      <right/>
      <top/>
      <bottom/>
      <diagonal/>
    </border>
    <border>
      <left/>
      <right style="medium">
        <color rgb="FFF8F8F8"/>
      </right>
      <top/>
      <bottom/>
      <diagonal/>
    </border>
    <border>
      <left style="medium">
        <color rgb="FFF9F9F9"/>
      </left>
      <right/>
      <top/>
      <bottom/>
      <diagonal/>
    </border>
    <border>
      <left/>
      <right style="medium">
        <color rgb="FFF9F9F9"/>
      </right>
      <top style="medium">
        <color rgb="FFF9F9F9"/>
      </top>
      <bottom style="medium">
        <color rgb="FFF9F9F9"/>
      </bottom>
      <diagonal/>
    </border>
    <border>
      <left style="medium">
        <color rgb="FFF9F9F9"/>
      </left>
      <right/>
      <top style="thin">
        <color rgb="FFF5F5F5"/>
      </top>
      <bottom style="thin">
        <color rgb="FFF9F9F9"/>
      </bottom>
      <diagonal/>
    </border>
    <border>
      <left/>
      <right/>
      <top style="thin">
        <color rgb="FFF5F5F5"/>
      </top>
      <bottom style="thin">
        <color rgb="FFF9F9F9"/>
      </bottom>
      <diagonal/>
    </border>
    <border>
      <left/>
      <right style="medium">
        <color rgb="FFF9F9F9"/>
      </right>
      <top style="thin">
        <color rgb="FFF5F5F5"/>
      </top>
      <bottom style="thin">
        <color rgb="FFF9F9F9"/>
      </bottom>
      <diagonal/>
    </border>
    <border>
      <left style="thin">
        <color rgb="FFF9F9F9"/>
      </left>
      <right style="thin">
        <color rgb="FFF9F9F9"/>
      </right>
      <top style="thin">
        <color rgb="FFF9F9F9"/>
      </top>
      <bottom style="thin">
        <color rgb="FFF9F9F9"/>
      </bottom>
      <diagonal/>
    </border>
    <border>
      <left style="thin">
        <color rgb="FFF9F9F9"/>
      </left>
      <right/>
      <top style="thin">
        <color rgb="FFF9F9F9"/>
      </top>
      <bottom/>
      <diagonal/>
    </border>
    <border>
      <left/>
      <right/>
      <top style="thin">
        <color rgb="FFF9F9F9"/>
      </top>
      <bottom/>
      <diagonal/>
    </border>
    <border>
      <left/>
      <right style="thin">
        <color rgb="FFF9F9F9"/>
      </right>
      <top style="thin">
        <color rgb="FFF9F9F9"/>
      </top>
      <bottom/>
      <diagonal/>
    </border>
    <border>
      <left/>
      <right style="thin">
        <color rgb="FFF9F9F9"/>
      </right>
      <top style="thin">
        <color rgb="FFF9F9F9"/>
      </top>
      <bottom style="thin">
        <color rgb="FFF9F9F9"/>
      </bottom>
      <diagonal/>
    </border>
    <border>
      <left style="thin">
        <color rgb="FFF9F9F9"/>
      </left>
      <right/>
      <top/>
      <bottom/>
      <diagonal/>
    </border>
    <border>
      <left/>
      <right style="thin">
        <color rgb="FFF9F9F9"/>
      </right>
      <top/>
      <bottom/>
      <diagonal/>
    </border>
    <border>
      <left style="medium">
        <color rgb="FFF9F9F9"/>
      </left>
      <right/>
      <top/>
      <bottom/>
      <diagonal/>
    </border>
    <border>
      <left/>
      <right/>
      <top/>
      <bottom/>
      <diagonal/>
    </border>
    <border>
      <left/>
      <right style="thin">
        <color rgb="FFF9F9F9"/>
      </right>
      <top/>
      <bottom/>
      <diagonal/>
    </border>
    <border>
      <left style="medium">
        <color rgb="FFF9F9F9"/>
      </left>
      <right/>
      <top/>
      <bottom/>
      <diagonal/>
    </border>
    <border>
      <left/>
      <right/>
      <top/>
      <bottom style="medium">
        <color rgb="FFF8F8F8"/>
      </bottom>
      <diagonal/>
    </border>
    <border>
      <left style="medium">
        <color rgb="FFF9F9F9"/>
      </left>
      <right/>
      <top style="medium">
        <color rgb="FFF9F9F9"/>
      </top>
      <bottom/>
      <diagonal/>
    </border>
    <border>
      <left style="thin">
        <color rgb="FFF9F9F9"/>
      </left>
      <right style="thin">
        <color rgb="FFF9F9F9"/>
      </right>
      <top style="thin">
        <color rgb="FFF9F9F9"/>
      </top>
      <bottom/>
      <diagonal/>
    </border>
    <border>
      <left/>
      <right style="thin">
        <color rgb="FFF9F9F9"/>
      </right>
      <top style="thin">
        <color rgb="FFF9F9F9"/>
      </top>
      <bottom style="thin">
        <color rgb="FFF9F9F9"/>
      </bottom>
      <diagonal/>
    </border>
    <border>
      <left style="medium">
        <color rgb="FFF9F9F9"/>
      </left>
      <right/>
      <top style="medium">
        <color rgb="FFF9F9F9"/>
      </top>
      <bottom style="medium">
        <color rgb="FFF9F9F9"/>
      </bottom>
      <diagonal/>
    </border>
    <border>
      <left/>
      <right/>
      <top style="medium">
        <color rgb="FFF9F9F9"/>
      </top>
      <bottom style="medium">
        <color rgb="FFF9F9F9"/>
      </bottom>
      <diagonal/>
    </border>
    <border>
      <left/>
      <right/>
      <top style="thin">
        <color rgb="FFF9F9F9"/>
      </top>
      <bottom style="thin">
        <color rgb="FFF9F9F9"/>
      </bottom>
      <diagonal/>
    </border>
    <border>
      <left/>
      <right/>
      <top style="thin">
        <color rgb="FFF9F9F9"/>
      </top>
      <bottom style="medium">
        <color rgb="FFF8F8F8"/>
      </bottom>
      <diagonal/>
    </border>
    <border>
      <left/>
      <right style="medium">
        <color rgb="FFF9F9F9"/>
      </right>
      <top style="medium">
        <color rgb="FFF9F9F9"/>
      </top>
      <bottom style="medium">
        <color rgb="FFF9F9F9"/>
      </bottom>
      <diagonal/>
    </border>
    <border>
      <left style="medium">
        <color rgb="FFF9F9F9"/>
      </left>
      <right style="medium">
        <color rgb="FFF9F9F9"/>
      </right>
      <top/>
      <bottom style="medium">
        <color rgb="FFF9F9F9"/>
      </bottom>
      <diagonal/>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numFmtId="0" fontId="0" fillId="0" borderId="0"/>
  </cellStyleXfs>
  <cellXfs count="108">
    <xf numFmtId="49" fontId="0" fillId="0" borderId="0" xfId="0" applyNumberFormat="true"/>
    <xf numFmtId="0" fontId="1" fillId="2" borderId="1"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5" fillId="4" borderId="13" xfId="0" applyFont="1" applyFill="1" applyBorder="1"/>
    <xf numFmtId="0" fontId="5" fillId="4" borderId="19" xfId="0" applyFont="1" applyFill="1" applyBorder="1"/>
    <xf numFmtId="0" fontId="6" fillId="4" borderId="19" xfId="0" applyFont="1" applyFill="1" applyBorder="1"/>
    <xf numFmtId="0" fontId="7" fillId="5" borderId="22" xfId="0" applyFont="1" applyFill="1" applyBorder="1"/>
    <xf numFmtId="0" fontId="5" fillId="5" borderId="23" xfId="0" applyFont="1" applyFill="1" applyBorder="1"/>
    <xf numFmtId="0" fontId="5" fillId="5" borderId="24" xfId="0" applyFont="1" applyFill="1" applyBorder="1"/>
    <xf numFmtId="0" fontId="5" fillId="5" borderId="25" xfId="0" applyFont="1" applyFill="1" applyBorder="1"/>
    <xf numFmtId="0" fontId="5" fillId="4" borderId="26" xfId="0" applyFont="1" applyFill="1" applyBorder="1"/>
    <xf numFmtId="49" fontId="5" fillId="4" borderId="26" xfId="0" applyNumberFormat="1" applyFont="1" applyFill="1" applyBorder="1" applyAlignment="1">
      <alignment horizontal="right"/>
    </xf>
    <xf numFmtId="0" fontId="5" fillId="5" borderId="27" xfId="0" applyFont="1" applyFill="1" applyBorder="1"/>
    <xf numFmtId="0" fontId="5" fillId="5" borderId="28" xfId="0" applyFont="1" applyFill="1" applyBorder="1"/>
    <xf numFmtId="0" fontId="5" fillId="5" borderId="29" xfId="0" applyFont="1" applyFill="1" applyBorder="1"/>
    <xf numFmtId="0" fontId="5" fillId="5" borderId="30" xfId="0" applyFont="1" applyFill="1" applyBorder="1"/>
    <xf numFmtId="49" fontId="8" fillId="4" borderId="26" xfId="0" applyNumberFormat="1" applyFont="1" applyFill="1" applyBorder="1" applyAlignment="1">
      <alignment horizontal="right" vertical="center"/>
    </xf>
    <xf numFmtId="0" fontId="5" fillId="4" borderId="26" xfId="0" applyFont="1" applyFill="1" applyBorder="1" applyAlignment="1">
      <alignment vertical="center"/>
    </xf>
    <xf numFmtId="0" fontId="5" fillId="5" borderId="31" xfId="0" applyFont="1" applyFill="1" applyBorder="1"/>
    <xf numFmtId="0" fontId="8" fillId="6" borderId="35" xfId="0" applyFont="1" applyFill="1" applyBorder="1" applyAlignment="1">
      <alignment vertical="center" wrapText="1"/>
    </xf>
    <xf numFmtId="0" fontId="5" fillId="5" borderId="28" xfId="0" applyFont="1" applyFill="1" applyBorder="1" applyAlignment="1">
      <alignment vertical="top"/>
    </xf>
    <xf numFmtId="0" fontId="5" fillId="5" borderId="39" xfId="0" applyFont="1" applyFill="1" applyBorder="1"/>
    <xf numFmtId="0" fontId="5" fillId="5" borderId="43" xfId="0" applyFont="1" applyFill="1" applyBorder="1"/>
    <xf numFmtId="0" fontId="5" fillId="5" borderId="47" xfId="0" applyFont="1" applyFill="1" applyBorder="1"/>
    <xf numFmtId="49" fontId="5" fillId="4" borderId="26" xfId="0" applyNumberFormat="1" applyFont="1" applyFill="1" applyBorder="1" applyAlignment="1">
      <alignment horizontal="right" vertical="center"/>
    </xf>
    <xf numFmtId="0" fontId="11" fillId="5" borderId="25" xfId="0" applyFont="1" applyFill="1" applyBorder="1"/>
    <xf numFmtId="0" fontId="5" fillId="5" borderId="22" xfId="0" applyFont="1" applyFill="1" applyBorder="1"/>
    <xf numFmtId="0" fontId="8" fillId="6" borderId="54" xfId="0" applyFont="1" applyFill="1" applyBorder="1" applyAlignment="1">
      <alignment vertical="center" wrapText="1"/>
    </xf>
    <xf numFmtId="49" fontId="5" fillId="4" borderId="26" xfId="0" applyNumberFormat="1" applyFont="1" applyFill="1" applyBorder="1" applyAlignment="1">
      <alignment vertical="center"/>
    </xf>
    <xf numFmtId="0" fontId="5" fillId="5" borderId="55" xfId="0" applyFont="1" applyFill="1" applyBorder="1"/>
    <xf numFmtId="0" fontId="5" fillId="5" borderId="56" xfId="0" applyFont="1" applyFill="1" applyBorder="1"/>
    <xf numFmtId="0" fontId="5" fillId="5" borderId="57" xfId="0" applyFont="1" applyFill="1" applyBorder="1"/>
    <xf numFmtId="0" fontId="11" fillId="5" borderId="58" xfId="0" applyFont="1" applyFill="1" applyBorder="1"/>
    <xf numFmtId="0" fontId="4" fillId="5" borderId="25" xfId="0" applyFont="1" applyFill="1" applyBorder="1"/>
    <xf numFmtId="0" fontId="5" fillId="5" borderId="0" xfId="0" applyFont="1" applyFill="1"/>
    <xf numFmtId="0" fontId="12" fillId="5" borderId="30" xfId="0" applyFont="1" applyFill="1" applyBorder="1"/>
    <xf numFmtId="0" fontId="5" fillId="5" borderId="46" xfId="0" applyFont="1" applyFill="1" applyBorder="1"/>
    <xf numFmtId="0" fontId="5" fillId="5" borderId="62" xfId="0" applyFont="1" applyFill="1" applyBorder="1"/>
    <xf numFmtId="0" fontId="8" fillId="6" borderId="51" xfId="0" applyFont="1" applyFill="1" applyBorder="1" applyAlignment="1">
      <alignment vertical="center" wrapText="1"/>
    </xf>
    <xf numFmtId="0" fontId="5" fillId="5" borderId="58" xfId="0" applyFont="1" applyFill="1" applyBorder="1"/>
    <xf numFmtId="0" fontId="5" fillId="5" borderId="59" xfId="0" applyFont="1" applyFill="1" applyBorder="1"/>
    <xf numFmtId="0" fontId="5" fillId="5" borderId="60" xfId="0" applyFont="1" applyFill="1" applyBorder="1"/>
    <xf numFmtId="0" fontId="5" fillId="6" borderId="61" xfId="0" applyFont="1" applyFill="1" applyBorder="1"/>
    <xf numFmtId="0" fontId="5" fillId="5" borderId="63" xfId="0" applyFont="1" applyFill="1" applyBorder="1"/>
    <xf numFmtId="0" fontId="5" fillId="4" borderId="14" xfId="0" applyFont="1" applyFill="1" applyBorder="1"/>
    <xf numFmtId="0" fontId="3" fillId="0" borderId="20" xfId="0" applyFont="1" applyBorder="1"/>
    <xf numFmtId="0" fontId="5" fillId="5" borderId="15" xfId="0" applyFont="1" applyFill="1" applyBorder="1"/>
    <xf numFmtId="0" fontId="3" fillId="0" borderId="21" xfId="0" applyFont="1" applyBorder="1"/>
    <xf numFmtId="0" fontId="2" fillId="2" borderId="2" xfId="0" applyFont="1" applyFill="1" applyBorder="1" applyAlignment="1">
      <alignment horizontal="left" vertical="center"/>
    </xf>
    <xf numFmtId="0" fontId="3" fillId="0" borderId="3" xfId="0" applyFont="1" applyBorder="1"/>
    <xf numFmtId="0" fontId="3" fillId="0" borderId="4" xfId="0" applyFont="1" applyBorder="1"/>
    <xf numFmtId="0" fontId="4" fillId="2" borderId="5" xfId="0" applyFont="1" applyFill="1" applyBorder="1" applyAlignment="1">
      <alignment horizontal="left"/>
    </xf>
    <xf numFmtId="0" fontId="3" fillId="0" borderId="6" xfId="0" applyFont="1" applyBorder="1"/>
    <xf numFmtId="0" fontId="1" fillId="2" borderId="7" xfId="0" applyFont="1" applyFill="1" applyBorder="1" applyAlignment="1">
      <alignment horizontal="center" vertical="center"/>
    </xf>
    <xf numFmtId="0" fontId="3" fillId="0" borderId="8" xfId="0" applyFont="1" applyBorder="1"/>
    <xf numFmtId="0" fontId="3" fillId="0" borderId="9" xfId="0" applyFont="1" applyBorder="1"/>
    <xf numFmtId="0" fontId="5" fillId="5" borderId="16" xfId="0" applyFont="1" applyFill="1" applyBorder="1"/>
    <xf numFmtId="0" fontId="3" fillId="0" borderId="17" xfId="0" applyFont="1" applyBorder="1"/>
    <xf numFmtId="0" fontId="3" fillId="0" borderId="18" xfId="0" applyFont="1" applyBorder="1"/>
    <xf numFmtId="0" fontId="8" fillId="5" borderId="32" xfId="0" applyFont="1" applyFill="1" applyBorder="1"/>
    <xf numFmtId="0" fontId="3" fillId="0" borderId="33" xfId="0" applyFont="1" applyBorder="1"/>
    <xf numFmtId="0" fontId="3" fillId="0" borderId="34" xfId="0" applyFont="1" applyBorder="1"/>
    <xf numFmtId="0" fontId="8" fillId="6" borderId="50" xfId="0" applyFont="1" applyFill="1" applyBorder="1" applyAlignment="1">
      <alignment vertical="center" wrapText="1"/>
    </xf>
    <xf numFmtId="0" fontId="3" fillId="0" borderId="51" xfId="0" applyFont="1" applyBorder="1"/>
    <xf numFmtId="0" fontId="3" fillId="0" borderId="52" xfId="0" applyFont="1" applyBorder="1"/>
    <xf numFmtId="0" fontId="3" fillId="0" borderId="53" xfId="0" applyFont="1" applyBorder="1"/>
    <xf numFmtId="0" fontId="0" fillId="0" borderId="0" xfId="0"/>
    <xf numFmtId="0" fontId="3" fillId="0" borderId="49" xfId="0" applyFont="1" applyBorder="1"/>
    <xf numFmtId="0" fontId="7" fillId="5" borderId="40" xfId="0" applyFont="1" applyFill="1" applyBorder="1"/>
    <xf numFmtId="0" fontId="3" fillId="0" borderId="41" xfId="0" applyFont="1" applyBorder="1"/>
    <xf numFmtId="0" fontId="3" fillId="0" borderId="42" xfId="0" applyFont="1" applyBorder="1"/>
    <xf numFmtId="0" fontId="8" fillId="6" borderId="44" xfId="0" applyFont="1" applyFill="1" applyBorder="1" applyAlignment="1">
      <alignment horizontal="left" vertical="center" wrapText="1"/>
    </xf>
    <xf numFmtId="0" fontId="3" fillId="0" borderId="45" xfId="0" applyFont="1" applyBorder="1"/>
    <xf numFmtId="0" fontId="3" fillId="0" borderId="46" xfId="0" applyFont="1" applyBorder="1"/>
    <xf numFmtId="0" fontId="3" fillId="0" borderId="48" xfId="0" applyFont="1" applyBorder="1"/>
    <xf numFmtId="0" fontId="8" fillId="6" borderId="53" xfId="0" applyFont="1" applyFill="1" applyBorder="1" applyAlignment="1">
      <alignment horizontal="left" vertical="center" wrapText="1"/>
    </xf>
    <xf numFmtId="0" fontId="8" fillId="6" borderId="53" xfId="0" applyFont="1" applyFill="1" applyBorder="1" applyAlignment="1">
      <alignment horizontal="left" vertical="top" wrapText="1"/>
    </xf>
    <xf numFmtId="0" fontId="3" fillId="0" borderId="51" xfId="0" applyFont="1" applyBorder="1" applyAlignment="1">
      <alignment vertical="top"/>
    </xf>
    <xf numFmtId="0" fontId="3" fillId="0" borderId="52" xfId="0" applyFont="1" applyBorder="1" applyAlignment="1">
      <alignment vertical="top"/>
    </xf>
    <xf numFmtId="0" fontId="3" fillId="0" borderId="53" xfId="0" applyFont="1" applyBorder="1" applyAlignment="1">
      <alignment vertical="top"/>
    </xf>
    <xf numFmtId="0" fontId="0" fillId="0" borderId="0" xfId="0" applyAlignment="1">
      <alignment vertical="top"/>
    </xf>
    <xf numFmtId="0" fontId="8" fillId="6" borderId="53" xfId="0" applyFont="1" applyFill="1" applyBorder="1" applyAlignment="1">
      <alignment vertical="center" wrapText="1"/>
    </xf>
    <xf numFmtId="0" fontId="9" fillId="5" borderId="36" xfId="0" applyFont="1" applyFill="1" applyBorder="1" applyAlignment="1">
      <alignment horizontal="left" vertical="top" wrapText="1"/>
    </xf>
    <xf numFmtId="0" fontId="3" fillId="0" borderId="37" xfId="0" applyFont="1" applyBorder="1"/>
    <xf numFmtId="0" fontId="10" fillId="5" borderId="38" xfId="0" applyFont="1" applyFill="1" applyBorder="1" applyAlignment="1">
      <alignment horizontal="left" vertical="center" wrapText="1"/>
    </xf>
    <xf numFmtId="0" fontId="8" fillId="5" borderId="38" xfId="0" applyFont="1" applyFill="1" applyBorder="1" applyAlignment="1">
      <alignment horizontal="left" vertical="center" wrapText="1"/>
    </xf>
    <xf numFmtId="0" fontId="13" fillId="8" borderId="0" xfId="0" applyFont="true" applyFill="true" applyAlignment="true">
      <alignment horizontal="left" vertical="center" wrapText="false"/>
      <protection locked="false"/>
    </xf>
    <xf numFmtId="0" fontId="14" fillId="10" borderId="0" xfId="0" applyFont="true" applyFill="true">
      <alignment wrapText="false"/>
      <protection locked="false"/>
    </xf>
    <xf numFmtId="0" fontId="15" fillId="10" borderId="0" xfId="0" applyFont="true" applyFill="true" applyAlignment="true">
      <alignment horizontal="left" vertical="center" wrapText="false"/>
      <protection locked="false"/>
    </xf>
    <xf numFmtId="0" fontId="16" fillId="12" borderId="0" xfId="0" applyFont="true" applyFill="true">
      <alignment wrapText="false"/>
      <protection locked="false"/>
    </xf>
    <xf numFmtId="0" fontId="17" fillId="0" borderId="0" xfId="0" applyFont="true" applyBorder="true">
      <alignment wrapText="false"/>
      <protection locked="false"/>
    </xf>
    <xf numFmtId="0" fontId="18" fillId="14" borderId="71" xfId="0" applyFont="true" applyFill="true" applyAlignment="true" applyBorder="true">
      <alignment horizontal="center" vertical="center" wrapText="true"/>
      <protection locked="false"/>
    </xf>
    <xf numFmtId="0" fontId="20" fillId="16" borderId="71" xfId="0" applyFont="true" applyFill="true" applyAlignment="true" applyBorder="true">
      <alignment horizontal="center" vertical="center" wrapText="true"/>
      <protection locked="false"/>
    </xf>
    <xf numFmtId="0" fontId="28" fillId="18" borderId="71" xfId="0" applyFont="true" applyFill="true" applyAlignment="true" applyBorder="true">
      <alignment horizontal="center" vertical="center" wrapText="true"/>
      <protection locked="false"/>
    </xf>
    <xf numFmtId="0" fontId="36" fillId="20" borderId="71" xfId="0" applyFont="true" applyFill="true" applyAlignment="true" applyBorder="true">
      <alignment horizontal="center" vertical="center" wrapText="true"/>
      <protection locked="false"/>
    </xf>
    <xf numFmtId="0" fontId="44" fillId="0" borderId="0" xfId="0" applyFont="true" applyAlignment="true">
      <alignment horizontal="center" vertical="center" wrapText="true"/>
      <protection locked="false"/>
    </xf>
    <xf numFmtId="0" fontId="46" fillId="22" borderId="71" xfId="0" applyFont="true" applyFill="true" applyAlignment="true" applyBorder="true">
      <alignment horizontal="center" vertical="center" wrapText="true"/>
      <protection locked="false"/>
    </xf>
    <xf numFmtId="0" fontId="48" fillId="24" borderId="71" xfId="0" applyFont="true" applyFill="true" applyAlignment="true" applyBorder="true">
      <alignment horizontal="center" vertical="center" wrapText="true"/>
      <protection locked="false"/>
    </xf>
    <xf numFmtId="0" fontId="50" fillId="16" borderId="71" xfId="0" applyFont="true" applyFill="true" applyAlignment="true" applyBorder="true">
      <alignment horizontal="right" vertical="center" wrapText="true"/>
      <protection locked="true"/>
    </xf>
    <xf numFmtId="0" fontId="51" fillId="16" borderId="71" xfId="0" applyFont="true" applyFill="true" applyAlignment="true" applyBorder="true">
      <alignment horizontal="left" vertical="center" wrapText="true"/>
      <protection locked="true"/>
    </xf>
    <xf numFmtId="0" fontId="52" fillId="16" borderId="71" xfId="0" applyFont="true" applyFill="true" applyAlignment="true" applyBorder="true">
      <alignment horizontal="right" vertical="center" wrapText="true"/>
      <protection locked="true"/>
    </xf>
    <xf numFmtId="0" fontId="53" fillId="0" borderId="71" xfId="0" applyFont="true" applyAlignment="true" applyBorder="true">
      <alignment horizontal="right" vertical="center" wrapText="false"/>
      <protection locked="false"/>
    </xf>
    <xf numFmtId="0" fontId="54" fillId="16" borderId="71" xfId="0" applyFont="true" applyFill="true" applyAlignment="true" applyBorder="true">
      <alignment horizontal="center" vertical="center" wrapText="true"/>
      <protection locked="true"/>
    </xf>
    <xf numFmtId="0" fontId="55" fillId="0" borderId="71" xfId="0" applyFont="true" applyAlignment="true" applyBorder="true">
      <alignment horizontal="center" vertical="center" wrapText="false"/>
      <protection locked="false"/>
    </xf>
    <xf numFmtId="0" fontId="56" fillId="0" borderId="71" xfId="0" applyFont="true" applyAlignment="true" applyBorder="true">
      <alignment horizontal="left" vertical="center" wrapText="false"/>
      <protection locked="true"/>
    </xf>
    <xf numFmtId="0" fontId="57" fillId="16" borderId="71" xfId="0" applyFont="true" applyFill="true" applyAlignment="true" applyBorder="true">
      <alignment horizontal="left" vertical="center" wrapText="true"/>
      <protection locked="true"/>
    </xf>
  </cellXfs>
  <cellStyles count="1">
    <cellStyle name="Normal" xfId="0" builtinId="0"/>
  </cellStyles>
  <dxfs count="1828">
    <dxf>
      <fill>
        <patternFill patternType="solid">
          <fgColor rgb="FFB7E1CD"/>
          <bgColor rgb="FFB7E1CD"/>
        </patternFill>
      </fill>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
      <font>
        <color rgb="28A664"/>
      </font>
      <fill>
        <patternFill patternType="solid">
          <bgColor rgb="FFF3F3F3"/>
        </patternFill>
      </fill>
      <border>
        <left style="thin">
          <color rgb="FFCFCFCF"/>
        </left>
        <right style="thin">
          <color rgb="FFCFCFCF"/>
        </right>
        <top style="thin">
          <color rgb="FFCFCFCF"/>
        </top>
        <bottom style="thin">
          <color rgb="FFCFCFCF"/>
        </bottom>
      </border>
    </dxf>
    <dxf>
      <font>
        <color rgb="FF7734"/>
      </font>
      <fill>
        <patternFill patternType="solid">
          <bgColor rgb="FFF3F3F3"/>
        </patternFill>
      </fill>
      <border>
        <left style="thin">
          <color rgb="FFCFCFCF"/>
        </left>
        <right style="thin">
          <color rgb="FFCFCFCF"/>
        </right>
        <top style="thin">
          <color rgb="FFCFCFCF"/>
        </top>
        <bottom style="thin">
          <color rgb="FFCFCFCF"/>
        </bottom>
      </border>
    </dxf>
    <dxf>
      <font>
        <color indexed="5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3.xml" Type="http://schemas.openxmlformats.org/officeDocument/2006/relationships/worksheet"/><Relationship Id="rId5" Target="metadata" Type="http://customschemas.google.com/relationships/workbookmetadata"/><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6</xdr:col>
      <xdr:colOff>209550</xdr:colOff>
      <xdr:row>8</xdr:row>
      <xdr:rowOff>104775</xdr:rowOff>
    </xdr:from>
    <xdr:ext cx="495300" cy="49530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161925</xdr:colOff>
      <xdr:row>0</xdr:row>
      <xdr:rowOff>219075</xdr:rowOff>
    </xdr:from>
    <xdr:ext cx="504825" cy="36195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mercadolivre.com.br/anuncios/lista/promos/edicao-offline/C-MLB3378397"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vre.com.br/anuncios/lista/promos/edicao-offline/C-MLB337839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155CC"/>
    <outlinePr summaryBelow="0" summaryRight="0"/>
  </sheetPr>
  <dimension ref="A1:P1000"/>
  <sheetViews>
    <sheetView tabSelected="1" zoomScale="109" workbookViewId="0">
      <selection activeCell="R65" sqref="R65"/>
    </sheetView>
  </sheetViews>
  <sheetFormatPr baseColWidth="10" defaultColWidth="12.6640625" defaultRowHeight="15" customHeight="1" x14ac:dyDescent="0.15"/>
  <cols>
    <col min="1" max="1" customWidth="true" width="12.1640625"/>
    <col min="2" max="2" customWidth="true" width="6.33203125"/>
    <col min="3" max="3" customWidth="true" width="1.33203125"/>
    <col min="4" max="4" customWidth="true" width="32.0"/>
    <col min="5" max="7" customWidth="true" width="6.1640625"/>
    <col min="8" max="10" customWidth="true" width="7.5"/>
    <col min="11" max="11" customWidth="true" width="1.83203125"/>
    <col min="12" max="14" customWidth="true" width="14.5"/>
    <col min="15" max="16" customWidth="true" width="12.1640625"/>
    <col min="17" max="26" customWidth="true" width="14.5"/>
  </cols>
  <sheetData>
    <row r="1" spans="1:16" ht="24" customHeight="1" x14ac:dyDescent="0.15">
      <c r="A1" s="1"/>
      <c r="B1" s="1"/>
      <c r="C1" s="1"/>
      <c r="D1" s="1"/>
      <c r="E1" s="1"/>
      <c r="F1" s="1"/>
      <c r="G1" s="1"/>
      <c r="H1" s="1"/>
      <c r="I1" s="1"/>
      <c r="J1" s="1"/>
      <c r="K1" s="1"/>
      <c r="L1" s="1"/>
      <c r="M1" s="1"/>
      <c r="N1" s="1"/>
      <c r="O1" s="1"/>
      <c r="P1" s="1"/>
    </row>
    <row r="2" spans="1:16" ht="28.5" customHeight="1" x14ac:dyDescent="0.15">
      <c r="A2" s="1"/>
      <c r="B2" s="88" t="s">
        <v>21</v>
      </c>
      <c r="C2" s="51"/>
      <c r="D2" s="51"/>
      <c r="E2" s="51"/>
      <c r="F2" s="51"/>
      <c r="G2" s="51"/>
      <c r="H2" s="51"/>
      <c r="I2" s="51"/>
      <c r="J2" s="51"/>
      <c r="K2" s="51"/>
      <c r="L2" s="51"/>
      <c r="M2" s="51"/>
      <c r="N2" s="52"/>
      <c r="O2" s="1"/>
      <c r="P2" s="1"/>
    </row>
    <row r="3" spans="1:16" ht="18.75" customHeight="1" x14ac:dyDescent="0.2">
      <c r="A3" s="1"/>
      <c r="B3" s="53" t="s">
        <v>0</v>
      </c>
      <c r="C3" s="54"/>
      <c r="D3" s="54"/>
      <c r="E3" s="54"/>
      <c r="F3" s="54"/>
      <c r="G3" s="54"/>
      <c r="H3" s="54"/>
      <c r="I3" s="54"/>
      <c r="J3" s="54"/>
      <c r="K3" s="54"/>
      <c r="L3" s="54"/>
      <c r="M3" s="54"/>
      <c r="N3" s="54"/>
      <c r="O3" s="1"/>
      <c r="P3" s="1"/>
    </row>
    <row r="4" spans="1:16" ht="30" customHeight="1" x14ac:dyDescent="0.15">
      <c r="A4" s="55"/>
      <c r="B4" s="56"/>
      <c r="C4" s="56"/>
      <c r="D4" s="56"/>
      <c r="E4" s="56"/>
      <c r="F4" s="56"/>
      <c r="G4" s="56"/>
      <c r="H4" s="56"/>
      <c r="I4" s="56"/>
      <c r="J4" s="56"/>
      <c r="K4" s="56"/>
      <c r="L4" s="56"/>
      <c r="M4" s="56"/>
      <c r="N4" s="56"/>
      <c r="O4" s="56"/>
      <c r="P4" s="57"/>
    </row>
    <row r="5" spans="1:16" ht="3" customHeight="1" x14ac:dyDescent="0.15">
      <c r="A5" s="2"/>
      <c r="B5" s="3"/>
      <c r="C5" s="3"/>
      <c r="D5" s="3"/>
      <c r="E5" s="3"/>
      <c r="F5" s="3"/>
      <c r="G5" s="3"/>
      <c r="H5" s="3"/>
      <c r="I5" s="3"/>
      <c r="J5" s="3"/>
      <c r="K5" s="3"/>
      <c r="L5" s="3"/>
      <c r="M5" s="3"/>
      <c r="N5" s="3"/>
      <c r="O5" s="3"/>
      <c r="P5" s="4"/>
    </row>
    <row r="6" spans="1:16" ht="24" customHeight="1" x14ac:dyDescent="0.15">
      <c r="A6" s="5"/>
      <c r="B6" s="5"/>
      <c r="C6" s="5"/>
      <c r="D6" s="5"/>
      <c r="E6" s="46"/>
      <c r="F6" s="48"/>
      <c r="G6" s="58"/>
      <c r="H6" s="59"/>
      <c r="I6" s="59"/>
      <c r="J6" s="59"/>
      <c r="K6" s="59"/>
      <c r="L6" s="59"/>
      <c r="M6" s="59"/>
      <c r="N6" s="59"/>
      <c r="O6" s="59"/>
      <c r="P6" s="60"/>
    </row>
    <row r="7" spans="1:16" ht="18" x14ac:dyDescent="0.2">
      <c r="A7" s="6"/>
      <c r="B7" s="7" t="s">
        <v>1</v>
      </c>
      <c r="C7" s="6"/>
      <c r="D7" s="6"/>
      <c r="E7" s="47"/>
      <c r="F7" s="49"/>
      <c r="G7" s="8" t="s">
        <v>2</v>
      </c>
      <c r="H7" s="9"/>
      <c r="I7" s="10"/>
      <c r="J7" s="10"/>
      <c r="K7" s="10"/>
      <c r="L7" s="10"/>
      <c r="M7" s="10"/>
      <c r="N7" s="10"/>
      <c r="O7" s="11"/>
      <c r="P7" s="11"/>
    </row>
    <row r="8" spans="1:16" ht="18.75" customHeight="1" x14ac:dyDescent="0.15">
      <c r="A8" s="12"/>
      <c r="B8" s="13"/>
      <c r="C8" s="12"/>
      <c r="D8" s="12"/>
      <c r="E8" s="47"/>
      <c r="F8" s="49"/>
      <c r="G8" s="14"/>
      <c r="H8" s="15"/>
      <c r="I8" s="16"/>
      <c r="J8" s="16"/>
      <c r="K8" s="16"/>
      <c r="L8" s="16"/>
      <c r="M8" s="16"/>
      <c r="N8" s="16"/>
      <c r="O8" s="17"/>
      <c r="P8" s="17"/>
    </row>
    <row r="9" spans="1:16" ht="18.75" customHeight="1" x14ac:dyDescent="0.15">
      <c r="A9" s="12"/>
      <c r="B9" s="91" t="s">
        <v>26</v>
      </c>
      <c r="C9" s="19"/>
      <c r="D9" s="19"/>
      <c r="E9" s="47"/>
      <c r="F9" s="49"/>
      <c r="G9" s="14"/>
      <c r="H9" s="20"/>
      <c r="I9" s="61" t="s">
        <v>3</v>
      </c>
      <c r="J9" s="62"/>
      <c r="K9" s="62"/>
      <c r="L9" s="62"/>
      <c r="M9" s="62"/>
      <c r="N9" s="63"/>
      <c r="O9" s="21"/>
      <c r="P9" s="21"/>
    </row>
    <row r="10" spans="1:16" ht="18.75" customHeight="1" x14ac:dyDescent="0.15">
      <c r="A10" s="12"/>
      <c r="B10" s="91" t="s">
        <v>27</v>
      </c>
      <c r="C10" s="19"/>
      <c r="D10" s="19"/>
      <c r="E10" s="47"/>
      <c r="F10" s="49"/>
      <c r="G10" s="14"/>
      <c r="H10" s="22"/>
      <c r="I10" s="89" t="s">
        <v>22</v>
      </c>
      <c r="J10" s="54"/>
      <c r="K10" s="54"/>
      <c r="L10" s="54"/>
      <c r="M10" s="54"/>
      <c r="N10" s="54"/>
      <c r="O10" s="54"/>
      <c r="P10" s="85"/>
    </row>
    <row r="11" spans="1:16" ht="18.75" customHeight="1" x14ac:dyDescent="0.15">
      <c r="A11" s="12"/>
      <c r="B11" s="91" t="s">
        <v>28</v>
      </c>
      <c r="C11" s="19"/>
      <c r="D11" s="19"/>
      <c r="E11" s="47"/>
      <c r="F11" s="49"/>
      <c r="G11" s="14"/>
      <c r="H11" s="20"/>
      <c r="I11" s="86" t="s">
        <v>4</v>
      </c>
      <c r="J11" s="54"/>
      <c r="K11" s="54"/>
      <c r="L11" s="54"/>
      <c r="M11" s="54"/>
      <c r="N11" s="54"/>
      <c r="O11" s="54"/>
      <c r="P11" s="85"/>
    </row>
    <row r="12" spans="1:16" ht="18.75" customHeight="1" thickBot="1" x14ac:dyDescent="0.2">
      <c r="A12" s="12"/>
      <c r="B12" s="91" t="s">
        <v>29</v>
      </c>
      <c r="C12" s="19"/>
      <c r="D12" s="19"/>
      <c r="E12" s="47"/>
      <c r="F12" s="49"/>
      <c r="G12" s="14"/>
      <c r="H12" s="15"/>
      <c r="I12" s="90" t="s">
        <v>23</v>
      </c>
      <c r="J12" s="54"/>
      <c r="K12" s="54"/>
      <c r="L12" s="54"/>
      <c r="M12" s="54"/>
      <c r="N12" s="54"/>
      <c r="O12" s="54"/>
      <c r="P12" s="85"/>
    </row>
    <row r="13" spans="1:16" ht="18.75" customHeight="1" thickBot="1" x14ac:dyDescent="0.25">
      <c r="A13" s="12"/>
      <c r="B13" s="91" t="s">
        <v>30</v>
      </c>
      <c r="C13" s="19"/>
      <c r="D13" s="19"/>
      <c r="E13" s="47"/>
      <c r="F13" s="49"/>
      <c r="G13" s="70" t="s">
        <v>5</v>
      </c>
      <c r="H13" s="71"/>
      <c r="I13" s="71"/>
      <c r="J13" s="71"/>
      <c r="K13" s="71"/>
      <c r="L13" s="71"/>
      <c r="M13" s="71"/>
      <c r="N13" s="72"/>
      <c r="O13" s="17"/>
      <c r="P13" s="25"/>
    </row>
    <row r="14" spans="1:16" ht="18.75" customHeight="1" thickBot="1" x14ac:dyDescent="0.2">
      <c r="A14" s="12"/>
      <c r="B14" s="91" t="s">
        <v>31</v>
      </c>
      <c r="C14" s="19"/>
      <c r="D14" s="19"/>
      <c r="E14" s="47"/>
      <c r="F14" s="49"/>
      <c r="G14" s="24"/>
      <c r="H14" s="73" t="s">
        <v>10</v>
      </c>
      <c r="I14" s="74"/>
      <c r="J14" s="74"/>
      <c r="K14" s="74"/>
      <c r="L14" s="74"/>
      <c r="M14" s="74"/>
      <c r="N14" s="74"/>
      <c r="O14" s="75"/>
      <c r="P14" s="25"/>
    </row>
    <row r="15" spans="1:16" ht="18.75" customHeight="1" thickBot="1" x14ac:dyDescent="0.2">
      <c r="A15" s="12"/>
      <c r="B15" s="91" t="s">
        <v>32</v>
      </c>
      <c r="C15" s="19"/>
      <c r="D15" s="19"/>
      <c r="E15" s="47"/>
      <c r="F15" s="49"/>
      <c r="G15" s="24"/>
      <c r="H15" s="76"/>
      <c r="I15" s="68"/>
      <c r="J15" s="68"/>
      <c r="K15" s="68"/>
      <c r="L15" s="68"/>
      <c r="M15" s="68"/>
      <c r="N15" s="68"/>
      <c r="O15" s="66"/>
      <c r="P15" s="25"/>
    </row>
    <row r="16" spans="1:16" ht="18.75" customHeight="1" thickBot="1" x14ac:dyDescent="0.2">
      <c r="A16" s="12"/>
      <c r="B16" s="91" t="s">
        <v>33</v>
      </c>
      <c r="C16" s="19"/>
      <c r="D16" s="19"/>
      <c r="E16" s="47"/>
      <c r="F16" s="49"/>
      <c r="G16" s="36"/>
      <c r="H16" s="76"/>
      <c r="I16" s="68"/>
      <c r="J16" s="68"/>
      <c r="K16" s="68"/>
      <c r="L16" s="68"/>
      <c r="M16" s="68"/>
      <c r="N16" s="68"/>
      <c r="O16" s="66"/>
      <c r="P16" s="25"/>
    </row>
    <row r="17" spans="1:16" ht="18.75" customHeight="1" thickBot="1" x14ac:dyDescent="0.25">
      <c r="A17" s="12"/>
      <c r="B17" s="91" t="s">
        <v>34</v>
      </c>
      <c r="C17" s="19"/>
      <c r="D17" s="19"/>
      <c r="E17" s="47"/>
      <c r="F17" s="49"/>
      <c r="G17" s="27" t="s">
        <v>11</v>
      </c>
      <c r="H17" s="37"/>
      <c r="I17" s="37"/>
      <c r="J17" s="37"/>
      <c r="K17" s="17"/>
      <c r="L17" s="17"/>
      <c r="M17" s="17"/>
      <c r="N17" s="17"/>
      <c r="O17" s="38"/>
      <c r="P17" s="25"/>
    </row>
    <row r="18" spans="1:16" ht="18.75" customHeight="1" thickBot="1" x14ac:dyDescent="0.2">
      <c r="A18" s="12"/>
      <c r="B18" s="91" t="s">
        <v>35</v>
      </c>
      <c r="C18" s="19"/>
      <c r="D18" s="19"/>
      <c r="E18" s="47"/>
      <c r="F18" s="49"/>
      <c r="G18" s="39"/>
      <c r="H18" s="77" t="s">
        <v>18</v>
      </c>
      <c r="I18" s="65"/>
      <c r="J18" s="65"/>
      <c r="K18" s="65"/>
      <c r="L18" s="65"/>
      <c r="M18" s="65"/>
      <c r="N18" s="65"/>
      <c r="O18" s="66"/>
      <c r="P18" s="25"/>
    </row>
    <row r="19" spans="1:16" ht="18.75" customHeight="1" thickBot="1" x14ac:dyDescent="0.2">
      <c r="A19" s="12"/>
      <c r="B19" s="91" t="s">
        <v>36</v>
      </c>
      <c r="C19" s="19"/>
      <c r="D19" s="19"/>
      <c r="E19" s="47"/>
      <c r="F19" s="49"/>
      <c r="G19" s="39"/>
      <c r="H19" s="67"/>
      <c r="I19" s="68"/>
      <c r="J19" s="68"/>
      <c r="K19" s="68"/>
      <c r="L19" s="68"/>
      <c r="M19" s="68"/>
      <c r="N19" s="68"/>
      <c r="O19" s="66"/>
      <c r="P19" s="25"/>
    </row>
    <row r="20" spans="1:16" ht="18.75" customHeight="1" thickBot="1" x14ac:dyDescent="0.2">
      <c r="A20" s="12"/>
      <c r="B20" s="91" t="s">
        <v>37</v>
      </c>
      <c r="C20" s="19"/>
      <c r="D20" s="19"/>
      <c r="E20" s="47"/>
      <c r="F20" s="49"/>
      <c r="G20" s="39"/>
      <c r="H20" s="67"/>
      <c r="I20" s="68"/>
      <c r="J20" s="68"/>
      <c r="K20" s="68"/>
      <c r="L20" s="68"/>
      <c r="M20" s="68"/>
      <c r="N20" s="68"/>
      <c r="O20" s="66"/>
      <c r="P20" s="25"/>
    </row>
    <row r="21" spans="1:16" ht="18.75" customHeight="1" thickBot="1" x14ac:dyDescent="0.2">
      <c r="A21" s="12"/>
      <c r="B21" s="91" t="s">
        <v>38</v>
      </c>
      <c r="C21" s="19"/>
      <c r="D21" s="19"/>
      <c r="E21" s="47"/>
      <c r="F21" s="49"/>
      <c r="G21" s="39"/>
      <c r="H21" s="78" t="s">
        <v>19</v>
      </c>
      <c r="I21" s="79"/>
      <c r="J21" s="79"/>
      <c r="K21" s="79"/>
      <c r="L21" s="79"/>
      <c r="M21" s="79"/>
      <c r="N21" s="79"/>
      <c r="O21" s="80"/>
      <c r="P21" s="25"/>
    </row>
    <row r="22" spans="1:16" ht="18.75" customHeight="1" thickBot="1" x14ac:dyDescent="0.2">
      <c r="A22" s="12"/>
      <c r="B22" s="91" t="s">
        <v>39</v>
      </c>
      <c r="C22" s="19"/>
      <c r="D22" s="19"/>
      <c r="E22" s="47"/>
      <c r="F22" s="49"/>
      <c r="G22" s="39"/>
      <c r="H22" s="81"/>
      <c r="I22" s="82"/>
      <c r="J22" s="82"/>
      <c r="K22" s="82"/>
      <c r="L22" s="82"/>
      <c r="M22" s="82"/>
      <c r="N22" s="82"/>
      <c r="O22" s="80"/>
      <c r="P22" s="25"/>
    </row>
    <row r="23" spans="1:16" ht="18.75" customHeight="1" thickBot="1" x14ac:dyDescent="0.2">
      <c r="A23" s="12"/>
      <c r="B23" s="91" t="s">
        <v>40</v>
      </c>
      <c r="C23" s="19"/>
      <c r="D23" s="19"/>
      <c r="E23" s="47"/>
      <c r="F23" s="49"/>
      <c r="G23" s="39"/>
      <c r="H23" s="81"/>
      <c r="I23" s="82"/>
      <c r="J23" s="82"/>
      <c r="K23" s="82"/>
      <c r="L23" s="82"/>
      <c r="M23" s="82"/>
      <c r="N23" s="82"/>
      <c r="O23" s="80"/>
      <c r="P23" s="25"/>
    </row>
    <row r="24" spans="1:16" ht="18.75" customHeight="1" thickBot="1" x14ac:dyDescent="0.2">
      <c r="A24" s="12"/>
      <c r="B24" s="91" t="s">
        <v>41</v>
      </c>
      <c r="C24" s="19"/>
      <c r="D24" s="19"/>
      <c r="E24" s="47"/>
      <c r="F24" s="49"/>
      <c r="G24" s="39"/>
      <c r="H24" s="78" t="s">
        <v>20</v>
      </c>
      <c r="I24" s="79"/>
      <c r="J24" s="79"/>
      <c r="K24" s="79"/>
      <c r="L24" s="79"/>
      <c r="M24" s="79"/>
      <c r="N24" s="79"/>
      <c r="O24" s="80"/>
      <c r="P24" s="25"/>
    </row>
    <row r="25" spans="1:16" ht="18.75" customHeight="1" thickBot="1" x14ac:dyDescent="0.2">
      <c r="A25" s="12"/>
      <c r="B25" s="91" t="s">
        <v>42</v>
      </c>
      <c r="C25" s="19"/>
      <c r="D25" s="19"/>
      <c r="E25" s="47"/>
      <c r="F25" s="49"/>
      <c r="G25" s="39"/>
      <c r="H25" s="81"/>
      <c r="I25" s="82"/>
      <c r="J25" s="82"/>
      <c r="K25" s="82"/>
      <c r="L25" s="82"/>
      <c r="M25" s="82"/>
      <c r="N25" s="82"/>
      <c r="O25" s="80"/>
      <c r="P25" s="25"/>
    </row>
    <row r="26" spans="1:16" ht="18.75" customHeight="1" thickBot="1" x14ac:dyDescent="0.2">
      <c r="A26" s="12"/>
      <c r="B26" s="91" t="s">
        <v>43</v>
      </c>
      <c r="C26" s="19"/>
      <c r="D26" s="19"/>
      <c r="E26" s="47"/>
      <c r="F26" s="49"/>
      <c r="G26" s="39"/>
      <c r="H26" s="81"/>
      <c r="I26" s="82"/>
      <c r="J26" s="82"/>
      <c r="K26" s="82"/>
      <c r="L26" s="82"/>
      <c r="M26" s="82"/>
      <c r="N26" s="82"/>
      <c r="O26" s="80"/>
      <c r="P26" s="25"/>
    </row>
    <row r="27" spans="1:16" ht="18.75" customHeight="1" thickBot="1" x14ac:dyDescent="0.25">
      <c r="A27" s="12"/>
      <c r="B27" s="91" t="s">
        <v>44</v>
      </c>
      <c r="C27" s="19"/>
      <c r="D27" s="19"/>
      <c r="E27" s="47"/>
      <c r="F27" s="49"/>
      <c r="G27" s="27" t="s">
        <v>12</v>
      </c>
      <c r="H27" s="31"/>
      <c r="I27" s="32"/>
      <c r="J27" s="32"/>
      <c r="K27" s="32"/>
      <c r="L27" s="40"/>
      <c r="M27" s="17"/>
      <c r="N27" s="17"/>
      <c r="O27" s="38"/>
      <c r="P27" s="25"/>
    </row>
    <row r="28" spans="1:16" ht="18.75" customHeight="1" thickBot="1" x14ac:dyDescent="0.2">
      <c r="A28" s="12"/>
      <c r="B28" s="91" t="s">
        <v>45</v>
      </c>
      <c r="C28" s="19"/>
      <c r="D28" s="19"/>
      <c r="E28" s="47"/>
      <c r="F28" s="49"/>
      <c r="G28" s="39"/>
      <c r="H28" s="77" t="s">
        <v>13</v>
      </c>
      <c r="I28" s="65"/>
      <c r="J28" s="65"/>
      <c r="K28" s="65"/>
      <c r="L28" s="65"/>
      <c r="M28" s="65"/>
      <c r="N28" s="65"/>
      <c r="O28" s="66"/>
      <c r="P28" s="25"/>
    </row>
    <row r="29" spans="1:16" ht="18.75" customHeight="1" thickBot="1" x14ac:dyDescent="0.2">
      <c r="A29" s="12"/>
      <c r="B29" s="91" t="s">
        <v>46</v>
      </c>
      <c r="C29" s="19"/>
      <c r="D29" s="19"/>
      <c r="E29" s="47"/>
      <c r="F29" s="49"/>
      <c r="G29" s="39"/>
      <c r="H29" s="67"/>
      <c r="I29" s="68"/>
      <c r="J29" s="68"/>
      <c r="K29" s="68"/>
      <c r="L29" s="68"/>
      <c r="M29" s="68"/>
      <c r="N29" s="68"/>
      <c r="O29" s="66"/>
      <c r="P29" s="25"/>
    </row>
    <row r="30" spans="1:16" ht="18.75" customHeight="1" thickBot="1" x14ac:dyDescent="0.2">
      <c r="A30" s="12"/>
      <c r="B30" s="91" t="s">
        <v>47</v>
      </c>
      <c r="C30" s="19"/>
      <c r="D30" s="19"/>
      <c r="E30" s="47"/>
      <c r="F30" s="49"/>
      <c r="G30" s="39"/>
      <c r="H30" s="67"/>
      <c r="I30" s="68"/>
      <c r="J30" s="68"/>
      <c r="K30" s="68"/>
      <c r="L30" s="68"/>
      <c r="M30" s="68"/>
      <c r="N30" s="68"/>
      <c r="O30" s="66"/>
      <c r="P30" s="25"/>
    </row>
    <row r="31" spans="1:16" ht="18.75" customHeight="1" thickBot="1" x14ac:dyDescent="0.2">
      <c r="A31" s="12"/>
      <c r="B31" s="91" t="s">
        <v>48</v>
      </c>
      <c r="C31" s="19"/>
      <c r="D31" s="19"/>
      <c r="E31" s="47"/>
      <c r="F31" s="49"/>
      <c r="G31" s="39"/>
      <c r="H31" s="67"/>
      <c r="I31" s="68"/>
      <c r="J31" s="68"/>
      <c r="K31" s="68"/>
      <c r="L31" s="68"/>
      <c r="M31" s="68"/>
      <c r="N31" s="68"/>
      <c r="O31" s="66"/>
      <c r="P31" s="25"/>
    </row>
    <row r="32" spans="1:16" ht="18.75" customHeight="1" thickBot="1" x14ac:dyDescent="0.2">
      <c r="A32" s="12"/>
      <c r="B32" s="91" t="s">
        <v>49</v>
      </c>
      <c r="C32" s="19"/>
      <c r="D32" s="19"/>
      <c r="E32" s="47"/>
      <c r="F32" s="49"/>
      <c r="G32" s="39"/>
      <c r="H32" s="67"/>
      <c r="I32" s="68"/>
      <c r="J32" s="68"/>
      <c r="K32" s="68"/>
      <c r="L32" s="68"/>
      <c r="M32" s="68"/>
      <c r="N32" s="68"/>
      <c r="O32" s="66"/>
      <c r="P32" s="25"/>
    </row>
    <row r="33" spans="1:16" ht="18.75" customHeight="1" thickBot="1" x14ac:dyDescent="0.25">
      <c r="A33" s="12"/>
      <c r="B33" s="91" t="s">
        <v>50</v>
      </c>
      <c r="C33" s="19"/>
      <c r="D33" s="19"/>
      <c r="E33" s="47"/>
      <c r="F33" s="49"/>
      <c r="G33" s="27" t="s">
        <v>14</v>
      </c>
      <c r="H33" s="41"/>
      <c r="I33" s="24"/>
      <c r="J33" s="24"/>
      <c r="K33" s="24"/>
      <c r="L33" s="29"/>
      <c r="M33" s="11"/>
      <c r="N33" s="11"/>
      <c r="O33" s="33"/>
      <c r="P33" s="25"/>
    </row>
    <row r="34" spans="1:16" ht="18.75" customHeight="1" thickBot="1" x14ac:dyDescent="0.2">
      <c r="A34" s="12"/>
      <c r="B34" s="91" t="s">
        <v>51</v>
      </c>
      <c r="C34" s="19"/>
      <c r="D34" s="19"/>
      <c r="E34" s="47"/>
      <c r="F34" s="49"/>
      <c r="G34" s="39"/>
      <c r="H34" s="77" t="s">
        <v>15</v>
      </c>
      <c r="I34" s="65"/>
      <c r="J34" s="65"/>
      <c r="K34" s="65"/>
      <c r="L34" s="65"/>
      <c r="M34" s="65"/>
      <c r="N34" s="65"/>
      <c r="O34" s="66"/>
      <c r="P34" s="25"/>
    </row>
    <row r="35" spans="1:16" ht="18.75" customHeight="1" thickBot="1" x14ac:dyDescent="0.2">
      <c r="A35" s="12"/>
      <c r="B35" s="91" t="s">
        <v>52</v>
      </c>
      <c r="C35" s="19"/>
      <c r="D35" s="19"/>
      <c r="E35" s="47"/>
      <c r="F35" s="49"/>
      <c r="G35" s="39"/>
      <c r="H35" s="67"/>
      <c r="I35" s="68"/>
      <c r="J35" s="68"/>
      <c r="K35" s="68"/>
      <c r="L35" s="68"/>
      <c r="M35" s="68"/>
      <c r="N35" s="68"/>
      <c r="O35" s="66"/>
      <c r="P35" s="25"/>
    </row>
    <row r="36" spans="1:16" ht="18.75" customHeight="1" thickBot="1" x14ac:dyDescent="0.2">
      <c r="A36" s="12"/>
      <c r="B36" s="91" t="s">
        <v>53</v>
      </c>
      <c r="C36" s="19"/>
      <c r="D36" s="19"/>
      <c r="E36" s="47"/>
      <c r="F36" s="49"/>
      <c r="G36" s="39"/>
      <c r="H36" s="67"/>
      <c r="I36" s="68"/>
      <c r="J36" s="68"/>
      <c r="K36" s="68"/>
      <c r="L36" s="68"/>
      <c r="M36" s="68"/>
      <c r="N36" s="68"/>
      <c r="O36" s="66"/>
      <c r="P36" s="25"/>
    </row>
    <row r="37" spans="1:16" ht="18.75" customHeight="1" thickBot="1" x14ac:dyDescent="0.25">
      <c r="A37" s="12"/>
      <c r="B37" s="91" t="s">
        <v>54</v>
      </c>
      <c r="C37" s="19"/>
      <c r="D37" s="19"/>
      <c r="E37" s="47"/>
      <c r="F37" s="49"/>
      <c r="G37" s="27" t="s">
        <v>16</v>
      </c>
      <c r="H37" s="31"/>
      <c r="I37" s="32"/>
      <c r="J37" s="32"/>
      <c r="K37" s="24"/>
      <c r="L37" s="29"/>
      <c r="M37" s="11"/>
      <c r="N37" s="11"/>
      <c r="O37" s="33"/>
      <c r="P37" s="25"/>
    </row>
    <row r="38" spans="1:16" ht="18.75" customHeight="1" thickBot="1" x14ac:dyDescent="0.2">
      <c r="A38" s="12"/>
      <c r="B38" s="91" t="s">
        <v>55</v>
      </c>
      <c r="C38" s="19"/>
      <c r="D38" s="19"/>
      <c r="E38" s="47"/>
      <c r="F38" s="49"/>
      <c r="G38" s="39"/>
      <c r="H38" s="83" t="s">
        <v>17</v>
      </c>
      <c r="I38" s="65"/>
      <c r="J38" s="65"/>
      <c r="K38" s="65"/>
      <c r="L38" s="65"/>
      <c r="M38" s="65"/>
      <c r="N38" s="65"/>
      <c r="O38" s="66"/>
      <c r="P38" s="25"/>
    </row>
    <row r="39" spans="1:16" ht="18.75" customHeight="1" thickBot="1" x14ac:dyDescent="0.2">
      <c r="A39" s="12"/>
      <c r="B39" s="91" t="s">
        <v>56</v>
      </c>
      <c r="C39" s="19"/>
      <c r="D39" s="19"/>
      <c r="E39" s="47"/>
      <c r="F39" s="49"/>
      <c r="G39" s="39"/>
      <c r="H39" s="67"/>
      <c r="I39" s="68"/>
      <c r="J39" s="68"/>
      <c r="K39" s="68"/>
      <c r="L39" s="68"/>
      <c r="M39" s="68"/>
      <c r="N39" s="68"/>
      <c r="O39" s="66"/>
      <c r="P39" s="25"/>
    </row>
    <row r="40" spans="1:16" ht="18.75" customHeight="1" thickBot="1" x14ac:dyDescent="0.2">
      <c r="A40" s="12"/>
      <c r="B40" s="91" t="s">
        <v>57</v>
      </c>
      <c r="C40" s="19"/>
      <c r="D40" s="19"/>
      <c r="E40" s="47"/>
      <c r="F40" s="49"/>
      <c r="G40" s="39"/>
      <c r="H40" s="67"/>
      <c r="I40" s="68"/>
      <c r="J40" s="68"/>
      <c r="K40" s="68"/>
      <c r="L40" s="68"/>
      <c r="M40" s="68"/>
      <c r="N40" s="68"/>
      <c r="O40" s="66"/>
      <c r="P40" s="25"/>
    </row>
    <row r="41" spans="1:16" ht="18.75" customHeight="1" thickBot="1" x14ac:dyDescent="0.25">
      <c r="A41" s="12"/>
      <c r="B41" s="91" t="s">
        <v>58</v>
      </c>
      <c r="C41" s="19"/>
      <c r="D41" s="19"/>
      <c r="E41" s="47"/>
      <c r="F41" s="49"/>
      <c r="G41" s="34" t="s">
        <v>8</v>
      </c>
      <c r="H41" s="42"/>
      <c r="I41" s="43"/>
      <c r="J41" s="43"/>
      <c r="K41" s="43"/>
      <c r="L41" s="44"/>
      <c r="M41" s="39"/>
      <c r="N41" s="39"/>
      <c r="O41" s="33"/>
      <c r="P41" s="25"/>
    </row>
    <row r="42" spans="1:16" ht="18.75" customHeight="1" thickBot="1" x14ac:dyDescent="0.2">
      <c r="A42" s="12"/>
      <c r="B42" s="91" t="s">
        <v>59</v>
      </c>
      <c r="C42" s="19"/>
      <c r="D42" s="19"/>
      <c r="E42" s="47"/>
      <c r="F42" s="49"/>
      <c r="G42" s="45"/>
      <c r="H42" s="83" t="s">
        <v>9</v>
      </c>
      <c r="I42" s="65"/>
      <c r="J42" s="65"/>
      <c r="K42" s="65"/>
      <c r="L42" s="65"/>
      <c r="M42" s="65"/>
      <c r="N42" s="65"/>
      <c r="O42" s="66"/>
      <c r="P42" s="25"/>
    </row>
    <row r="43" spans="1:16" ht="18.75" customHeight="1" thickBot="1" x14ac:dyDescent="0.2">
      <c r="A43" s="12"/>
      <c r="B43" s="91" t="s">
        <v>60</v>
      </c>
      <c r="C43" s="19"/>
      <c r="D43" s="19"/>
      <c r="E43" s="47"/>
      <c r="F43" s="49"/>
      <c r="G43" s="45"/>
      <c r="H43" s="67"/>
      <c r="I43" s="68"/>
      <c r="J43" s="68"/>
      <c r="K43" s="68"/>
      <c r="L43" s="68"/>
      <c r="M43" s="68"/>
      <c r="N43" s="68"/>
      <c r="O43" s="66"/>
      <c r="P43" s="25"/>
    </row>
    <row r="44" spans="1:16" ht="18.75" customHeight="1" thickBot="1" x14ac:dyDescent="0.25">
      <c r="A44" s="12"/>
      <c r="B44" s="91" t="s">
        <v>61</v>
      </c>
      <c r="C44" s="19"/>
      <c r="D44" s="19"/>
      <c r="E44" s="47"/>
      <c r="F44" s="49"/>
      <c r="G44" s="27" t="s">
        <v>6</v>
      </c>
      <c r="H44" s="31"/>
      <c r="I44" s="32"/>
      <c r="J44" s="32"/>
      <c r="K44" s="24"/>
      <c r="L44" s="29"/>
      <c r="M44" s="11"/>
      <c r="N44" s="11"/>
      <c r="O44" s="25"/>
      <c r="P44" s="25"/>
    </row>
    <row r="45" spans="1:16" ht="18.75" customHeight="1" thickBot="1" x14ac:dyDescent="0.2">
      <c r="A45" s="12"/>
      <c r="B45" s="91" t="s">
        <v>62</v>
      </c>
      <c r="C45" s="19"/>
      <c r="D45" s="19"/>
      <c r="E45" s="47"/>
      <c r="F45" s="49"/>
      <c r="G45" s="23"/>
      <c r="H45" s="64" t="s">
        <v>7</v>
      </c>
      <c r="I45" s="65"/>
      <c r="J45" s="65"/>
      <c r="K45" s="65"/>
      <c r="L45" s="65"/>
      <c r="M45" s="65"/>
      <c r="N45" s="65"/>
      <c r="O45" s="66"/>
      <c r="P45" s="25"/>
    </row>
    <row r="46" spans="1:16" ht="18.75" customHeight="1" thickBot="1" x14ac:dyDescent="0.2">
      <c r="A46" s="12"/>
      <c r="B46" s="91" t="s">
        <v>63</v>
      </c>
      <c r="C46" s="19"/>
      <c r="D46" s="19"/>
      <c r="E46" s="47"/>
      <c r="F46" s="49"/>
      <c r="G46" s="23"/>
      <c r="H46" s="67"/>
      <c r="I46" s="68"/>
      <c r="J46" s="68"/>
      <c r="K46" s="68"/>
      <c r="L46" s="68"/>
      <c r="M46" s="68"/>
      <c r="N46" s="68"/>
      <c r="O46" s="69"/>
      <c r="P46" s="25"/>
    </row>
    <row r="47" spans="1:16" ht="18.75" customHeight="1" thickBot="1" x14ac:dyDescent="0.2">
      <c r="A47" s="12"/>
      <c r="B47" s="91" t="s">
        <v>64</v>
      </c>
      <c r="C47" s="19"/>
      <c r="D47" s="19"/>
      <c r="E47" s="47"/>
      <c r="F47" s="49"/>
      <c r="G47" s="23"/>
      <c r="H47" s="67"/>
      <c r="I47" s="68"/>
      <c r="J47" s="68"/>
      <c r="K47" s="68"/>
      <c r="L47" s="68"/>
      <c r="M47" s="68"/>
      <c r="N47" s="68"/>
      <c r="O47" s="69"/>
      <c r="P47" s="25"/>
    </row>
    <row r="48" spans="1:16" ht="18.75" customHeight="1" thickBot="1" x14ac:dyDescent="0.2">
      <c r="A48" s="12"/>
      <c r="B48" s="91" t="s">
        <v>65</v>
      </c>
      <c r="C48" s="19"/>
      <c r="D48" s="19"/>
      <c r="E48" s="47"/>
      <c r="F48" s="49"/>
      <c r="G48" s="28"/>
      <c r="H48" s="28"/>
      <c r="I48" s="28"/>
      <c r="J48" s="28"/>
      <c r="K48" s="28"/>
      <c r="L48" s="28"/>
      <c r="M48" s="28"/>
      <c r="N48" s="28"/>
      <c r="O48" s="28"/>
      <c r="P48" s="25"/>
    </row>
    <row r="49" spans="1:16" ht="18.75" customHeight="1" thickBot="1" x14ac:dyDescent="0.2">
      <c r="A49" s="12"/>
      <c r="B49" s="91" t="s">
        <v>66</v>
      </c>
      <c r="C49" s="19"/>
      <c r="D49" s="19"/>
      <c r="E49" s="47"/>
      <c r="F49" s="49"/>
      <c r="G49" s="28"/>
      <c r="H49" s="28"/>
      <c r="I49" s="28"/>
      <c r="J49" s="28"/>
      <c r="K49" s="28"/>
      <c r="L49" s="28"/>
      <c r="M49" s="28"/>
      <c r="N49" s="28"/>
      <c r="O49" s="28"/>
      <c r="P49" s="25"/>
    </row>
    <row r="50" spans="1:16" ht="18.75" customHeight="1" thickBot="1" x14ac:dyDescent="0.2">
      <c r="A50" s="12"/>
      <c r="B50" s="91" t="s">
        <v>67</v>
      </c>
      <c r="C50" s="19"/>
      <c r="D50" s="19"/>
      <c r="E50" s="47"/>
      <c r="F50" s="49"/>
      <c r="G50" s="28"/>
      <c r="H50" s="28"/>
      <c r="I50" s="28"/>
      <c r="J50" s="28"/>
      <c r="K50" s="28"/>
      <c r="L50" s="28"/>
      <c r="M50" s="28"/>
      <c r="N50" s="28"/>
      <c r="O50" s="28"/>
      <c r="P50" s="25"/>
    </row>
    <row r="51" spans="1:16" ht="18.75" customHeight="1" thickBot="1" x14ac:dyDescent="0.2">
      <c r="A51" s="12"/>
      <c r="B51" s="91" t="s">
        <v>68</v>
      </c>
      <c r="C51" s="19"/>
      <c r="D51" s="19"/>
      <c r="E51" s="47"/>
      <c r="F51" s="49"/>
      <c r="G51" s="28"/>
      <c r="H51" s="28"/>
      <c r="I51" s="28"/>
      <c r="J51" s="28"/>
      <c r="K51" s="28"/>
      <c r="L51" s="28"/>
      <c r="M51" s="28"/>
      <c r="N51" s="28"/>
      <c r="O51" s="28"/>
      <c r="P51" s="25"/>
    </row>
    <row r="52" spans="1:16" ht="18.75" customHeight="1" thickBot="1" x14ac:dyDescent="0.2">
      <c r="A52" s="12"/>
      <c r="B52" s="91" t="s">
        <v>69</v>
      </c>
      <c r="C52" s="19"/>
      <c r="D52" s="19"/>
      <c r="E52" s="47"/>
      <c r="F52" s="49"/>
      <c r="G52" s="28"/>
      <c r="H52" s="28"/>
      <c r="I52" s="28"/>
      <c r="J52" s="28"/>
      <c r="K52" s="28"/>
      <c r="L52" s="28"/>
      <c r="M52" s="28"/>
      <c r="N52" s="28"/>
      <c r="O52" s="28"/>
      <c r="P52" s="25"/>
    </row>
    <row r="53" spans="1:16" ht="18.75" customHeight="1" thickBot="1" x14ac:dyDescent="0.2">
      <c r="A53" s="12"/>
      <c r="B53" s="91" t="s">
        <v>70</v>
      </c>
      <c r="C53" s="19"/>
      <c r="D53" s="19"/>
      <c r="E53" s="47"/>
      <c r="F53" s="49"/>
      <c r="G53" s="28"/>
      <c r="H53" s="28"/>
      <c r="I53" s="28"/>
      <c r="J53" s="28"/>
      <c r="K53" s="28"/>
      <c r="L53" s="28"/>
      <c r="M53" s="28"/>
      <c r="N53" s="28"/>
      <c r="O53" s="28"/>
      <c r="P53" s="25"/>
    </row>
    <row r="54" spans="1:16" ht="15.75" customHeight="1" thickBot="1" x14ac:dyDescent="0.2">
      <c r="A54" s="12"/>
      <c r="B54" s="91" t="s">
        <v>71</v>
      </c>
      <c r="C54" s="19"/>
      <c r="D54" s="19"/>
      <c r="E54" s="46"/>
      <c r="F54" s="48"/>
      <c r="G54" s="28"/>
      <c r="H54" s="28"/>
      <c r="I54" s="28"/>
      <c r="J54" s="28"/>
      <c r="K54" s="28"/>
      <c r="L54" s="28"/>
      <c r="M54" s="28"/>
      <c r="N54" s="28"/>
      <c r="O54" s="28"/>
      <c r="P54" s="25"/>
    </row>
    <row r="55" spans="1:16" ht="15.75" customHeight="1" thickBot="1" x14ac:dyDescent="0.2">
      <c r="A55" s="12"/>
      <c r="B55" s="91" t="s">
        <v>72</v>
      </c>
      <c r="C55" s="19"/>
      <c r="D55" s="19"/>
      <c r="E55" s="47"/>
      <c r="F55" s="49"/>
      <c r="G55" s="28"/>
      <c r="H55" s="28"/>
      <c r="I55" s="28"/>
      <c r="J55" s="28"/>
      <c r="K55" s="28"/>
      <c r="L55" s="28"/>
      <c r="M55" s="28"/>
      <c r="N55" s="28"/>
      <c r="O55" s="28"/>
      <c r="P55" s="25"/>
    </row>
    <row r="56" spans="1:16" ht="15.75" customHeight="1" thickBot="1" x14ac:dyDescent="0.2">
      <c r="A56" s="12"/>
      <c r="B56" s="91" t="s">
        <v>73</v>
      </c>
      <c r="C56" s="19"/>
      <c r="D56" s="19"/>
      <c r="E56" s="47"/>
      <c r="F56" s="49"/>
      <c r="G56" s="28"/>
      <c r="H56" s="28"/>
      <c r="I56" s="28"/>
      <c r="J56" s="28"/>
      <c r="K56" s="28"/>
      <c r="L56" s="28"/>
      <c r="M56" s="28"/>
      <c r="N56" s="28"/>
      <c r="O56" s="28"/>
      <c r="P56" s="25"/>
    </row>
    <row r="57" spans="1:16" ht="15.75" customHeight="1" thickBot="1" x14ac:dyDescent="0.2">
      <c r="A57" s="12"/>
      <c r="B57" s="91" t="s">
        <v>74</v>
      </c>
      <c r="C57" s="19"/>
      <c r="D57" s="19"/>
      <c r="E57" s="47"/>
      <c r="F57" s="49"/>
      <c r="G57" s="28"/>
      <c r="H57" s="28"/>
      <c r="I57" s="28"/>
      <c r="J57" s="28"/>
      <c r="K57" s="28"/>
      <c r="L57" s="28"/>
      <c r="M57" s="28"/>
      <c r="N57" s="28"/>
      <c r="O57" s="28"/>
      <c r="P57" s="25"/>
    </row>
    <row r="58" spans="1:16" ht="15.75" customHeight="1" thickBot="1" x14ac:dyDescent="0.2">
      <c r="A58" s="12"/>
      <c r="B58" s="91" t="s">
        <v>75</v>
      </c>
      <c r="C58" s="19"/>
      <c r="D58" s="19"/>
      <c r="E58" s="47"/>
      <c r="F58" s="49"/>
      <c r="G58" s="28"/>
      <c r="H58" s="28"/>
      <c r="I58" s="28"/>
      <c r="J58" s="28"/>
      <c r="K58" s="28"/>
      <c r="L58" s="28"/>
      <c r="M58" s="28"/>
      <c r="N58" s="28"/>
      <c r="O58" s="28"/>
      <c r="P58" s="25"/>
    </row>
    <row r="59" spans="1:16" ht="15.75" customHeight="1" thickBot="1" x14ac:dyDescent="0.2">
      <c r="A59" s="12"/>
      <c r="B59" s="91" t="s">
        <v>76</v>
      </c>
      <c r="C59" s="19"/>
      <c r="D59" s="19"/>
      <c r="E59" s="47"/>
      <c r="F59" s="49"/>
      <c r="G59" s="28"/>
      <c r="H59" s="28"/>
      <c r="I59" s="28"/>
      <c r="J59" s="28"/>
      <c r="K59" s="28"/>
      <c r="L59" s="28"/>
      <c r="M59" s="28"/>
      <c r="N59" s="28"/>
      <c r="O59" s="28"/>
      <c r="P59" s="25"/>
    </row>
    <row r="60" spans="1:16" ht="15.75" customHeight="1" thickBot="1" x14ac:dyDescent="0.2">
      <c r="A60" s="12"/>
      <c r="B60" s="91" t="s">
        <v>77</v>
      </c>
      <c r="C60" s="19"/>
      <c r="D60" s="19"/>
      <c r="E60" s="47"/>
      <c r="F60" s="49"/>
      <c r="G60" s="28"/>
      <c r="H60" s="28"/>
      <c r="I60" s="28"/>
      <c r="J60" s="28"/>
      <c r="K60" s="28"/>
      <c r="L60" s="28"/>
      <c r="M60" s="28"/>
      <c r="N60" s="28"/>
      <c r="O60" s="28"/>
      <c r="P60" s="25"/>
    </row>
    <row r="61" spans="1:16" ht="15.75" customHeight="1" thickBot="1" x14ac:dyDescent="0.2">
      <c r="A61" s="12"/>
      <c r="B61" s="91" t="s">
        <v>78</v>
      </c>
      <c r="C61" s="19"/>
      <c r="D61" s="19"/>
      <c r="E61" s="47"/>
      <c r="F61" s="49"/>
      <c r="G61" s="28"/>
      <c r="H61" s="28"/>
      <c r="I61" s="28"/>
      <c r="J61" s="28"/>
      <c r="K61" s="28"/>
      <c r="L61" s="28"/>
      <c r="M61" s="28"/>
      <c r="N61" s="28"/>
      <c r="O61" s="28"/>
      <c r="P61" s="25"/>
    </row>
    <row r="62" spans="1:16" ht="15.75" customHeight="1" thickBot="1" x14ac:dyDescent="0.2">
      <c r="A62" s="12"/>
      <c r="B62" s="91" t="s">
        <v>79</v>
      </c>
      <c r="C62" s="19"/>
      <c r="D62" s="19"/>
      <c r="E62" s="47"/>
      <c r="F62" s="49"/>
      <c r="G62" s="28"/>
      <c r="H62" s="28"/>
      <c r="I62" s="28"/>
      <c r="J62" s="28"/>
      <c r="K62" s="28"/>
      <c r="L62" s="28"/>
      <c r="M62" s="28"/>
      <c r="N62" s="28"/>
      <c r="O62" s="28"/>
      <c r="P62" s="25"/>
    </row>
    <row r="63" spans="1:16" ht="15.75" customHeight="1" thickBot="1" x14ac:dyDescent="0.2">
      <c r="A63" s="12"/>
      <c r="B63" s="91" t="s">
        <v>80</v>
      </c>
      <c r="C63" s="19"/>
      <c r="D63" s="19"/>
      <c r="E63" s="47"/>
      <c r="F63" s="49"/>
      <c r="G63" s="28"/>
      <c r="H63" s="28"/>
      <c r="I63" s="28"/>
      <c r="J63" s="28"/>
      <c r="K63" s="28"/>
      <c r="L63" s="28"/>
      <c r="M63" s="28"/>
      <c r="N63" s="28"/>
      <c r="O63" s="28"/>
      <c r="P63" s="25"/>
    </row>
    <row r="64" spans="1:16" ht="15.75" customHeight="1" thickBot="1" x14ac:dyDescent="0.2">
      <c r="A64" s="12"/>
      <c r="B64" s="91" t="s">
        <v>81</v>
      </c>
      <c r="C64" s="19"/>
      <c r="D64" s="19"/>
      <c r="E64" s="47"/>
      <c r="F64" s="49"/>
      <c r="G64" s="28"/>
      <c r="H64" s="28"/>
      <c r="I64" s="28"/>
      <c r="J64" s="28"/>
      <c r="K64" s="28"/>
      <c r="L64" s="28"/>
      <c r="M64" s="28"/>
      <c r="N64" s="28"/>
      <c r="O64" s="28"/>
      <c r="P64" s="25"/>
    </row>
    <row r="65" spans="1:16" ht="15.75" customHeight="1" thickBot="1" x14ac:dyDescent="0.2">
      <c r="A65" s="12"/>
      <c r="B65" s="91" t="s">
        <v>82</v>
      </c>
      <c r="C65" s="19"/>
      <c r="D65" s="19"/>
      <c r="E65" s="47"/>
      <c r="F65" s="49"/>
      <c r="G65" s="28"/>
      <c r="H65" s="28"/>
      <c r="I65" s="28"/>
      <c r="J65" s="28"/>
      <c r="K65" s="28"/>
      <c r="L65" s="28"/>
      <c r="M65" s="28"/>
      <c r="N65" s="28"/>
      <c r="O65" s="28"/>
      <c r="P65" s="25"/>
    </row>
    <row r="66" spans="1:16" ht="15.75" customHeight="1" thickBot="1" x14ac:dyDescent="0.2">
      <c r="A66" s="12"/>
      <c r="B66" s="91" t="s">
        <v>83</v>
      </c>
      <c r="C66" s="19"/>
      <c r="D66" s="19"/>
      <c r="E66" s="47"/>
      <c r="F66" s="49"/>
      <c r="G66" s="28"/>
      <c r="H66" s="28"/>
      <c r="I66" s="28"/>
      <c r="J66" s="28"/>
      <c r="K66" s="28"/>
      <c r="L66" s="28"/>
      <c r="M66" s="28"/>
      <c r="N66" s="28"/>
      <c r="O66" s="28"/>
      <c r="P66" s="25"/>
    </row>
    <row r="67" spans="1:16" ht="15.75" customHeight="1" thickBot="1" x14ac:dyDescent="0.2">
      <c r="A67" s="12"/>
      <c r="B67" s="91" t="s">
        <v>84</v>
      </c>
      <c r="C67" s="19"/>
      <c r="D67" s="19"/>
      <c r="E67" s="47"/>
      <c r="F67" s="49"/>
      <c r="G67" s="28"/>
      <c r="H67" s="28"/>
      <c r="I67" s="28"/>
      <c r="J67" s="28"/>
      <c r="K67" s="28"/>
      <c r="L67" s="28"/>
      <c r="M67" s="28"/>
      <c r="N67" s="28"/>
      <c r="O67" s="28"/>
      <c r="P67" s="25"/>
    </row>
    <row r="68" spans="1:16" ht="15.75" customHeight="1" thickBot="1" x14ac:dyDescent="0.2">
      <c r="A68" s="12"/>
      <c r="B68" s="91" t="s">
        <v>85</v>
      </c>
      <c r="C68" s="19"/>
      <c r="D68" s="19"/>
      <c r="E68" s="47"/>
      <c r="F68" s="49"/>
      <c r="G68" s="28"/>
      <c r="H68" s="28"/>
      <c r="I68" s="28"/>
      <c r="J68" s="28"/>
      <c r="K68" s="28"/>
      <c r="L68" s="28"/>
      <c r="M68" s="28"/>
      <c r="N68" s="28"/>
      <c r="O68" s="28"/>
      <c r="P68" s="25"/>
    </row>
    <row r="69" spans="1:16" ht="15.75" customHeight="1" thickBot="1" x14ac:dyDescent="0.2">
      <c r="A69" s="12"/>
      <c r="B69" s="91" t="s">
        <v>86</v>
      </c>
      <c r="C69" s="19"/>
      <c r="D69" s="19"/>
      <c r="E69" s="47"/>
      <c r="F69" s="49"/>
      <c r="G69" s="28"/>
      <c r="H69" s="28"/>
      <c r="I69" s="28"/>
      <c r="J69" s="28"/>
      <c r="K69" s="28"/>
      <c r="L69" s="28"/>
      <c r="M69" s="28"/>
      <c r="N69" s="28"/>
      <c r="O69" s="28"/>
      <c r="P69" s="25"/>
    </row>
    <row r="70" spans="1:16" ht="15.75" customHeight="1" thickBot="1" x14ac:dyDescent="0.2">
      <c r="A70" s="12"/>
      <c r="B70" s="91" t="s">
        <v>87</v>
      </c>
      <c r="C70" s="19"/>
      <c r="D70" s="19"/>
      <c r="E70" s="47"/>
      <c r="F70" s="49"/>
      <c r="G70" s="28"/>
      <c r="H70" s="28"/>
      <c r="I70" s="28"/>
      <c r="J70" s="28"/>
      <c r="K70" s="28"/>
      <c r="L70" s="28"/>
      <c r="M70" s="28"/>
      <c r="N70" s="28"/>
      <c r="O70" s="28"/>
      <c r="P70" s="25"/>
    </row>
    <row r="71" spans="1:16" ht="15.75" customHeight="1" thickBot="1" x14ac:dyDescent="0.2">
      <c r="A71" s="12"/>
      <c r="B71" s="91" t="s">
        <v>88</v>
      </c>
      <c r="C71" s="19"/>
      <c r="D71" s="19"/>
      <c r="E71" s="47"/>
      <c r="F71" s="49"/>
      <c r="G71" s="28"/>
      <c r="H71" s="28"/>
      <c r="I71" s="28"/>
      <c r="J71" s="28"/>
      <c r="K71" s="28"/>
      <c r="L71" s="28"/>
      <c r="M71" s="28"/>
      <c r="N71" s="28"/>
      <c r="O71" s="28"/>
      <c r="P71" s="25"/>
    </row>
    <row r="72" spans="1:16" ht="15.75" customHeight="1" thickBot="1" x14ac:dyDescent="0.2">
      <c r="A72" s="12"/>
      <c r="B72" s="91" t="s">
        <v>89</v>
      </c>
      <c r="C72" s="19"/>
      <c r="D72" s="19"/>
      <c r="E72" s="47"/>
      <c r="F72" s="49"/>
      <c r="G72" s="28"/>
      <c r="H72" s="28"/>
      <c r="I72" s="28"/>
      <c r="J72" s="28"/>
      <c r="K72" s="28"/>
      <c r="L72" s="28"/>
      <c r="M72" s="28"/>
      <c r="N72" s="28"/>
      <c r="O72" s="28"/>
      <c r="P72" s="25"/>
    </row>
    <row r="73" spans="1:16" ht="15.75" customHeight="1" thickBot="1" x14ac:dyDescent="0.25">
      <c r="A73" s="12"/>
      <c r="B73" s="91" t="s">
        <v>90</v>
      </c>
      <c r="C73" s="19"/>
      <c r="D73" s="19"/>
      <c r="E73" s="47"/>
      <c r="F73" s="49"/>
      <c r="G73" s="35"/>
      <c r="H73" s="28"/>
      <c r="I73" s="24"/>
      <c r="J73" s="24"/>
      <c r="K73" s="24"/>
      <c r="L73" s="29"/>
      <c r="M73" s="11"/>
      <c r="N73" s="11"/>
      <c r="O73" s="25"/>
      <c r="P73" s="25"/>
    </row>
    <row r="74" spans="1:16" ht="15.75" customHeight="1" x14ac:dyDescent="0.2">
      <c r="A74" s="12"/>
      <c r="B74" s="91" t="s">
        <v>91</v>
      </c>
      <c r="C74" s="19"/>
      <c r="D74" s="19"/>
      <c r="E74" s="47"/>
      <c r="F74" s="49"/>
      <c r="G74" s="35"/>
      <c r="H74" s="28"/>
      <c r="I74" s="24"/>
      <c r="J74" s="24"/>
      <c r="K74" s="24"/>
      <c r="L74" s="29"/>
      <c r="M74" s="11"/>
      <c r="N74" s="11"/>
      <c r="O74" s="25"/>
      <c r="P74" s="25"/>
    </row>
    <row r="75" spans="1:16" ht="15.75" customHeight="1" x14ac:dyDescent="0.2">
      <c r="A75" s="12"/>
      <c r="B75" s="91" t="s">
        <v>92</v>
      </c>
      <c r="C75" s="19"/>
      <c r="D75" s="19"/>
      <c r="E75" s="47"/>
      <c r="F75" s="49"/>
      <c r="G75" s="35"/>
      <c r="H75" s="28"/>
      <c r="I75" s="24"/>
      <c r="J75" s="24"/>
      <c r="K75" s="24"/>
      <c r="L75" s="29"/>
      <c r="M75" s="11"/>
      <c r="N75" s="11"/>
      <c r="O75" s="25"/>
      <c r="P75" s="25"/>
    </row>
    <row r="76" spans="1:16" ht="15.75" customHeight="1" x14ac:dyDescent="0.2">
      <c r="A76" s="12"/>
      <c r="B76" s="91" t="s">
        <v>93</v>
      </c>
      <c r="C76" s="19"/>
      <c r="D76" s="19"/>
      <c r="E76" s="47"/>
      <c r="F76" s="49"/>
      <c r="G76" s="35"/>
      <c r="H76" s="28"/>
      <c r="I76" s="24"/>
      <c r="J76" s="24"/>
      <c r="K76" s="24"/>
      <c r="L76" s="29"/>
      <c r="M76" s="11"/>
      <c r="N76" s="11"/>
      <c r="O76" s="25"/>
      <c r="P76" s="25"/>
    </row>
    <row r="77" spans="1:16" ht="15.75" customHeight="1" x14ac:dyDescent="0.2">
      <c r="A77" s="12"/>
      <c r="B77" s="91" t="s">
        <v>94</v>
      </c>
      <c r="C77" s="19"/>
      <c r="D77" s="19"/>
      <c r="E77" s="47"/>
      <c r="F77" s="49"/>
      <c r="G77" s="35"/>
      <c r="H77" s="28"/>
      <c r="I77" s="24"/>
      <c r="J77" s="24"/>
      <c r="K77" s="24"/>
      <c r="L77" s="29"/>
      <c r="M77" s="11"/>
      <c r="N77" s="11"/>
      <c r="O77" s="25"/>
      <c r="P77" s="25"/>
    </row>
    <row r="78" spans="1:16" ht="15.75" customHeight="1" x14ac:dyDescent="0.2">
      <c r="A78" s="12"/>
      <c r="B78" s="91" t="s">
        <v>95</v>
      </c>
      <c r="C78" s="19"/>
      <c r="D78" s="19"/>
      <c r="E78" s="47"/>
      <c r="F78" s="49"/>
      <c r="G78" s="35"/>
      <c r="H78" s="28"/>
      <c r="I78" s="24"/>
      <c r="J78" s="24"/>
      <c r="K78" s="24"/>
      <c r="L78" s="29"/>
      <c r="M78" s="11"/>
      <c r="N78" s="11"/>
      <c r="O78" s="25"/>
      <c r="P78" s="25"/>
    </row>
    <row r="79" spans="1:16" ht="15.75" customHeight="1" x14ac:dyDescent="0.2">
      <c r="A79" s="12"/>
      <c r="B79" s="91" t="s">
        <v>96</v>
      </c>
      <c r="C79" s="19"/>
      <c r="D79" s="19"/>
      <c r="E79" s="47"/>
      <c r="F79" s="49"/>
      <c r="G79" s="35"/>
      <c r="H79" s="28"/>
      <c r="I79" s="24"/>
      <c r="J79" s="24"/>
      <c r="K79" s="24"/>
      <c r="L79" s="29"/>
      <c r="M79" s="11"/>
      <c r="N79" s="11"/>
      <c r="O79" s="25"/>
      <c r="P79" s="25"/>
    </row>
    <row r="80" spans="1:16" ht="15.75" customHeight="1" x14ac:dyDescent="0.2">
      <c r="A80" s="12"/>
      <c r="B80" s="91" t="s">
        <v>97</v>
      </c>
      <c r="C80" s="19"/>
      <c r="D80" s="19"/>
      <c r="E80" s="47"/>
      <c r="F80" s="49"/>
      <c r="G80" s="35"/>
      <c r="H80" s="28"/>
      <c r="I80" s="24"/>
      <c r="J80" s="24"/>
      <c r="K80" s="24"/>
      <c r="L80" s="29"/>
      <c r="M80" s="11"/>
      <c r="N80" s="11"/>
      <c r="O80" s="25"/>
      <c r="P80" s="25"/>
    </row>
    <row r="81" spans="1:16" ht="15.75" customHeight="1" x14ac:dyDescent="0.2">
      <c r="A81" s="12"/>
      <c r="B81" s="91" t="s">
        <v>98</v>
      </c>
      <c r="C81" s="19"/>
      <c r="D81" s="19"/>
      <c r="E81" s="47"/>
      <c r="F81" s="49"/>
      <c r="G81" s="35"/>
      <c r="H81" s="28"/>
      <c r="I81" s="24"/>
      <c r="J81" s="24"/>
      <c r="K81" s="24"/>
      <c r="L81" s="29"/>
      <c r="M81" s="11"/>
      <c r="N81" s="11"/>
      <c r="O81" s="25"/>
      <c r="P81" s="25"/>
    </row>
    <row r="82" spans="1:16" ht="15.75" customHeight="1" x14ac:dyDescent="0.2">
      <c r="A82" s="12"/>
      <c r="B82" s="91" t="s">
        <v>99</v>
      </c>
      <c r="C82" s="19"/>
      <c r="D82" s="19"/>
      <c r="E82" s="47"/>
      <c r="F82" s="49"/>
      <c r="G82" s="35"/>
      <c r="H82" s="28"/>
      <c r="I82" s="24"/>
      <c r="J82" s="24"/>
      <c r="K82" s="24"/>
      <c r="L82" s="29"/>
      <c r="M82" s="11"/>
      <c r="N82" s="11"/>
      <c r="O82" s="25"/>
      <c r="P82" s="25"/>
    </row>
    <row r="83" spans="1:16" ht="15.75" customHeight="1" x14ac:dyDescent="0.2">
      <c r="A83" s="12"/>
      <c r="B83" s="91" t="s">
        <v>100</v>
      </c>
      <c r="C83" s="19"/>
      <c r="D83" s="19"/>
      <c r="E83" s="47"/>
      <c r="F83" s="49"/>
      <c r="G83" s="35"/>
      <c r="H83" s="28"/>
      <c r="I83" s="24"/>
      <c r="J83" s="24"/>
      <c r="K83" s="24"/>
      <c r="L83" s="29"/>
      <c r="M83" s="11"/>
      <c r="N83" s="11"/>
      <c r="O83" s="25"/>
      <c r="P83" s="25"/>
    </row>
    <row r="84" spans="1:16" ht="15.75" customHeight="1" x14ac:dyDescent="0.2">
      <c r="A84" s="12"/>
      <c r="B84" s="91" t="s">
        <v>101</v>
      </c>
      <c r="C84" s="19"/>
      <c r="D84" s="19"/>
      <c r="E84" s="47"/>
      <c r="F84" s="49"/>
      <c r="G84" s="35"/>
      <c r="H84" s="28"/>
      <c r="I84" s="24"/>
      <c r="J84" s="24"/>
      <c r="K84" s="24"/>
      <c r="L84" s="29"/>
      <c r="M84" s="11"/>
      <c r="N84" s="11"/>
      <c r="O84" s="25"/>
      <c r="P84" s="25"/>
    </row>
    <row r="85" spans="1:16" ht="15.75" customHeight="1" x14ac:dyDescent="0.2">
      <c r="A85" s="12"/>
      <c r="B85" s="91" t="s">
        <v>102</v>
      </c>
      <c r="C85" s="19"/>
      <c r="D85" s="19"/>
      <c r="E85" s="47"/>
      <c r="F85" s="49"/>
      <c r="G85" s="35"/>
      <c r="H85" s="28"/>
      <c r="I85" s="24"/>
      <c r="J85" s="24"/>
      <c r="K85" s="24"/>
      <c r="L85" s="29"/>
      <c r="M85" s="11"/>
      <c r="N85" s="11"/>
      <c r="O85" s="25"/>
      <c r="P85" s="25"/>
    </row>
    <row r="86" spans="1:16" ht="15.75" customHeight="1" x14ac:dyDescent="0.2">
      <c r="A86" s="12"/>
      <c r="B86" s="91" t="s">
        <v>103</v>
      </c>
      <c r="C86" s="19"/>
      <c r="D86" s="19"/>
      <c r="E86" s="47"/>
      <c r="F86" s="49"/>
      <c r="G86" s="35"/>
      <c r="H86" s="28"/>
      <c r="I86" s="24"/>
      <c r="J86" s="24"/>
      <c r="K86" s="24"/>
      <c r="L86" s="29"/>
      <c r="M86" s="11"/>
      <c r="N86" s="11"/>
      <c r="O86" s="25"/>
      <c r="P86" s="25"/>
    </row>
    <row r="87" spans="1:16" ht="15.75" customHeight="1" x14ac:dyDescent="0.2">
      <c r="A87" s="12"/>
      <c r="B87" s="91" t="s">
        <v>104</v>
      </c>
      <c r="C87" s="19"/>
      <c r="D87" s="19"/>
      <c r="E87" s="47"/>
      <c r="F87" s="49"/>
      <c r="G87" s="35"/>
      <c r="H87" s="28"/>
      <c r="I87" s="24"/>
      <c r="J87" s="24"/>
      <c r="K87" s="24"/>
      <c r="L87" s="29"/>
      <c r="M87" s="11"/>
      <c r="N87" s="11"/>
      <c r="O87" s="25"/>
      <c r="P87" s="25"/>
    </row>
    <row r="88" spans="1:16" ht="15.75" customHeight="1" x14ac:dyDescent="0.2">
      <c r="A88" s="12"/>
      <c r="B88" s="91" t="s">
        <v>105</v>
      </c>
      <c r="C88" s="19"/>
      <c r="D88" s="19"/>
      <c r="E88" s="19"/>
      <c r="F88" s="35"/>
      <c r="G88" s="35"/>
      <c r="H88" s="28"/>
      <c r="I88" s="24"/>
      <c r="J88" s="24"/>
      <c r="K88" s="24"/>
      <c r="L88" s="29"/>
      <c r="M88" s="11"/>
      <c r="N88" s="11"/>
      <c r="O88" s="25"/>
      <c r="P88" s="25"/>
    </row>
    <row r="89" spans="1:16" ht="15.75" customHeight="1" x14ac:dyDescent="0.2">
      <c r="A89" s="12"/>
      <c r="B89" s="91" t="s">
        <v>106</v>
      </c>
      <c r="C89" s="19"/>
      <c r="D89" s="19"/>
      <c r="E89" s="19"/>
      <c r="F89" s="35"/>
      <c r="G89" s="35"/>
      <c r="H89" s="28"/>
      <c r="I89" s="24"/>
      <c r="J89" s="24"/>
      <c r="K89" s="24"/>
      <c r="L89" s="29"/>
      <c r="M89" s="11"/>
      <c r="N89" s="11"/>
      <c r="O89" s="25"/>
      <c r="P89" s="25"/>
    </row>
    <row r="90" spans="1:16" ht="15.75" customHeight="1" x14ac:dyDescent="0.2">
      <c r="A90" s="12"/>
      <c r="B90" s="91" t="s">
        <v>107</v>
      </c>
      <c r="C90" s="19"/>
      <c r="D90" s="19"/>
      <c r="E90" s="19"/>
      <c r="F90" s="35"/>
      <c r="G90" s="35"/>
      <c r="H90" s="28"/>
      <c r="I90" s="24"/>
      <c r="J90" s="24"/>
      <c r="K90" s="24"/>
      <c r="L90" s="29"/>
      <c r="M90" s="11"/>
      <c r="N90" s="11"/>
      <c r="O90" s="25"/>
      <c r="P90" s="25"/>
    </row>
    <row r="91" spans="1:16" ht="15.75" customHeight="1" x14ac:dyDescent="0.2">
      <c r="A91" s="12"/>
      <c r="B91" s="91" t="s">
        <v>108</v>
      </c>
      <c r="C91" s="19"/>
      <c r="D91" s="19"/>
      <c r="E91" s="19"/>
      <c r="F91" s="35"/>
      <c r="G91" s="35"/>
      <c r="H91" s="28"/>
      <c r="I91" s="24"/>
      <c r="J91" s="24"/>
      <c r="K91" s="24"/>
      <c r="L91" s="29"/>
      <c r="M91" s="11"/>
      <c r="N91" s="11"/>
      <c r="O91" s="25"/>
      <c r="P91" s="25"/>
    </row>
    <row r="92" spans="1:16" ht="15.75" customHeight="1" x14ac:dyDescent="0.2">
      <c r="A92" s="12"/>
      <c r="B92" s="91" t="s">
        <v>109</v>
      </c>
      <c r="C92" s="19"/>
      <c r="D92" s="19"/>
      <c r="E92" s="19"/>
      <c r="F92" s="35"/>
      <c r="G92" s="35"/>
      <c r="H92" s="28"/>
      <c r="I92" s="24"/>
      <c r="J92" s="24"/>
      <c r="K92" s="24"/>
      <c r="L92" s="29"/>
      <c r="M92" s="11"/>
      <c r="N92" s="11"/>
      <c r="O92" s="25"/>
      <c r="P92" s="25"/>
    </row>
    <row r="93" spans="1:16" ht="15.75" customHeight="1" x14ac:dyDescent="0.2">
      <c r="A93" s="12"/>
      <c r="B93" s="91" t="s">
        <v>110</v>
      </c>
      <c r="C93" s="19"/>
      <c r="D93" s="19"/>
      <c r="E93" s="19"/>
      <c r="F93" s="35"/>
      <c r="G93" s="35"/>
      <c r="H93" s="28"/>
      <c r="I93" s="24"/>
      <c r="J93" s="24"/>
      <c r="K93" s="24"/>
      <c r="L93" s="29"/>
      <c r="M93" s="11"/>
      <c r="N93" s="11"/>
      <c r="O93" s="25"/>
      <c r="P93" s="25"/>
    </row>
    <row r="94" spans="1:16" ht="15.75" customHeight="1" x14ac:dyDescent="0.2">
      <c r="A94" s="12"/>
      <c r="B94" s="91" t="s">
        <v>111</v>
      </c>
      <c r="C94" s="19"/>
      <c r="D94" s="19"/>
      <c r="E94" s="19"/>
      <c r="F94" s="35"/>
      <c r="G94" s="35"/>
      <c r="H94" s="28"/>
      <c r="I94" s="24"/>
      <c r="J94" s="24"/>
      <c r="K94" s="24"/>
      <c r="L94" s="29"/>
      <c r="M94" s="11"/>
      <c r="N94" s="11"/>
      <c r="O94" s="25"/>
      <c r="P94" s="25"/>
    </row>
    <row r="95" spans="1:16" ht="15.75" customHeight="1" x14ac:dyDescent="0.2">
      <c r="A95" s="12"/>
      <c r="B95" s="91" t="s">
        <v>112</v>
      </c>
      <c r="C95" s="19"/>
      <c r="D95" s="19"/>
      <c r="E95" s="19"/>
      <c r="F95" s="35"/>
      <c r="G95" s="35"/>
      <c r="H95" s="28"/>
      <c r="I95" s="24"/>
      <c r="J95" s="24"/>
      <c r="K95" s="24"/>
      <c r="L95" s="29"/>
      <c r="M95" s="11"/>
      <c r="N95" s="11"/>
      <c r="O95" s="25"/>
      <c r="P95" s="25"/>
    </row>
    <row r="96" spans="1:16" ht="15.75" customHeight="1" x14ac:dyDescent="0.2">
      <c r="A96" s="12"/>
      <c r="B96" s="91" t="s">
        <v>113</v>
      </c>
      <c r="C96" s="19"/>
      <c r="D96" s="19"/>
      <c r="E96" s="19"/>
      <c r="F96" s="35"/>
      <c r="G96" s="35"/>
      <c r="H96" s="28"/>
      <c r="I96" s="24"/>
      <c r="J96" s="24"/>
      <c r="K96" s="24"/>
      <c r="L96" s="29"/>
      <c r="M96" s="11"/>
      <c r="N96" s="11"/>
      <c r="O96" s="25"/>
      <c r="P96" s="25"/>
    </row>
    <row r="97" spans="1:16" ht="15.75" customHeight="1" x14ac:dyDescent="0.2">
      <c r="A97" s="12"/>
      <c r="B97" s="91" t="s">
        <v>114</v>
      </c>
      <c r="C97" s="19"/>
      <c r="D97" s="19"/>
      <c r="E97" s="19"/>
      <c r="F97" s="35"/>
      <c r="G97" s="35"/>
      <c r="H97" s="28"/>
      <c r="I97" s="24"/>
      <c r="J97" s="24"/>
      <c r="K97" s="24"/>
      <c r="L97" s="29"/>
      <c r="M97" s="11"/>
      <c r="N97" s="11"/>
      <c r="O97" s="25"/>
      <c r="P97" s="25"/>
    </row>
    <row r="98" spans="1:16" ht="15.75" customHeight="1" x14ac:dyDescent="0.2">
      <c r="A98" s="12"/>
      <c r="B98" s="91" t="s">
        <v>115</v>
      </c>
      <c r="C98" s="19"/>
      <c r="D98" s="19"/>
      <c r="E98" s="19"/>
      <c r="F98" s="35"/>
      <c r="G98" s="35"/>
      <c r="H98" s="28"/>
      <c r="I98" s="24"/>
      <c r="J98" s="24"/>
      <c r="K98" s="24"/>
      <c r="L98" s="29"/>
      <c r="M98" s="11"/>
      <c r="N98" s="11"/>
      <c r="O98" s="25"/>
      <c r="P98" s="25"/>
    </row>
    <row r="99" spans="1:16" ht="15.75" customHeight="1" x14ac:dyDescent="0.2">
      <c r="A99" s="12"/>
      <c r="B99" s="91" t="s">
        <v>116</v>
      </c>
      <c r="C99" s="19"/>
      <c r="D99" s="19"/>
      <c r="E99" s="19"/>
      <c r="F99" s="35"/>
      <c r="G99" s="35"/>
      <c r="H99" s="28"/>
      <c r="I99" s="24"/>
      <c r="J99" s="24"/>
      <c r="K99" s="24"/>
      <c r="L99" s="29"/>
      <c r="M99" s="11"/>
      <c r="N99" s="11"/>
      <c r="O99" s="25"/>
      <c r="P99" s="25"/>
    </row>
    <row r="100" spans="1:16" ht="15.75" customHeight="1" x14ac:dyDescent="0.2">
      <c r="A100" s="12"/>
      <c r="B100" s="91" t="s">
        <v>117</v>
      </c>
      <c r="C100" s="19"/>
      <c r="D100" s="19"/>
      <c r="E100" s="19"/>
      <c r="F100" s="35"/>
      <c r="G100" s="35"/>
      <c r="H100" s="28"/>
      <c r="I100" s="24"/>
      <c r="J100" s="24"/>
      <c r="K100" s="24"/>
      <c r="L100" s="29"/>
      <c r="M100" s="11"/>
      <c r="N100" s="11"/>
      <c r="O100" s="25"/>
      <c r="P100" s="25"/>
    </row>
    <row r="101" spans="1:16" ht="15.75" customHeight="1" x14ac:dyDescent="0.2">
      <c r="A101" s="12"/>
      <c r="B101" s="91" t="s">
        <v>118</v>
      </c>
      <c r="C101" s="19"/>
      <c r="D101" s="19"/>
      <c r="E101" s="19"/>
      <c r="F101" s="35"/>
      <c r="G101" s="35"/>
      <c r="H101" s="28"/>
      <c r="I101" s="24"/>
      <c r="J101" s="24"/>
      <c r="K101" s="24"/>
      <c r="L101" s="29"/>
      <c r="M101" s="11"/>
      <c r="N101" s="11"/>
      <c r="O101" s="25"/>
      <c r="P101" s="25"/>
    </row>
    <row r="102" spans="1:16" ht="15.75" customHeight="1" x14ac:dyDescent="0.2">
      <c r="A102" s="12"/>
      <c r="B102" s="91" t="s">
        <v>119</v>
      </c>
      <c r="C102" s="19"/>
      <c r="D102" s="19"/>
      <c r="E102" s="19"/>
      <c r="F102" s="35"/>
      <c r="G102" s="35"/>
      <c r="H102" s="28"/>
      <c r="I102" s="24"/>
      <c r="J102" s="24"/>
      <c r="K102" s="24"/>
      <c r="L102" s="29"/>
      <c r="M102" s="11"/>
      <c r="N102" s="11"/>
      <c r="O102" s="25"/>
      <c r="P102" s="25"/>
    </row>
    <row r="103" spans="1:16" ht="15.75" customHeight="1" x14ac:dyDescent="0.2">
      <c r="A103" s="12"/>
      <c r="B103" s="91" t="s">
        <v>120</v>
      </c>
      <c r="C103" s="19"/>
      <c r="D103" s="19"/>
      <c r="E103" s="19"/>
      <c r="F103" s="35"/>
      <c r="G103" s="35"/>
      <c r="H103" s="28"/>
      <c r="I103" s="24"/>
      <c r="J103" s="24"/>
      <c r="K103" s="24"/>
      <c r="L103" s="29"/>
      <c r="M103" s="11"/>
      <c r="N103" s="11"/>
      <c r="O103" s="25"/>
      <c r="P103" s="25"/>
    </row>
    <row r="104" spans="1:16" ht="15.75" customHeight="1" x14ac:dyDescent="0.2">
      <c r="A104" s="12"/>
      <c r="B104" s="91" t="s">
        <v>121</v>
      </c>
      <c r="C104" s="19"/>
      <c r="D104" s="19"/>
      <c r="E104" s="19"/>
      <c r="F104" s="35"/>
      <c r="G104" s="35"/>
      <c r="H104" s="28"/>
      <c r="I104" s="24"/>
      <c r="J104" s="24"/>
      <c r="K104" s="24"/>
      <c r="L104" s="29"/>
      <c r="M104" s="11"/>
      <c r="N104" s="11"/>
      <c r="O104" s="25"/>
      <c r="P104" s="25"/>
    </row>
    <row r="105" spans="1:16" ht="15.75" customHeight="1" x14ac:dyDescent="0.2">
      <c r="A105" s="12"/>
      <c r="B105" s="91" t="s">
        <v>122</v>
      </c>
      <c r="C105" s="19"/>
      <c r="D105" s="19"/>
      <c r="E105" s="19"/>
      <c r="F105" s="35"/>
      <c r="G105" s="35"/>
      <c r="H105" s="28"/>
      <c r="I105" s="24"/>
      <c r="J105" s="24"/>
      <c r="K105" s="24"/>
      <c r="L105" s="29"/>
      <c r="M105" s="11"/>
      <c r="N105" s="11"/>
      <c r="O105" s="25"/>
      <c r="P105" s="25"/>
    </row>
    <row r="106" spans="1:16" ht="15.75" customHeight="1" x14ac:dyDescent="0.2">
      <c r="A106" s="12"/>
      <c r="B106" s="91" t="s">
        <v>123</v>
      </c>
      <c r="C106" s="19"/>
      <c r="D106" s="19"/>
      <c r="E106" s="19"/>
      <c r="F106" s="35"/>
      <c r="G106" s="35"/>
      <c r="H106" s="28"/>
      <c r="I106" s="24"/>
      <c r="J106" s="24"/>
      <c r="K106" s="24"/>
      <c r="L106" s="29"/>
      <c r="M106" s="11"/>
      <c r="N106" s="11"/>
      <c r="O106" s="25"/>
      <c r="P106" s="25"/>
    </row>
    <row r="107" spans="1:16" ht="15.75" customHeight="1" x14ac:dyDescent="0.2">
      <c r="A107" s="12"/>
      <c r="B107" s="91" t="s">
        <v>124</v>
      </c>
      <c r="C107" s="19"/>
      <c r="D107" s="19"/>
      <c r="E107" s="19"/>
      <c r="F107" s="35"/>
      <c r="G107" s="35"/>
      <c r="H107" s="28"/>
      <c r="I107" s="24"/>
      <c r="J107" s="24"/>
      <c r="K107" s="24"/>
      <c r="L107" s="29"/>
      <c r="M107" s="11"/>
      <c r="N107" s="11"/>
      <c r="O107" s="25"/>
      <c r="P107" s="25"/>
    </row>
    <row r="108" spans="1:16" ht="15.75" customHeight="1" x14ac:dyDescent="0.2">
      <c r="A108" s="12"/>
      <c r="B108" s="91" t="s">
        <v>125</v>
      </c>
      <c r="C108" s="19"/>
      <c r="D108" s="19"/>
      <c r="E108" s="19"/>
      <c r="F108" s="35"/>
      <c r="G108" s="35"/>
      <c r="H108" s="28"/>
      <c r="I108" s="24"/>
      <c r="J108" s="24"/>
      <c r="K108" s="24"/>
      <c r="L108" s="29"/>
      <c r="M108" s="11"/>
      <c r="N108" s="11"/>
      <c r="O108" s="25"/>
      <c r="P108" s="25"/>
    </row>
    <row r="109" spans="1:16" ht="15.75" customHeight="1" x14ac:dyDescent="0.2">
      <c r="A109" s="12"/>
      <c r="B109" s="19"/>
      <c r="C109" s="19"/>
      <c r="D109" s="19"/>
      <c r="E109" s="19"/>
      <c r="F109" s="35"/>
      <c r="G109" s="35"/>
      <c r="H109" s="28"/>
      <c r="I109" s="24"/>
      <c r="J109" s="24"/>
      <c r="K109" s="24"/>
      <c r="L109" s="29"/>
      <c r="M109" s="11"/>
      <c r="N109" s="11"/>
      <c r="O109" s="25"/>
      <c r="P109" s="25"/>
    </row>
    <row r="110" spans="1:16" ht="15.75" customHeight="1" x14ac:dyDescent="0.2">
      <c r="A110" s="12"/>
      <c r="B110" s="19"/>
      <c r="C110" s="19"/>
      <c r="D110" s="19"/>
      <c r="E110" s="19"/>
      <c r="F110" s="35"/>
      <c r="G110" s="35"/>
      <c r="H110" s="28"/>
      <c r="I110" s="24"/>
      <c r="J110" s="24"/>
      <c r="K110" s="24"/>
      <c r="L110" s="29"/>
      <c r="M110" s="11"/>
      <c r="N110" s="11"/>
      <c r="O110" s="25"/>
      <c r="P110" s="25"/>
    </row>
    <row r="111" spans="1:16" ht="15.75" customHeight="1" x14ac:dyDescent="0.15"/>
    <row r="112" spans="1:16"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2">
    <mergeCell ref="H38:O40"/>
    <mergeCell ref="H42:O43"/>
    <mergeCell ref="I10:P10"/>
    <mergeCell ref="I11:P11"/>
    <mergeCell ref="I12:P12"/>
    <mergeCell ref="H24:O26"/>
    <mergeCell ref="E54:E87"/>
    <mergeCell ref="F54:F87"/>
    <mergeCell ref="B2:N2"/>
    <mergeCell ref="B3:N3"/>
    <mergeCell ref="A4:P4"/>
    <mergeCell ref="E6:E53"/>
    <mergeCell ref="F6:F53"/>
    <mergeCell ref="G6:P6"/>
    <mergeCell ref="I9:N9"/>
    <mergeCell ref="H45:O47"/>
    <mergeCell ref="G13:N13"/>
    <mergeCell ref="H14:O16"/>
    <mergeCell ref="H18:O20"/>
    <mergeCell ref="H21:O23"/>
    <mergeCell ref="H28:O32"/>
    <mergeCell ref="H34:O36"/>
  </mergeCells>
  <conditionalFormatting sqref="A4:P4 F6:F87">
    <cfRule type="notContainsBlanks" dxfId="0" priority="1">
      <formula>LEN(TRIM(A4))&gt;0</formula>
    </cfRule>
  </conditionalFormatting>
  <hyperlinks>
    <hyperlink ref="I10" r:id="rId2"/>
  </hyperlinks>
  <pageMargins left="0.7" right="0.7" top="0.75" bottom="0.75" header="0" footer="0"/>
  <pageSetup orientation="portrait"/>
  <drawing r:id="rId1"/>
</worksheet>
</file>

<file path=xl/worksheets/sheet2.xml><?xml version="1.0" encoding="utf-8"?>
<worksheet xmlns="http://schemas.openxmlformats.org/spreadsheetml/2006/main">
  <dimension ref="A1:A3"/>
  <sheetViews>
    <sheetView workbookViewId="0"/>
  </sheetViews>
  <sheetFormatPr defaultRowHeight="15.0"/>
  <sheetData>
    <row r="1">
      <c r="A1" s="0" t="s">
        <v>24</v>
      </c>
    </row>
    <row r="2">
      <c r="A2" s="0" t="s">
        <v>25</v>
      </c>
    </row>
    <row r="3">
      <c r="A3" s="0"/>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614"/>
  <sheetViews>
    <sheetView workbookViewId="0">
      <pane xSplit="2.0" ySplit="5.0" state="frozen" topLeftCell="C6" activePane="bottomRight"/>
      <selection pane="bottomRight"/>
    </sheetView>
  </sheetViews>
  <sheetFormatPr defaultRowHeight="15.0"/>
  <cols>
    <col min="1" max="1" style="0" width="35.15625" customWidth="true"/>
    <col min="2" max="2" style="0" width="31.25" customWidth="true"/>
    <col min="3" max="3" style="0" width="23.4375" customWidth="true"/>
    <col min="4" max="4" style="0" width="23.4375" customWidth="true"/>
    <col min="5" max="5" style="0" width="25.390625" customWidth="true"/>
    <col min="6" max="6" style="0" width="23.4375" customWidth="true"/>
    <col min="7" max="7" style="0" width="23.4375" customWidth="true"/>
    <col min="8" max="8" style="0" width="29.296875" customWidth="true"/>
    <col min="9" max="9" style="0" width="23.4375" customWidth="true"/>
    <col min="10" max="10" style="0" width="23.4375" customWidth="true"/>
    <col min="11" max="11" style="0" width="29.296875" customWidth="true"/>
    <col min="12" max="12" style="0" width="29.296875" customWidth="true"/>
    <col min="13" max="13" style="0" width="33.203125" customWidth="true"/>
    <col min="14" max="14" style="0" width="107.421875" customWidth="true" hidden="true"/>
  </cols>
  <sheetData>
    <row r="1" ht="0.0" customHeight="true">
      <c r="A1" s="92" t="s">
        <v>126</v>
      </c>
      <c r="B1" s="92" t="s">
        <v>132</v>
      </c>
      <c r="C1" s="92" t="s">
        <v>135</v>
      </c>
      <c r="D1" s="92" t="s">
        <v>137</v>
      </c>
      <c r="E1" s="92" t="s">
        <v>140</v>
      </c>
      <c r="F1" s="92" t="s">
        <v>146</v>
      </c>
      <c r="G1" s="92" t="s">
        <v>148</v>
      </c>
      <c r="H1" s="92" t="s">
        <v>151</v>
      </c>
      <c r="I1" s="92" t="s">
        <v>155</v>
      </c>
      <c r="J1" s="92" t="s">
        <v>160</v>
      </c>
      <c r="K1" s="92" t="s">
        <v>164</v>
      </c>
      <c r="L1" s="92" t="s">
        <v>165</v>
      </c>
      <c r="M1" s="92" t="s">
        <v>170</v>
      </c>
      <c r="N1" s="92" t="s">
        <v>173</v>
      </c>
    </row>
    <row r="2" ht="38.0" customHeight="true">
      <c r="A2" t="s" s="93">
        <v>128</v>
      </c>
      <c r="B2" t="s" s="93">
        <v>134</v>
      </c>
      <c r="C2" t="s" s="93">
        <v>136</v>
      </c>
      <c r="D2" t="s" s="93">
        <v>139</v>
      </c>
      <c r="E2" t="s" s="95">
        <v>142</v>
      </c>
      <c r="F2" t="s" s="95">
        <v>142</v>
      </c>
      <c r="G2" t="s" s="95">
        <v>142</v>
      </c>
      <c r="H2" t="s" s="95">
        <v>142</v>
      </c>
      <c r="I2" t="s" s="96">
        <v>157</v>
      </c>
      <c r="J2" t="s" s="96">
        <v>161</v>
      </c>
      <c r="K2" t="s" s="96">
        <v>161</v>
      </c>
      <c r="L2" t="s" s="93">
        <v>167</v>
      </c>
      <c r="M2" t="s" s="98">
        <v>172</v>
      </c>
      <c r="N2" t="s" s="99">
        <v>175</v>
      </c>
    </row>
    <row r="3" ht="25.0" customHeight="true">
      <c r="A3" t="s" s="93">
        <v>129</v>
      </c>
      <c r="B3" t="s" s="93">
        <v>129</v>
      </c>
      <c r="C3" t="s" s="93">
        <v>129</v>
      </c>
      <c r="D3" t="s" s="93">
        <v>129</v>
      </c>
      <c r="E3" t="s" s="95">
        <v>143</v>
      </c>
      <c r="F3" t="s" s="95">
        <v>147</v>
      </c>
      <c r="G3" t="s" s="95">
        <v>149</v>
      </c>
      <c r="H3" t="s" s="95">
        <v>152</v>
      </c>
      <c r="I3" t="s" s="96">
        <v>143</v>
      </c>
      <c r="J3" t="s" s="96">
        <v>147</v>
      </c>
      <c r="K3" t="s" s="96">
        <v>152</v>
      </c>
      <c r="L3" t="s" s="93">
        <v>129</v>
      </c>
      <c r="M3" t="s" s="98">
        <v>129</v>
      </c>
      <c r="N3" t="s" s="99">
        <v>129</v>
      </c>
    </row>
    <row r="4" ht="100.0" customHeight="true">
      <c r="A4" s="94" t="s">
        <v>131</v>
      </c>
      <c r="B4" s="94" t="s">
        <v>131</v>
      </c>
      <c r="C4" s="94" t="s">
        <v>131</v>
      </c>
      <c r="D4" s="94" t="s">
        <v>131</v>
      </c>
      <c r="E4" s="94" t="s">
        <v>145</v>
      </c>
      <c r="F4" s="94" t="s">
        <v>129</v>
      </c>
      <c r="G4" s="94" t="s">
        <v>150</v>
      </c>
      <c r="H4" s="94" t="s">
        <v>154</v>
      </c>
      <c r="I4" s="94" t="s">
        <v>159</v>
      </c>
      <c r="J4" s="94" t="s">
        <v>163</v>
      </c>
      <c r="K4" s="94" t="s">
        <v>154</v>
      </c>
      <c r="L4" s="97" t="s">
        <v>169</v>
      </c>
      <c r="M4" s="94" t="s">
        <v>129</v>
      </c>
      <c r="N4" s="94" t="s">
        <v>129</v>
      </c>
    </row>
    <row r="5">
      <c r="N5" s="94" t="s">
        <v>129</v>
      </c>
    </row>
    <row r="6">
      <c r="A6" s="101" t="s">
        <v>177</v>
      </c>
      <c r="B6" s="100" t="s">
        <v>176</v>
      </c>
      <c r="C6" s="100" t="s">
        <v>178</v>
      </c>
      <c r="D6" s="102" t="n">
        <v>99.87</v>
      </c>
      <c r="E6" s="103" t="n">
        <v>21.0</v>
      </c>
      <c r="F6" s="103" t="n">
        <v>78.9</v>
      </c>
      <c r="G6" s="0">
        <f>IF(ISBLANK(F6),IF(E6&gt;21.0,"Atrativo",IF(E6&lt;21.0,"Pouco atrativo","-")),IF(F6&lt;78.9,"Atrativo",IF(F6&gt;78.9,"Pouco atrativo","-")))</f>
      </c>
      <c r="H6" s="102">
        <f>IF(ISBLANK(F6),IF(E6=21,"$ 61.68","-"),IF(F6=78.9,"$ 61.68","-"))</f>
      </c>
      <c r="I6" s="103"/>
      <c r="J6" s="103"/>
      <c r="L6" s="104" t="s">
        <v>180</v>
      </c>
      <c r="M6" s="105" t="s">
        <v>181</v>
      </c>
      <c r="N6" s="106"/>
    </row>
    <row r="7">
      <c r="A7" s="101" t="s">
        <v>183</v>
      </c>
      <c r="B7" s="100" t="s">
        <v>182</v>
      </c>
      <c r="C7" s="100" t="s">
        <v>178</v>
      </c>
      <c r="D7" s="102" t="n">
        <v>146.82</v>
      </c>
      <c r="E7" s="103" t="n">
        <v>21.0</v>
      </c>
      <c r="F7" s="103" t="n">
        <v>115.99</v>
      </c>
      <c r="G7" s="0">
        <f>IF(ISBLANK(F7),IF(E7&gt;21.0,"Atrativo",IF(E7&lt;21.0,"Pouco atrativo","-")),IF(F7&lt;115.99,"Atrativo",IF(F7&gt;115.99,"Pouco atrativo","-")))</f>
      </c>
      <c r="H7" s="102">
        <f>IF(ISBLANK(F7),IF(E7=21,"$ 86.62","-"),IF(F7=115.99,"$ 86.62","-"))</f>
      </c>
      <c r="I7" s="103"/>
      <c r="J7" s="103"/>
      <c r="L7" s="104" t="s">
        <v>180</v>
      </c>
      <c r="M7" s="105" t="s">
        <v>181</v>
      </c>
      <c r="N7" s="106"/>
    </row>
    <row r="8">
      <c r="A8" s="101" t="s">
        <v>186</v>
      </c>
      <c r="B8" s="100" t="s">
        <v>185</v>
      </c>
      <c r="C8" s="100" t="s">
        <v>178</v>
      </c>
      <c r="D8" s="102" t="n">
        <v>146.71</v>
      </c>
      <c r="E8" s="103" t="n">
        <v>21.0</v>
      </c>
      <c r="F8" s="103" t="n">
        <v>115.9</v>
      </c>
      <c r="G8" s="0">
        <f>IF(ISBLANK(F8),IF(E8&gt;21.0,"Atrativo",IF(E8&lt;21.0,"Pouco atrativo","-")),IF(F8&lt;115.9,"Atrativo",IF(F8&gt;115.9,"Pouco atrativo","-")))</f>
      </c>
      <c r="H8" s="102">
        <f>IF(ISBLANK(F8),IF(E8=21,"$ 81.85","-"),IF(F8=115.9,"$ 81.85","-"))</f>
      </c>
      <c r="I8" s="103"/>
      <c r="J8" s="103"/>
      <c r="L8" s="104" t="s">
        <v>180</v>
      </c>
      <c r="M8" s="105" t="s">
        <v>181</v>
      </c>
      <c r="N8" s="106"/>
    </row>
    <row r="9">
      <c r="A9" s="101" t="s">
        <v>189</v>
      </c>
      <c r="B9" s="100" t="s">
        <v>188</v>
      </c>
      <c r="C9" s="100" t="s">
        <v>178</v>
      </c>
      <c r="D9" s="102" t="n">
        <v>170.88</v>
      </c>
      <c r="E9" s="103" t="n">
        <v>21.0</v>
      </c>
      <c r="F9" s="103" t="n">
        <v>135.0</v>
      </c>
      <c r="G9" s="0">
        <f>IF(ISBLANK(F9),IF(E9&gt;21.0,"Atrativo",IF(E9&lt;21.0,"Pouco atrativo","-")),IF(F9&lt;135.0,"Atrativo",IF(F9&gt;135.0,"Pouco atrativo","-")))</f>
      </c>
      <c r="H9" s="102">
        <f>IF(ISBLANK(F9),IF(E9=21,"$ 95.60","-"),IF(F9=135,"$ 95.60","-"))</f>
      </c>
      <c r="I9" s="103"/>
      <c r="J9" s="103"/>
      <c r="L9" s="104" t="s">
        <v>180</v>
      </c>
      <c r="M9" s="105" t="s">
        <v>181</v>
      </c>
      <c r="N9" s="106"/>
    </row>
    <row r="10">
      <c r="A10" s="101" t="s">
        <v>192</v>
      </c>
      <c r="B10" s="100" t="s">
        <v>191</v>
      </c>
      <c r="C10" s="100" t="s">
        <v>178</v>
      </c>
      <c r="D10" s="102" t="n">
        <v>97.34</v>
      </c>
      <c r="E10" s="103" t="n">
        <v>21.0</v>
      </c>
      <c r="F10" s="103" t="n">
        <v>76.9</v>
      </c>
      <c r="G10" s="0">
        <f>IF(ISBLANK(F10),IF(E10&gt;21.0,"Atrativo",IF(E10&lt;21.0,"Pouco atrativo","-")),IF(F10&lt;76.9,"Atrativo",IF(F10&gt;76.9,"Pouco atrativo","-")))</f>
      </c>
      <c r="H10" s="102">
        <f>IF(ISBLANK(F10),IF(E10=21,"$ 59.82","-"),IF(F10=76.9,"$ 59.82","-"))</f>
      </c>
      <c r="I10" s="103"/>
      <c r="J10" s="103"/>
      <c r="L10" s="104" t="s">
        <v>180</v>
      </c>
      <c r="M10" s="105" t="s">
        <v>181</v>
      </c>
      <c r="N10" s="106"/>
    </row>
    <row r="11">
      <c r="A11" s="101" t="s">
        <v>195</v>
      </c>
      <c r="B11" s="100" t="s">
        <v>194</v>
      </c>
      <c r="C11" s="100" t="s">
        <v>178</v>
      </c>
      <c r="D11" s="102" t="n">
        <v>131.52</v>
      </c>
      <c r="E11" s="103" t="n">
        <v>21.0</v>
      </c>
      <c r="F11" s="103" t="n">
        <v>103.9</v>
      </c>
      <c r="G11" s="0">
        <f>IF(ISBLANK(F11),IF(E11&gt;21.0,"Atrativo",IF(E11&lt;21.0,"Pouco atrativo","-")),IF(F11&lt;103.9,"Atrativo",IF(F11&gt;103.9,"Pouco atrativo","-")))</f>
      </c>
      <c r="H11" s="102">
        <f>IF(ISBLANK(F11),IF(E11=21,"$ 71.89","-"),IF(F11=103.9,"$ 71.89","-"))</f>
      </c>
      <c r="I11" s="103"/>
      <c r="J11" s="103"/>
      <c r="L11" s="104" t="s">
        <v>180</v>
      </c>
      <c r="M11" s="105" t="s">
        <v>181</v>
      </c>
      <c r="N11" s="106"/>
    </row>
    <row r="12">
      <c r="A12" s="101" t="s">
        <v>198</v>
      </c>
      <c r="B12" s="100" t="s">
        <v>197</v>
      </c>
      <c r="C12" s="100" t="s">
        <v>199</v>
      </c>
      <c r="D12" s="102" t="n">
        <v>285.95</v>
      </c>
      <c r="E12" s="103" t="n">
        <v>21.0</v>
      </c>
      <c r="F12" s="103" t="n">
        <v>225.9</v>
      </c>
      <c r="G12" s="0">
        <f>IF(ISBLANK(F12),IF(E12&gt;21.0,"Atrativo",IF(E12&lt;21.0,"Pouco atrativo","-")),IF(F12&lt;225.9,"Atrativo",IF(F12&gt;225.9,"Pouco atrativo","-")))</f>
      </c>
      <c r="H12" s="102">
        <f>IF(ISBLANK(F12),IF(E12=21,"$ 176.40","-"),IF(F12=225.9,"$ 176.40","-"))</f>
      </c>
      <c r="I12" s="103"/>
      <c r="J12" s="103"/>
      <c r="L12" s="104" t="s">
        <v>180</v>
      </c>
      <c r="M12" s="105" t="s">
        <v>181</v>
      </c>
      <c r="N12" s="106"/>
    </row>
    <row r="13">
      <c r="A13" s="101" t="s">
        <v>202</v>
      </c>
      <c r="B13" s="100" t="s">
        <v>201</v>
      </c>
      <c r="C13" s="100" t="s">
        <v>199</v>
      </c>
      <c r="D13" s="102" t="n">
        <v>374.56</v>
      </c>
      <c r="E13" s="103" t="n">
        <v>21.0</v>
      </c>
      <c r="F13" s="103" t="n">
        <v>295.9</v>
      </c>
      <c r="G13" s="0">
        <f>IF(ISBLANK(F13),IF(E13&gt;21.0,"Atrativo",IF(E13&lt;21.0,"Pouco atrativo","-")),IF(F13&lt;295.9,"Atrativo",IF(F13&gt;295.9,"Pouco atrativo","-")))</f>
      </c>
      <c r="H13" s="102">
        <f>IF(ISBLANK(F13),IF(E13=21,"$ 217.25","-"),IF(F13=295.9,"$ 217.25","-"))</f>
      </c>
      <c r="I13" s="103"/>
      <c r="J13" s="103"/>
      <c r="L13" s="104" t="s">
        <v>180</v>
      </c>
      <c r="M13" s="105" t="s">
        <v>181</v>
      </c>
      <c r="N13" s="106"/>
    </row>
    <row r="14">
      <c r="A14" s="101" t="s">
        <v>205</v>
      </c>
      <c r="B14" s="100" t="s">
        <v>204</v>
      </c>
      <c r="C14" s="100" t="s">
        <v>199</v>
      </c>
      <c r="D14" s="102" t="n">
        <v>317.6</v>
      </c>
      <c r="E14" s="103" t="n">
        <v>22.0</v>
      </c>
      <c r="F14" s="103" t="n">
        <v>250.9</v>
      </c>
      <c r="G14" s="0">
        <f>IF(ISBLANK(F14),IF(E14&gt;22.0,"Atrativo",IF(E14&lt;22.0,"Pouco atrativo","-")),IF(F14&lt;250.9,"Atrativo",IF(F14&gt;250.9,"Pouco atrativo","-")))</f>
      </c>
      <c r="H14" s="102">
        <f>IF(ISBLANK(F14),IF(E14=22,"$ 196.14","-"),IF(F14=250.9,"$ 196.14","-"))</f>
      </c>
      <c r="I14" s="103"/>
      <c r="J14" s="103"/>
      <c r="L14" s="104" t="s">
        <v>180</v>
      </c>
      <c r="M14" s="105" t="s">
        <v>181</v>
      </c>
      <c r="N14" s="106"/>
    </row>
    <row r="15">
      <c r="A15" s="101" t="s">
        <v>208</v>
      </c>
      <c r="B15" s="100" t="s">
        <v>207</v>
      </c>
      <c r="C15" s="100" t="s">
        <v>209</v>
      </c>
      <c r="D15" s="102" t="n">
        <v>117.6</v>
      </c>
      <c r="E15" s="103" t="n">
        <v>22.0</v>
      </c>
      <c r="F15" s="103" t="n">
        <v>92.9</v>
      </c>
      <c r="G15" s="0">
        <f>IF(ISBLANK(F15),IF(E15&gt;22.0,"Atrativo",IF(E15&lt;22.0,"Pouco atrativo","-")),IF(F15&lt;92.9,"Atrativo",IF(F15&gt;92.9,"Pouco atrativo","-")))</f>
      </c>
      <c r="H15" s="102">
        <f>IF(ISBLANK(F15),IF(E15=22,"$ 69.40","-"),IF(F15=92.9,"$ 69.40","-"))</f>
      </c>
      <c r="I15" s="103"/>
      <c r="J15" s="103"/>
      <c r="L15" s="104" t="s">
        <v>180</v>
      </c>
      <c r="M15" s="105" t="s">
        <v>181</v>
      </c>
      <c r="N15" s="106"/>
    </row>
    <row r="16">
      <c r="A16" s="101" t="s">
        <v>212</v>
      </c>
      <c r="B16" s="100" t="s">
        <v>211</v>
      </c>
      <c r="C16" s="100" t="s">
        <v>209</v>
      </c>
      <c r="D16" s="102" t="n">
        <v>125.93</v>
      </c>
      <c r="E16" s="103" t="n">
        <v>22.0</v>
      </c>
      <c r="F16" s="103" t="n">
        <v>99.48</v>
      </c>
      <c r="G16" s="0">
        <f>IF(ISBLANK(F16),IF(E16&gt;22.0,"Atrativo",IF(E16&lt;22.0,"Pouco atrativo","-")),IF(F16&lt;99.48,"Atrativo",IF(F16&gt;99.48,"Pouco atrativo","-")))</f>
      </c>
      <c r="H16" s="102">
        <f>IF(ISBLANK(F16),IF(E16=22,"$ 75.19","-"),IF(F16=99.48,"$ 75.19","-"))</f>
      </c>
      <c r="I16" s="103"/>
      <c r="J16" s="103"/>
      <c r="L16" s="104" t="s">
        <v>180</v>
      </c>
      <c r="M16" s="105" t="s">
        <v>181</v>
      </c>
      <c r="N16" s="106"/>
    </row>
    <row r="17">
      <c r="A17" s="101" t="s">
        <v>215</v>
      </c>
      <c r="B17" s="100" t="s">
        <v>214</v>
      </c>
      <c r="C17" s="100" t="s">
        <v>216</v>
      </c>
      <c r="D17" s="102" t="n">
        <v>108.74</v>
      </c>
      <c r="E17" s="103" t="n">
        <v>22.0</v>
      </c>
      <c r="F17" s="103" t="n">
        <v>85.0</v>
      </c>
      <c r="G17" s="0">
        <f>IF(ISBLANK(F17),IF(E17&gt;22.0,"Atrativo",IF(E17&lt;22.0,"Pouco atrativo","-")),IF(F17&lt;85.0,"Atrativo",IF(F17&gt;85.0,"Pouco atrativo","-")))</f>
      </c>
      <c r="H17" s="102">
        <f>IF(ISBLANK(F17),IF(E17=22,"$ 58.20","-"),IF(F17=85,"$ 58.20","-"))</f>
      </c>
      <c r="I17" s="103"/>
      <c r="J17" s="103"/>
      <c r="L17" s="104" t="s">
        <v>180</v>
      </c>
      <c r="M17" s="105" t="s">
        <v>181</v>
      </c>
      <c r="N17" s="106"/>
    </row>
    <row r="18">
      <c r="A18" s="101" t="s">
        <v>219</v>
      </c>
      <c r="B18" s="100" t="s">
        <v>218</v>
      </c>
      <c r="C18" s="100" t="s">
        <v>216</v>
      </c>
      <c r="D18" s="102" t="n">
        <v>83.42</v>
      </c>
      <c r="E18" s="103" t="n">
        <v>22.0</v>
      </c>
      <c r="F18" s="103" t="n">
        <v>65.9</v>
      </c>
      <c r="G18" s="0">
        <f>IF(ISBLANK(F18),IF(E18&gt;22.0,"Atrativo",IF(E18&lt;22.0,"Pouco atrativo","-")),IF(F18&lt;65.9,"Atrativo",IF(F18&gt;65.9,"Pouco atrativo","-")))</f>
      </c>
      <c r="H18" s="102">
        <f>IF(ISBLANK(F18),IF(E18=22,"$ 46.95","-"),IF(F18=65.9,"$ 46.95","-"))</f>
      </c>
      <c r="I18" s="103"/>
      <c r="J18" s="103"/>
      <c r="L18" s="104" t="s">
        <v>180</v>
      </c>
      <c r="M18" s="105" t="s">
        <v>181</v>
      </c>
      <c r="N18" s="106"/>
    </row>
    <row r="19">
      <c r="A19" s="101" t="s">
        <v>222</v>
      </c>
      <c r="B19" s="100" t="s">
        <v>221</v>
      </c>
      <c r="C19" s="100" t="s">
        <v>223</v>
      </c>
      <c r="D19" s="102" t="n">
        <v>221.4</v>
      </c>
      <c r="E19" s="103" t="n">
        <v>21.0</v>
      </c>
      <c r="F19" s="103" t="n">
        <v>174.91</v>
      </c>
      <c r="G19" s="0">
        <f>IF(ISBLANK(F19),IF(E19&gt;21.0,"Atrativo",IF(E19&lt;21.0,"Pouco atrativo","-")),IF(F19&lt;174.91,"Atrativo",IF(F19&gt;174.91,"Pouco atrativo","-")))</f>
      </c>
      <c r="H19" s="102">
        <f>IF(ISBLANK(F19),IF(E19=21,"$ 121.53","-"),IF(F19=174.91,"$ 121.53","-"))</f>
      </c>
      <c r="I19" s="103"/>
      <c r="J19" s="103"/>
      <c r="L19" s="104" t="s">
        <v>180</v>
      </c>
      <c r="M19" s="105" t="s">
        <v>181</v>
      </c>
      <c r="N19" s="106"/>
    </row>
    <row r="20">
      <c r="A20" s="101" t="s">
        <v>226</v>
      </c>
      <c r="B20" s="100" t="s">
        <v>225</v>
      </c>
      <c r="C20" s="100" t="s">
        <v>227</v>
      </c>
      <c r="D20" s="102" t="n">
        <v>502.41</v>
      </c>
      <c r="E20" s="103" t="n">
        <v>21.0</v>
      </c>
      <c r="F20" s="103" t="n">
        <v>396.9</v>
      </c>
      <c r="G20" s="0">
        <f>IF(ISBLANK(F20),IF(E20&gt;21.0,"Atrativo",IF(E20&lt;21.0,"Pouco atrativo","-")),IF(F20&lt;396.9,"Atrativo",IF(F20&gt;396.9,"Pouco atrativo","-")))</f>
      </c>
      <c r="H20" s="102">
        <f>IF(ISBLANK(F20),IF(E20=21,"$ 306.88","-"),IF(F20=396.9,"$ 306.88","-"))</f>
      </c>
      <c r="I20" s="103"/>
      <c r="J20" s="103"/>
      <c r="L20" s="104" t="s">
        <v>180</v>
      </c>
      <c r="M20" s="105" t="s">
        <v>181</v>
      </c>
      <c r="N20" s="106"/>
    </row>
    <row r="21">
      <c r="A21" s="101" t="s">
        <v>230</v>
      </c>
      <c r="B21" s="100" t="s">
        <v>229</v>
      </c>
      <c r="C21" s="100" t="s">
        <v>231</v>
      </c>
      <c r="D21" s="102" t="n">
        <v>288.48</v>
      </c>
      <c r="E21" s="103" t="n">
        <v>21.0</v>
      </c>
      <c r="F21" s="103" t="n">
        <v>227.9</v>
      </c>
      <c r="G21" s="0">
        <f>IF(ISBLANK(F21),IF(E21&gt;21.0,"Atrativo",IF(E21&lt;21.0,"Pouco atrativo","-")),IF(F21&lt;227.9,"Atrativo",IF(F21&gt;227.9,"Pouco atrativo","-")))</f>
      </c>
      <c r="H21" s="102">
        <f>IF(ISBLANK(F21),IF(E21=21,"$ 168.21","-"),IF(F21=227.9,"$ 168.21","-"))</f>
      </c>
      <c r="I21" s="103"/>
      <c r="J21" s="103"/>
      <c r="L21" s="104" t="s">
        <v>180</v>
      </c>
      <c r="M21" s="105" t="s">
        <v>181</v>
      </c>
      <c r="N21" s="106"/>
    </row>
    <row r="22">
      <c r="A22" s="101" t="s">
        <v>234</v>
      </c>
      <c r="B22" s="100" t="s">
        <v>233</v>
      </c>
      <c r="C22" s="100" t="s">
        <v>231</v>
      </c>
      <c r="D22" s="102" t="n">
        <v>150.13</v>
      </c>
      <c r="E22" s="103" t="n">
        <v>22.0</v>
      </c>
      <c r="F22" s="103" t="n">
        <v>118.6</v>
      </c>
      <c r="G22" s="0">
        <f>IF(ISBLANK(F22),IF(E22&gt;22.0,"Atrativo",IF(E22&lt;22.0,"Pouco atrativo","-")),IF(F22&lt;118.6,"Atrativo",IF(F22&gt;118.6,"Pouco atrativo","-")))</f>
      </c>
      <c r="H22" s="102">
        <f>IF(ISBLANK(F22),IF(E22=22,"$ 88.92","-"),IF(F22=118.6,"$ 88.92","-"))</f>
      </c>
      <c r="I22" s="103"/>
      <c r="J22" s="103"/>
      <c r="L22" s="104" t="s">
        <v>180</v>
      </c>
      <c r="M22" s="105" t="s">
        <v>181</v>
      </c>
      <c r="N22" s="106"/>
    </row>
    <row r="23">
      <c r="A23" s="101" t="s">
        <v>237</v>
      </c>
      <c r="B23" s="100" t="s">
        <v>236</v>
      </c>
      <c r="C23" s="100" t="s">
        <v>238</v>
      </c>
      <c r="D23" s="102" t="n">
        <v>882.12</v>
      </c>
      <c r="E23" s="103" t="n">
        <v>22.0</v>
      </c>
      <c r="F23" s="103" t="n">
        <v>688.05</v>
      </c>
      <c r="G23" s="0">
        <f>IF(ISBLANK(F23),IF(E23&gt;22.0,"Atrativo",IF(E23&lt;22.0,"Pouco atrativo","-")),IF(F23&lt;688.05,"Atrativo",IF(F23&gt;688.05,"Pouco atrativo","-")))</f>
      </c>
      <c r="H23" s="102">
        <f>IF(ISBLANK(F23),IF(E23=22,"$ 581.83","-"),IF(F23=688.05,"$ 581.83","-"))</f>
      </c>
      <c r="I23" s="103"/>
      <c r="J23" s="103"/>
      <c r="L23" s="104" t="s">
        <v>180</v>
      </c>
      <c r="M23" s="105" t="s">
        <v>181</v>
      </c>
      <c r="N23" s="106"/>
    </row>
    <row r="24">
      <c r="A24" s="101" t="s">
        <v>241</v>
      </c>
      <c r="B24" s="100" t="s">
        <v>240</v>
      </c>
      <c r="C24" s="100" t="s">
        <v>129</v>
      </c>
      <c r="D24" s="102" t="n">
        <v>236.59</v>
      </c>
      <c r="E24" s="103" t="n">
        <v>21.0</v>
      </c>
      <c r="F24" s="103" t="n">
        <v>186.91</v>
      </c>
      <c r="G24" s="0">
        <f>IF(ISBLANK(F24),IF(E24&gt;21.0,"Atrativo",IF(E24&lt;21.0,"Pouco atrativo","-")),IF(F24&lt;186.91,"Atrativo",IF(F24&gt;186.91,"Pouco atrativo","-")))</f>
      </c>
      <c r="H24" s="102">
        <f>IF(ISBLANK(F24),IF(E24=21,"$ 144.63","-"),IF(F24=186.91,"$ 144.63","-"))</f>
      </c>
      <c r="I24" s="103"/>
      <c r="J24" s="103"/>
      <c r="L24" s="104" t="s">
        <v>180</v>
      </c>
      <c r="M24" s="105" t="s">
        <v>181</v>
      </c>
      <c r="N24" s="106"/>
    </row>
    <row r="25">
      <c r="A25" s="101" t="s">
        <v>244</v>
      </c>
      <c r="B25" s="100" t="s">
        <v>243</v>
      </c>
      <c r="C25" s="100" t="s">
        <v>245</v>
      </c>
      <c r="D25" s="102" t="n">
        <v>882.16</v>
      </c>
      <c r="E25" s="103" t="n">
        <v>21.0</v>
      </c>
      <c r="F25" s="103" t="n">
        <v>696.91</v>
      </c>
      <c r="G25" s="0">
        <f>IF(ISBLANK(F25),IF(E25&gt;21.0,"Atrativo",IF(E25&lt;21.0,"Pouco atrativo","-")),IF(F25&lt;696.91,"Atrativo",IF(F25&gt;696.91,"Pouco atrativo","-")))</f>
      </c>
      <c r="H25" s="102">
        <f>IF(ISBLANK(F25),IF(E25=21,"$ 553.79","-"),IF(F25=696.91,"$ 553.79","-"))</f>
      </c>
      <c r="I25" s="103"/>
      <c r="J25" s="103"/>
      <c r="L25" s="104" t="s">
        <v>180</v>
      </c>
      <c r="M25" s="105" t="s">
        <v>181</v>
      </c>
      <c r="N25" s="106"/>
    </row>
    <row r="26">
      <c r="A26" s="101" t="s">
        <v>248</v>
      </c>
      <c r="B26" s="100" t="s">
        <v>247</v>
      </c>
      <c r="C26" s="100" t="s">
        <v>245</v>
      </c>
      <c r="D26" s="102" t="n">
        <v>830.26</v>
      </c>
      <c r="E26" s="103" t="n">
        <v>21.0</v>
      </c>
      <c r="F26" s="103" t="n">
        <v>655.91</v>
      </c>
      <c r="G26" s="0">
        <f>IF(ISBLANK(F26),IF(E26&gt;21.0,"Atrativo",IF(E26&lt;21.0,"Pouco atrativo","-")),IF(F26&lt;655.91,"Atrativo",IF(F26&gt;655.91,"Pouco atrativo","-")))</f>
      </c>
      <c r="H26" s="102">
        <f>IF(ISBLANK(F26),IF(E26=21,"$ 527.31","-"),IF(F26=655.91,"$ 527.31","-"))</f>
      </c>
      <c r="I26" s="103"/>
      <c r="J26" s="103"/>
      <c r="L26" s="104" t="s">
        <v>180</v>
      </c>
      <c r="M26" s="105" t="s">
        <v>181</v>
      </c>
      <c r="N26" s="106"/>
    </row>
    <row r="27">
      <c r="A27" s="101" t="s">
        <v>251</v>
      </c>
      <c r="B27" s="100" t="s">
        <v>250</v>
      </c>
      <c r="C27" s="100" t="s">
        <v>252</v>
      </c>
      <c r="D27" s="102" t="n">
        <v>127.72</v>
      </c>
      <c r="E27" s="103" t="n">
        <v>21.0</v>
      </c>
      <c r="F27" s="103" t="n">
        <v>100.9</v>
      </c>
      <c r="G27" s="0">
        <f>IF(ISBLANK(F27),IF(E27&gt;21.0,"Atrativo",IF(E27&lt;21.0,"Pouco atrativo","-")),IF(F27&lt;100.9,"Atrativo",IF(F27&gt;100.9,"Pouco atrativo","-")))</f>
      </c>
      <c r="H27" s="102">
        <f>IF(ISBLANK(F27),IF(E27=21,"$ 69.40","-"),IF(F27=100.9,"$ 69.40","-"))</f>
      </c>
      <c r="I27" s="103"/>
      <c r="J27" s="103"/>
      <c r="L27" s="104" t="s">
        <v>180</v>
      </c>
      <c r="M27" s="105" t="s">
        <v>181</v>
      </c>
      <c r="N27" s="106"/>
    </row>
    <row r="28">
      <c r="A28" s="101" t="s">
        <v>254</v>
      </c>
      <c r="B28" s="100" t="s">
        <v>253</v>
      </c>
      <c r="C28" s="100" t="s">
        <v>252</v>
      </c>
      <c r="D28" s="102" t="n">
        <v>120.13</v>
      </c>
      <c r="E28" s="103" t="n">
        <v>7.0</v>
      </c>
      <c r="F28" s="103" t="n">
        <v>112.9</v>
      </c>
      <c r="G28" s="0">
        <f>IF(ISBLANK(F28),IF(E28&gt;7.0,"Atrativo",IF(E28&lt;7.0,"Pouco atrativo","-")),IF(F28&lt;112.9,"Atrativo",IF(F28&gt;112.9,"Pouco atrativo","-")))</f>
      </c>
      <c r="H28" s="102">
        <f>IF(ISBLANK(F28),IF(E28=7,"$ 85","-"),IF(F28=112.9,"$ 85","-"))</f>
      </c>
      <c r="I28" s="103"/>
      <c r="J28" s="103"/>
      <c r="L28" s="104" t="s">
        <v>180</v>
      </c>
      <c r="M28" s="105" t="s">
        <v>181</v>
      </c>
      <c r="N28" s="106"/>
    </row>
    <row r="29">
      <c r="A29" s="101" t="s">
        <v>257</v>
      </c>
      <c r="B29" s="100" t="s">
        <v>256</v>
      </c>
      <c r="C29" s="100" t="s">
        <v>252</v>
      </c>
      <c r="D29" s="102" t="n">
        <v>141.65</v>
      </c>
      <c r="E29" s="103" t="n">
        <v>22.0</v>
      </c>
      <c r="F29" s="103" t="n">
        <v>111.9</v>
      </c>
      <c r="G29" s="0">
        <f>IF(ISBLANK(F29),IF(E29&gt;22.0,"Atrativo",IF(E29&lt;22.0,"Pouco atrativo","-")),IF(F29&lt;111.9,"Atrativo",IF(F29&gt;111.9,"Pouco atrativo","-")))</f>
      </c>
      <c r="H29" s="102">
        <f>IF(ISBLANK(F29),IF(E29=22,"$ 78.53","-"),IF(F29=111.9,"$ 78.53","-"))</f>
      </c>
      <c r="I29" s="103"/>
      <c r="J29" s="103"/>
      <c r="L29" s="104" t="s">
        <v>180</v>
      </c>
      <c r="M29" s="105" t="s">
        <v>181</v>
      </c>
      <c r="N29" s="106"/>
    </row>
    <row r="30">
      <c r="A30" s="101" t="s">
        <v>254</v>
      </c>
      <c r="B30" s="100" t="s">
        <v>259</v>
      </c>
      <c r="C30" s="100" t="s">
        <v>252</v>
      </c>
      <c r="D30" s="102" t="n">
        <v>130.25</v>
      </c>
      <c r="E30" s="103" t="n">
        <v>21.0</v>
      </c>
      <c r="F30" s="103" t="n">
        <v>102.9</v>
      </c>
      <c r="G30" s="0">
        <f>IF(ISBLANK(F30),IF(E30&gt;21.0,"Atrativo",IF(E30&lt;21.0,"Pouco atrativo","-")),IF(F30&lt;102.9,"Atrativo",IF(F30&gt;102.9,"Pouco atrativo","-")))</f>
      </c>
      <c r="H30" s="102">
        <f>IF(ISBLANK(F30),IF(E30=21,"$ 76.20","-"),IF(F30=102.9,"$ 76.20","-"))</f>
      </c>
      <c r="I30" s="103"/>
      <c r="J30" s="103"/>
      <c r="L30" s="104" t="s">
        <v>180</v>
      </c>
      <c r="M30" s="105" t="s">
        <v>181</v>
      </c>
      <c r="N30" s="106"/>
    </row>
    <row r="31">
      <c r="A31" s="101" t="s">
        <v>262</v>
      </c>
      <c r="B31" s="100" t="s">
        <v>261</v>
      </c>
      <c r="C31" s="100" t="s">
        <v>263</v>
      </c>
      <c r="D31" s="102" t="n">
        <v>188.6</v>
      </c>
      <c r="E31" s="103" t="n">
        <v>23.0</v>
      </c>
      <c r="F31" s="103" t="n">
        <v>145.9</v>
      </c>
      <c r="G31" s="0">
        <f>IF(ISBLANK(F31),IF(E31&gt;23.0,"Atrativo",IF(E31&lt;23.0,"Pouco atrativo","-")),IF(F31&lt;145.9,"Atrativo",IF(F31&gt;145.9,"Pouco atrativo","-")))</f>
      </c>
      <c r="H31" s="102">
        <f>IF(ISBLANK(F31),IF(E31=23,"$ 104.65","-"),IF(F31=145.9,"$ 104.65","-"))</f>
      </c>
      <c r="I31" s="103"/>
      <c r="J31" s="103"/>
      <c r="L31" s="104" t="s">
        <v>180</v>
      </c>
      <c r="M31" s="105" t="s">
        <v>181</v>
      </c>
      <c r="N31" s="106"/>
    </row>
    <row r="32">
      <c r="A32" s="101" t="s">
        <v>266</v>
      </c>
      <c r="B32" s="100" t="s">
        <v>265</v>
      </c>
      <c r="C32" s="100" t="s">
        <v>267</v>
      </c>
      <c r="D32" s="102" t="n">
        <v>136.58</v>
      </c>
      <c r="E32" s="103" t="n">
        <v>40.0</v>
      </c>
      <c r="F32" s="103" t="n">
        <v>82.55</v>
      </c>
      <c r="G32" s="0">
        <f>IF(ISBLANK(F32),IF(E32&gt;40.0,"Atrativo",IF(E32&lt;40.0,"Pouco atrativo","-")),IF(F32&lt;82.55,"Atrativo",IF(F32&gt;82.55,"Pouco atrativo","-")))</f>
      </c>
      <c r="H32" s="102">
        <f>IF(ISBLANK(F32),IF(E32=40,"$ 59.39","-"),IF(F32=82.55,"$ 59.39","-"))</f>
      </c>
      <c r="I32" s="103"/>
      <c r="J32" s="103"/>
      <c r="L32" s="104" t="s">
        <v>180</v>
      </c>
      <c r="M32" s="105" t="s">
        <v>181</v>
      </c>
      <c r="N32" s="106"/>
    </row>
    <row r="33">
      <c r="A33" s="101" t="s">
        <v>270</v>
      </c>
      <c r="B33" s="100" t="s">
        <v>269</v>
      </c>
      <c r="C33" s="100" t="s">
        <v>267</v>
      </c>
      <c r="D33" s="102" t="n">
        <v>134.05</v>
      </c>
      <c r="E33" s="103" t="n">
        <v>40.0</v>
      </c>
      <c r="F33" s="103" t="n">
        <v>80.67</v>
      </c>
      <c r="G33" s="0">
        <f>IF(ISBLANK(F33),IF(E33&gt;40.0,"Atrativo",IF(E33&lt;40.0,"Pouco atrativo","-")),IF(F33&lt;80.67,"Atrativo",IF(F33&gt;80.67,"Pouco atrativo","-")))</f>
      </c>
      <c r="H33" s="102">
        <f>IF(ISBLANK(F33),IF(E33=40,"$ 58.64","-"),IF(F33=80.67,"$ 58.64","-"))</f>
      </c>
      <c r="I33" s="103"/>
      <c r="J33" s="103"/>
      <c r="L33" s="104" t="s">
        <v>180</v>
      </c>
      <c r="M33" s="105" t="s">
        <v>181</v>
      </c>
      <c r="N33" s="106"/>
    </row>
    <row r="34">
      <c r="A34" s="101" t="s">
        <v>273</v>
      </c>
      <c r="B34" s="100" t="s">
        <v>272</v>
      </c>
      <c r="C34" s="100" t="s">
        <v>274</v>
      </c>
      <c r="D34" s="102" t="n">
        <v>250.51</v>
      </c>
      <c r="E34" s="103" t="n">
        <v>31.0</v>
      </c>
      <c r="F34" s="103" t="n">
        <v>174.91</v>
      </c>
      <c r="G34" s="0">
        <f>IF(ISBLANK(F34),IF(E34&gt;31.0,"Atrativo",IF(E34&lt;31.0,"Pouco atrativo","-")),IF(F34&lt;174.91,"Atrativo",IF(F34&gt;174.91,"Pouco atrativo","-")))</f>
      </c>
      <c r="H34" s="102">
        <f>IF(ISBLANK(F34),IF(E34=31,"$ 124.43","-"),IF(F34=174.91,"$ 124.43","-"))</f>
      </c>
      <c r="I34" s="103"/>
      <c r="J34" s="103"/>
      <c r="L34" s="104" t="s">
        <v>180</v>
      </c>
      <c r="M34" s="105" t="s">
        <v>181</v>
      </c>
      <c r="N34" s="106"/>
    </row>
    <row r="35">
      <c r="A35" s="101" t="s">
        <v>277</v>
      </c>
      <c r="B35" s="100" t="s">
        <v>276</v>
      </c>
      <c r="C35" s="100" t="s">
        <v>278</v>
      </c>
      <c r="D35" s="102" t="n">
        <v>198.61</v>
      </c>
      <c r="E35" s="103" t="n">
        <v>21.0</v>
      </c>
      <c r="F35" s="103" t="n">
        <v>156.9</v>
      </c>
      <c r="G35" s="0">
        <f>IF(ISBLANK(F35),IF(E35&gt;21.0,"Atrativo",IF(E35&lt;21.0,"Pouco atrativo","-")),IF(F35&lt;156.9,"Atrativo",IF(F35&gt;156.9,"Pouco atrativo","-")))</f>
      </c>
      <c r="H35" s="102">
        <f>IF(ISBLANK(F35),IF(E35=21,"$ 118.22","-"),IF(F35=156.9,"$ 118.22","-"))</f>
      </c>
      <c r="I35" s="103"/>
      <c r="J35" s="103"/>
      <c r="L35" s="104" t="s">
        <v>180</v>
      </c>
      <c r="M35" s="105" t="s">
        <v>181</v>
      </c>
      <c r="N35" s="106"/>
    </row>
    <row r="36">
      <c r="A36" s="101" t="s">
        <v>281</v>
      </c>
      <c r="B36" s="100" t="s">
        <v>280</v>
      </c>
      <c r="C36" s="100" t="s">
        <v>278</v>
      </c>
      <c r="D36" s="102" t="n">
        <v>61.9</v>
      </c>
      <c r="E36" s="103" t="n">
        <v>23.0</v>
      </c>
      <c r="F36" s="103" t="n">
        <v>47.9</v>
      </c>
      <c r="G36" s="0">
        <f>IF(ISBLANK(F36),IF(E36&gt;23.0,"Atrativo",IF(E36&lt;23.0,"Pouco atrativo","-")),IF(F36&lt;47.9,"Atrativo",IF(F36&gt;47.9,"Pouco atrativo","-")))</f>
      </c>
      <c r="H36" s="102">
        <f>IF(ISBLANK(F36),IF(E36=23,"$ 35.60","-"),IF(F36=47.9,"$ 35.60","-"))</f>
      </c>
      <c r="I36" s="103"/>
      <c r="J36" s="103"/>
      <c r="L36" s="104" t="s">
        <v>180</v>
      </c>
      <c r="M36" s="105" t="s">
        <v>181</v>
      </c>
      <c r="N36" s="106"/>
    </row>
    <row r="37">
      <c r="A37" s="101" t="s">
        <v>284</v>
      </c>
      <c r="B37" s="100" t="s">
        <v>283</v>
      </c>
      <c r="C37" s="100" t="s">
        <v>285</v>
      </c>
      <c r="D37" s="102" t="n">
        <v>236.59</v>
      </c>
      <c r="E37" s="103" t="n">
        <v>21.0</v>
      </c>
      <c r="F37" s="103" t="n">
        <v>186.91</v>
      </c>
      <c r="G37" s="0">
        <f>IF(ISBLANK(F37),IF(E37&gt;21.0,"Atrativo",IF(E37&lt;21.0,"Pouco atrativo","-")),IF(F37&lt;186.91,"Atrativo",IF(F37&gt;186.91,"Pouco atrativo","-")))</f>
      </c>
      <c r="H37" s="102">
        <f>IF(ISBLANK(F37),IF(E37=21,"$ 146.03","-"),IF(F37=186.91,"$ 146.03","-"))</f>
      </c>
      <c r="I37" s="103"/>
      <c r="J37" s="103"/>
      <c r="L37" s="104" t="s">
        <v>180</v>
      </c>
      <c r="M37" s="105" t="s">
        <v>181</v>
      </c>
      <c r="N37" s="106"/>
    </row>
    <row r="38">
      <c r="A38" s="101" t="s">
        <v>288</v>
      </c>
      <c r="B38" s="100" t="s">
        <v>287</v>
      </c>
      <c r="C38" s="100" t="s">
        <v>285</v>
      </c>
      <c r="D38" s="102" t="n">
        <v>199.88</v>
      </c>
      <c r="E38" s="103" t="n">
        <v>21.0</v>
      </c>
      <c r="F38" s="103" t="n">
        <v>157.91</v>
      </c>
      <c r="G38" s="0">
        <f>IF(ISBLANK(F38),IF(E38&gt;21.0,"Atrativo",IF(E38&lt;21.0,"Pouco atrativo","-")),IF(F38&lt;157.91,"Atrativo",IF(F38&gt;157.91,"Pouco atrativo","-")))</f>
      </c>
      <c r="H38" s="102">
        <f>IF(ISBLANK(F38),IF(E38=21,"$ 120.51","-"),IF(F38=157.91,"$ 120.51","-"))</f>
      </c>
      <c r="I38" s="103"/>
      <c r="J38" s="103"/>
      <c r="L38" s="104" t="s">
        <v>180</v>
      </c>
      <c r="M38" s="105" t="s">
        <v>181</v>
      </c>
      <c r="N38" s="106"/>
    </row>
    <row r="39">
      <c r="A39" s="101" t="s">
        <v>291</v>
      </c>
      <c r="B39" s="100" t="s">
        <v>290</v>
      </c>
      <c r="C39" s="100" t="s">
        <v>292</v>
      </c>
      <c r="D39" s="102" t="n">
        <v>225.99</v>
      </c>
      <c r="E39" s="103" t="n">
        <v>5.0</v>
      </c>
      <c r="F39" s="103" t="n">
        <v>214.69</v>
      </c>
      <c r="G39" s="107" t="s">
        <v>294</v>
      </c>
      <c r="H39" s="102">
        <f>IF(ISBLANK(F39),IF(E39=5,"$ 166.38","-"),IF(F39=214.69,"$ 166.38","-"))</f>
      </c>
      <c r="I39" s="103"/>
      <c r="J39" s="103"/>
      <c r="L39" s="104" t="s">
        <v>295</v>
      </c>
      <c r="M39" s="105" t="s">
        <v>181</v>
      </c>
      <c r="N39" s="101" t="s">
        <v>296</v>
      </c>
    </row>
    <row r="40">
      <c r="A40" s="101" t="s">
        <v>298</v>
      </c>
      <c r="B40" s="100" t="s">
        <v>297</v>
      </c>
      <c r="C40" s="100" t="s">
        <v>292</v>
      </c>
      <c r="D40" s="102" t="n">
        <v>189.75</v>
      </c>
      <c r="E40" s="103" t="n">
        <v>22.0</v>
      </c>
      <c r="F40" s="103" t="n">
        <v>149.9</v>
      </c>
      <c r="G40" s="0">
        <f>IF(ISBLANK(F40),IF(E40&gt;22.0,"Atrativo",IF(E40&lt;22.0,"Pouco atrativo","-")),IF(F40&lt;149.9,"Atrativo",IF(F40&gt;149.9,"Pouco atrativo","-")))</f>
      </c>
      <c r="H40" s="102">
        <f>IF(ISBLANK(F40),IF(E40=22,"$ 114.26","-"),IF(F40=149.9,"$ 114.26","-"))</f>
      </c>
      <c r="I40" s="103"/>
      <c r="J40" s="103"/>
      <c r="L40" s="104" t="s">
        <v>180</v>
      </c>
      <c r="M40" s="105" t="s">
        <v>181</v>
      </c>
      <c r="N40" s="106"/>
    </row>
    <row r="41">
      <c r="A41" s="101" t="s">
        <v>301</v>
      </c>
      <c r="B41" s="100" t="s">
        <v>300</v>
      </c>
      <c r="C41" s="100" t="s">
        <v>292</v>
      </c>
      <c r="D41" s="102" t="n">
        <v>206.9</v>
      </c>
      <c r="E41" s="103" t="n">
        <v>6.0</v>
      </c>
      <c r="F41" s="103" t="n">
        <v>194.48</v>
      </c>
      <c r="G41" s="107" t="s">
        <v>294</v>
      </c>
      <c r="H41" s="102">
        <f>IF(ISBLANK(F41),IF(E41=6,"$ 143.34","-"),IF(F41=194.48,"$ 143.34","-"))</f>
      </c>
      <c r="I41" s="103"/>
      <c r="J41" s="103"/>
      <c r="L41" s="104" t="s">
        <v>295</v>
      </c>
      <c r="M41" s="105" t="s">
        <v>181</v>
      </c>
      <c r="N41" s="101" t="s">
        <v>296</v>
      </c>
    </row>
    <row r="42">
      <c r="A42" s="101" t="s">
        <v>304</v>
      </c>
      <c r="B42" s="100" t="s">
        <v>303</v>
      </c>
      <c r="C42" s="100" t="s">
        <v>305</v>
      </c>
      <c r="D42" s="102" t="n">
        <v>115.06</v>
      </c>
      <c r="E42" s="103" t="n">
        <v>21.0</v>
      </c>
      <c r="F42" s="103" t="n">
        <v>90.9</v>
      </c>
      <c r="G42" s="0">
        <f>IF(ISBLANK(F42),IF(E42&gt;21.0,"Atrativo",IF(E42&lt;21.0,"Pouco atrativo","-")),IF(F42&lt;90.9,"Atrativo",IF(F42&gt;90.9,"Pouco atrativo","-")))</f>
      </c>
      <c r="H42" s="102">
        <f>IF(ISBLANK(F42),IF(E42=21,"$ 67.64","-"),IF(F42=90.9,"$ 67.64","-"))</f>
      </c>
      <c r="I42" s="103"/>
      <c r="J42" s="103"/>
      <c r="L42" s="104" t="s">
        <v>180</v>
      </c>
      <c r="M42" s="105" t="s">
        <v>181</v>
      </c>
      <c r="N42" s="106"/>
    </row>
    <row r="43">
      <c r="A43" s="101" t="s">
        <v>308</v>
      </c>
      <c r="B43" s="100" t="s">
        <v>307</v>
      </c>
      <c r="C43" s="100" t="s">
        <v>305</v>
      </c>
      <c r="D43" s="102" t="n">
        <v>140.38</v>
      </c>
      <c r="E43" s="103" t="n">
        <v>21.0</v>
      </c>
      <c r="F43" s="103" t="n">
        <v>110.9</v>
      </c>
      <c r="G43" s="0">
        <f>IF(ISBLANK(F43),IF(E43&gt;21.0,"Atrativo",IF(E43&lt;21.0,"Pouco atrativo","-")),IF(F43&lt;110.9,"Atrativo",IF(F43&gt;110.9,"Pouco atrativo","-")))</f>
      </c>
      <c r="H43" s="102">
        <f>IF(ISBLANK(F43),IF(E43=21,"$ 83.24","-"),IF(F43=110.9,"$ 83.24","-"))</f>
      </c>
      <c r="I43" s="103"/>
      <c r="J43" s="103"/>
      <c r="L43" s="104" t="s">
        <v>180</v>
      </c>
      <c r="M43" s="105" t="s">
        <v>181</v>
      </c>
      <c r="N43" s="106"/>
    </row>
    <row r="44">
      <c r="A44" s="101" t="s">
        <v>311</v>
      </c>
      <c r="B44" s="100" t="s">
        <v>310</v>
      </c>
      <c r="C44" s="100" t="s">
        <v>312</v>
      </c>
      <c r="D44" s="102" t="n">
        <v>721.4</v>
      </c>
      <c r="E44" s="103" t="n">
        <v>21.0</v>
      </c>
      <c r="F44" s="103" t="n">
        <v>569.91</v>
      </c>
      <c r="G44" s="0">
        <f>IF(ISBLANK(F44),IF(E44&gt;21.0,"Atrativo",IF(E44&lt;21.0,"Pouco atrativo","-")),IF(F44&lt;569.91,"Atrativo",IF(F44&gt;569.91,"Pouco atrativo","-")))</f>
      </c>
      <c r="H44" s="102">
        <f>IF(ISBLANK(F44),IF(E44=21,"$ 454.07","-"),IF(F44=569.91,"$ 454.07","-"))</f>
      </c>
      <c r="I44" s="103"/>
      <c r="J44" s="103"/>
      <c r="L44" s="104" t="s">
        <v>180</v>
      </c>
      <c r="M44" s="105" t="s">
        <v>181</v>
      </c>
      <c r="N44" s="106"/>
    </row>
    <row r="45">
      <c r="A45" s="101" t="s">
        <v>311</v>
      </c>
      <c r="B45" s="100" t="s">
        <v>314</v>
      </c>
      <c r="C45" s="100" t="s">
        <v>312</v>
      </c>
      <c r="D45" s="102" t="n">
        <v>722.67</v>
      </c>
      <c r="E45" s="103" t="n">
        <v>21.0</v>
      </c>
      <c r="F45" s="103" t="n">
        <v>570.91</v>
      </c>
      <c r="G45" s="0">
        <f>IF(ISBLANK(F45),IF(E45&gt;21.0,"Atrativo",IF(E45&lt;21.0,"Pouco atrativo","-")),IF(F45&lt;570.91,"Atrativo",IF(F45&gt;570.91,"Pouco atrativo","-")))</f>
      </c>
      <c r="H45" s="102">
        <f>IF(ISBLANK(F45),IF(E45=21,"$ 449.21","-"),IF(F45=570.91,"$ 449.21","-"))</f>
      </c>
      <c r="I45" s="103"/>
      <c r="J45" s="103"/>
      <c r="L45" s="104" t="s">
        <v>180</v>
      </c>
      <c r="M45" s="105" t="s">
        <v>181</v>
      </c>
      <c r="N45" s="106"/>
    </row>
    <row r="46">
      <c r="A46" s="101" t="s">
        <v>317</v>
      </c>
      <c r="B46" s="100" t="s">
        <v>316</v>
      </c>
      <c r="C46" s="100" t="s">
        <v>318</v>
      </c>
      <c r="D46" s="102" t="n">
        <v>373.3</v>
      </c>
      <c r="E46" s="103" t="n">
        <v>21.0</v>
      </c>
      <c r="F46" s="103" t="n">
        <v>294.91</v>
      </c>
      <c r="G46" s="0">
        <f>IF(ISBLANK(F46),IF(E46&gt;21.0,"Atrativo",IF(E46&lt;21.0,"Pouco atrativo","-")),IF(F46&lt;294.91,"Atrativo",IF(F46&gt;294.91,"Pouco atrativo","-")))</f>
      </c>
      <c r="H46" s="102">
        <f>IF(ISBLANK(F46),IF(E46=21,"$ 238.57","-"),IF(F46=294.91,"$ 238.57","-"))</f>
      </c>
      <c r="I46" s="103"/>
      <c r="J46" s="103"/>
      <c r="L46" s="104" t="s">
        <v>180</v>
      </c>
      <c r="M46" s="105" t="s">
        <v>181</v>
      </c>
      <c r="N46" s="106"/>
    </row>
    <row r="47">
      <c r="A47" s="101" t="s">
        <v>321</v>
      </c>
      <c r="B47" s="100" t="s">
        <v>320</v>
      </c>
      <c r="C47" s="100" t="s">
        <v>322</v>
      </c>
      <c r="D47" s="102" t="n">
        <v>161.9</v>
      </c>
      <c r="E47" s="103" t="n">
        <v>21.0</v>
      </c>
      <c r="F47" s="103" t="n">
        <v>127.9</v>
      </c>
      <c r="G47" s="0">
        <f>IF(ISBLANK(F47),IF(E47&gt;21.0,"Atrativo",IF(E47&lt;21.0,"Pouco atrativo","-")),IF(F47&lt;127.9,"Atrativo",IF(F47&gt;127.9,"Pouco atrativo","-")))</f>
      </c>
      <c r="H47" s="102">
        <f>IF(ISBLANK(F47),IF(E47=21,"$ 94.10","-"),IF(F47=127.9,"$ 94.10","-"))</f>
      </c>
      <c r="I47" s="103"/>
      <c r="J47" s="103"/>
      <c r="L47" s="104" t="s">
        <v>180</v>
      </c>
      <c r="M47" s="105" t="s">
        <v>181</v>
      </c>
      <c r="N47" s="106"/>
    </row>
    <row r="48">
      <c r="A48" s="101" t="s">
        <v>325</v>
      </c>
      <c r="B48" s="100" t="s">
        <v>324</v>
      </c>
      <c r="C48" s="100" t="s">
        <v>326</v>
      </c>
      <c r="D48" s="102" t="n">
        <v>60.63</v>
      </c>
      <c r="E48" s="103" t="n">
        <v>21.0</v>
      </c>
      <c r="F48" s="103" t="n">
        <v>47.9</v>
      </c>
      <c r="G48" s="0">
        <f>IF(ISBLANK(F48),IF(E48&gt;21.0,"Atrativo",IF(E48&lt;21.0,"Pouco atrativo","-")),IF(F48&lt;47.9,"Atrativo",IF(F48&gt;47.9,"Pouco atrativo","-")))</f>
      </c>
      <c r="H48" s="102">
        <f>IF(ISBLANK(F48),IF(E48=21,"$ 35.60","-"),IF(F48=47.9,"$ 35.60","-"))</f>
      </c>
      <c r="I48" s="103"/>
      <c r="J48" s="103"/>
      <c r="L48" s="104" t="s">
        <v>180</v>
      </c>
      <c r="M48" s="105" t="s">
        <v>181</v>
      </c>
      <c r="N48" s="106"/>
    </row>
    <row r="49">
      <c r="A49" s="101" t="s">
        <v>328</v>
      </c>
      <c r="B49" s="100" t="s">
        <v>327</v>
      </c>
      <c r="C49" s="100" t="s">
        <v>329</v>
      </c>
      <c r="D49" s="102" t="n">
        <v>97.34</v>
      </c>
      <c r="E49" s="103" t="n">
        <v>21.0</v>
      </c>
      <c r="F49" s="103" t="n">
        <v>76.9</v>
      </c>
      <c r="G49" s="0">
        <f>IF(ISBLANK(F49),IF(E49&gt;21.0,"Atrativo",IF(E49&lt;21.0,"Pouco atrativo","-")),IF(F49&lt;76.9,"Atrativo",IF(F49&gt;76.9,"Pouco atrativo","-")))</f>
      </c>
      <c r="H49" s="102">
        <f>IF(ISBLANK(F49),IF(E49=21,"$ 56.08","-"),IF(F49=76.9,"$ 56.08","-"))</f>
      </c>
      <c r="I49" s="103"/>
      <c r="J49" s="103"/>
      <c r="L49" s="104" t="s">
        <v>180</v>
      </c>
      <c r="M49" s="105" t="s">
        <v>181</v>
      </c>
      <c r="N49" s="106"/>
    </row>
    <row r="50">
      <c r="A50" s="101" t="s">
        <v>332</v>
      </c>
      <c r="B50" s="100" t="s">
        <v>331</v>
      </c>
      <c r="C50" s="100" t="s">
        <v>329</v>
      </c>
      <c r="D50" s="102" t="n">
        <v>92.28</v>
      </c>
      <c r="E50" s="103" t="n">
        <v>22.0</v>
      </c>
      <c r="F50" s="103" t="n">
        <v>72.9</v>
      </c>
      <c r="G50" s="0">
        <f>IF(ISBLANK(F50),IF(E50&gt;22.0,"Atrativo",IF(E50&lt;22.0,"Pouco atrativo","-")),IF(F50&lt;72.9,"Atrativo",IF(F50&gt;72.9,"Pouco atrativo","-")))</f>
      </c>
      <c r="H50" s="102">
        <f>IF(ISBLANK(F50),IF(E50=22,"$ 56.40","-"),IF(F50=72.9,"$ 56.40","-"))</f>
      </c>
      <c r="I50" s="103"/>
      <c r="J50" s="103"/>
      <c r="L50" s="104" t="s">
        <v>180</v>
      </c>
      <c r="M50" s="105" t="s">
        <v>181</v>
      </c>
      <c r="N50" s="106"/>
    </row>
    <row r="51">
      <c r="A51" s="101" t="s">
        <v>335</v>
      </c>
      <c r="B51" s="100" t="s">
        <v>334</v>
      </c>
      <c r="C51" s="100" t="s">
        <v>336</v>
      </c>
      <c r="D51" s="102" t="n">
        <v>1183.43</v>
      </c>
      <c r="E51" s="103" t="n">
        <v>21.0</v>
      </c>
      <c r="F51" s="103" t="n">
        <v>935.91</v>
      </c>
      <c r="G51" s="0">
        <f>IF(ISBLANK(F51),IF(E51&gt;21.0,"Atrativo",IF(E51&lt;21.0,"Pouco atrativo","-")),IF(F51&lt;935.91,"Atrativo",IF(F51&gt;935.91,"Pouco atrativo","-")))</f>
      </c>
      <c r="H51" s="102">
        <f>IF(ISBLANK(F51),IF(E51=21,"$ 765.21","-"),IF(F51=935.91,"$ 765.21","-"))</f>
      </c>
      <c r="I51" s="103"/>
      <c r="J51" s="103"/>
      <c r="L51" s="104" t="s">
        <v>180</v>
      </c>
      <c r="M51" s="105" t="s">
        <v>181</v>
      </c>
      <c r="N51" s="106"/>
    </row>
    <row r="52">
      <c r="A52" s="101" t="s">
        <v>339</v>
      </c>
      <c r="B52" s="100" t="s">
        <v>338</v>
      </c>
      <c r="C52" s="100" t="s">
        <v>336</v>
      </c>
      <c r="D52" s="102" t="n">
        <v>950.52</v>
      </c>
      <c r="E52" s="103" t="n">
        <v>21.0</v>
      </c>
      <c r="F52" s="103" t="n">
        <v>750.91</v>
      </c>
      <c r="G52" s="0">
        <f>IF(ISBLANK(F52),IF(E52&gt;21.0,"Atrativo",IF(E52&lt;21.0,"Pouco atrativo","-")),IF(F52&lt;750.91,"Atrativo",IF(F52&gt;750.91,"Pouco atrativo","-")))</f>
      </c>
      <c r="H52" s="102">
        <f>IF(ISBLANK(F52),IF(E52=21,"$ 602.31","-"),IF(F52=750.91,"$ 602.31","-"))</f>
      </c>
      <c r="I52" s="103"/>
      <c r="J52" s="103"/>
      <c r="L52" s="104" t="s">
        <v>180</v>
      </c>
      <c r="M52" s="105" t="s">
        <v>181</v>
      </c>
      <c r="N52" s="106"/>
    </row>
    <row r="53">
      <c r="A53" s="101" t="s">
        <v>342</v>
      </c>
      <c r="B53" s="100" t="s">
        <v>341</v>
      </c>
      <c r="C53" s="100" t="s">
        <v>343</v>
      </c>
      <c r="D53" s="102" t="n">
        <v>898.62</v>
      </c>
      <c r="E53" s="103" t="n">
        <v>21.0</v>
      </c>
      <c r="F53" s="103" t="n">
        <v>709.91</v>
      </c>
      <c r="G53" s="0">
        <f>IF(ISBLANK(F53),IF(E53&gt;21.0,"Atrativo",IF(E53&lt;21.0,"Pouco atrativo","-")),IF(F53&lt;709.91,"Atrativo",IF(F53&gt;709.91,"Pouco atrativo","-")))</f>
      </c>
      <c r="H53" s="102">
        <f>IF(ISBLANK(F53),IF(E53=21,"$ 572.67","-"),IF(F53=709.91,"$ 572.67","-"))</f>
      </c>
      <c r="I53" s="103"/>
      <c r="J53" s="103"/>
      <c r="L53" s="104" t="s">
        <v>180</v>
      </c>
      <c r="M53" s="105" t="s">
        <v>181</v>
      </c>
      <c r="N53" s="106"/>
    </row>
    <row r="54">
      <c r="A54" s="101" t="s">
        <v>346</v>
      </c>
      <c r="B54" s="100" t="s">
        <v>345</v>
      </c>
      <c r="C54" s="100" t="s">
        <v>343</v>
      </c>
      <c r="D54" s="102" t="n">
        <v>898.72</v>
      </c>
      <c r="E54" s="103" t="n">
        <v>22.0</v>
      </c>
      <c r="F54" s="103" t="n">
        <v>702.88</v>
      </c>
      <c r="G54" s="0">
        <f>IF(ISBLANK(F54),IF(E54&gt;22.0,"Atrativo",IF(E54&lt;22.0,"Pouco atrativo","-")),IF(F54&lt;702.88,"Atrativo",IF(F54&gt;702.88,"Pouco atrativo","-")))</f>
      </c>
      <c r="H54" s="102">
        <f>IF(ISBLANK(F54),IF(E54=22,"$ 559.74","-"),IF(F54=702.88,"$ 559.74","-"))</f>
      </c>
      <c r="I54" s="103"/>
      <c r="J54" s="103"/>
      <c r="L54" s="104" t="s">
        <v>180</v>
      </c>
      <c r="M54" s="105" t="s">
        <v>181</v>
      </c>
      <c r="N54" s="106"/>
    </row>
    <row r="55">
      <c r="A55" s="101" t="s">
        <v>349</v>
      </c>
      <c r="B55" s="100" t="s">
        <v>348</v>
      </c>
      <c r="C55" s="100" t="s">
        <v>343</v>
      </c>
      <c r="D55" s="102" t="n">
        <v>788.49</v>
      </c>
      <c r="E55" s="103" t="n">
        <v>21.0</v>
      </c>
      <c r="F55" s="103" t="n">
        <v>622.91</v>
      </c>
      <c r="G55" s="0">
        <f>IF(ISBLANK(F55),IF(E55&gt;21.0,"Atrativo",IF(E55&lt;21.0,"Pouco atrativo","-")),IF(F55&lt;622.91,"Atrativo",IF(F55&gt;622.91,"Pouco atrativo","-")))</f>
      </c>
      <c r="H55" s="102">
        <f>IF(ISBLANK(F55),IF(E55=21,"$ 524.51","-"),IF(F55=622.91,"$ 524.51","-"))</f>
      </c>
      <c r="I55" s="103"/>
      <c r="J55" s="103"/>
      <c r="L55" s="104" t="s">
        <v>180</v>
      </c>
      <c r="M55" s="105" t="s">
        <v>181</v>
      </c>
      <c r="N55" s="106"/>
    </row>
    <row r="56">
      <c r="A56" s="101" t="s">
        <v>352</v>
      </c>
      <c r="B56" s="100" t="s">
        <v>351</v>
      </c>
      <c r="C56" s="100" t="s">
        <v>353</v>
      </c>
      <c r="D56" s="102" t="n">
        <v>915.07</v>
      </c>
      <c r="E56" s="103" t="n">
        <v>21.0</v>
      </c>
      <c r="F56" s="103" t="n">
        <v>722.91</v>
      </c>
      <c r="G56" s="0">
        <f>IF(ISBLANK(F56),IF(E56&gt;21.0,"Atrativo",IF(E56&lt;21.0,"Pouco atrativo","-")),IF(F56&lt;722.91,"Atrativo",IF(F56&gt;722.91,"Pouco atrativo","-")))</f>
      </c>
      <c r="H56" s="102">
        <f>IF(ISBLANK(F56),IF(E56=21,"$ 612.51","-"),IF(F56=722.91,"$ 612.51","-"))</f>
      </c>
      <c r="I56" s="103"/>
      <c r="J56" s="103"/>
      <c r="L56" s="104" t="s">
        <v>180</v>
      </c>
      <c r="M56" s="105" t="s">
        <v>181</v>
      </c>
      <c r="N56" s="106"/>
    </row>
    <row r="57">
      <c r="A57" s="101" t="s">
        <v>356</v>
      </c>
      <c r="B57" s="100" t="s">
        <v>355</v>
      </c>
      <c r="C57" s="100" t="s">
        <v>357</v>
      </c>
      <c r="D57" s="102" t="n">
        <v>74.9</v>
      </c>
      <c r="E57" s="103" t="n">
        <v>5.0</v>
      </c>
      <c r="F57" s="103" t="n">
        <v>71.15</v>
      </c>
      <c r="G57" s="107" t="s">
        <v>294</v>
      </c>
      <c r="H57" s="102">
        <f>IF(ISBLANK(F57),IF(E57=5,"$ 54.86","-"),IF(F57=71.15,"$ 54.86","-"))</f>
      </c>
      <c r="I57" s="103"/>
      <c r="J57" s="103"/>
      <c r="L57" s="104" t="s">
        <v>295</v>
      </c>
      <c r="M57" s="105" t="s">
        <v>181</v>
      </c>
      <c r="N57" s="101" t="s">
        <v>296</v>
      </c>
    </row>
    <row r="58">
      <c r="A58" s="101" t="s">
        <v>360</v>
      </c>
      <c r="B58" s="100" t="s">
        <v>359</v>
      </c>
      <c r="C58" s="100" t="s">
        <v>357</v>
      </c>
      <c r="D58" s="102" t="n">
        <v>96.08</v>
      </c>
      <c r="E58" s="103" t="n">
        <v>22.0</v>
      </c>
      <c r="F58" s="103" t="n">
        <v>75.9</v>
      </c>
      <c r="G58" s="0">
        <f>IF(ISBLANK(F58),IF(E58&gt;22.0,"Atrativo",IF(E58&lt;22.0,"Pouco atrativo","-")),IF(F58&lt;75.9,"Atrativo",IF(F58&gt;75.9,"Pouco atrativo","-")))</f>
      </c>
      <c r="H58" s="102">
        <f>IF(ISBLANK(F58),IF(E58=22,"$ 59.04","-"),IF(F58=75.9,"$ 59.04","-"))</f>
      </c>
      <c r="I58" s="103"/>
      <c r="J58" s="103"/>
      <c r="L58" s="104" t="s">
        <v>180</v>
      </c>
      <c r="M58" s="105" t="s">
        <v>181</v>
      </c>
      <c r="N58" s="106"/>
    </row>
    <row r="59">
      <c r="A59" s="101" t="s">
        <v>363</v>
      </c>
      <c r="B59" s="100" t="s">
        <v>362</v>
      </c>
      <c r="C59" s="100" t="s">
        <v>353</v>
      </c>
      <c r="D59" s="102" t="n">
        <v>780.9</v>
      </c>
      <c r="E59" s="103" t="n">
        <v>21.0</v>
      </c>
      <c r="F59" s="103" t="n">
        <v>616.91</v>
      </c>
      <c r="G59" s="0">
        <f>IF(ISBLANK(F59),IF(E59&gt;21.0,"Atrativo",IF(E59&lt;21.0,"Pouco atrativo","-")),IF(F59&lt;616.91,"Atrativo",IF(F59&gt;616.91,"Pouco atrativo","-")))</f>
      </c>
      <c r="H59" s="102">
        <f>IF(ISBLANK(F59),IF(E59=21,"$ 519.23","-"),IF(F59=616.91,"$ 519.23","-"))</f>
      </c>
      <c r="I59" s="103"/>
      <c r="J59" s="103"/>
      <c r="L59" s="104" t="s">
        <v>180</v>
      </c>
      <c r="M59" s="105" t="s">
        <v>181</v>
      </c>
      <c r="N59" s="106"/>
    </row>
    <row r="60">
      <c r="A60" s="101" t="s">
        <v>366</v>
      </c>
      <c r="B60" s="100" t="s">
        <v>365</v>
      </c>
      <c r="C60" s="100" t="s">
        <v>367</v>
      </c>
      <c r="D60" s="102" t="n">
        <v>173.29</v>
      </c>
      <c r="E60" s="103" t="n">
        <v>21.0</v>
      </c>
      <c r="F60" s="103" t="n">
        <v>136.9</v>
      </c>
      <c r="G60" s="0">
        <f>IF(ISBLANK(F60),IF(E60&gt;21.0,"Atrativo",IF(E60&lt;21.0,"Pouco atrativo","-")),IF(F60&lt;136.9,"Atrativo",IF(F60&gt;136.9,"Pouco atrativo","-")))</f>
      </c>
      <c r="H60" s="102">
        <f>IF(ISBLANK(F60),IF(E60=21,"$ 104.02","-"),IF(F60=136.9,"$ 104.02","-"))</f>
      </c>
      <c r="I60" s="103"/>
      <c r="J60" s="103"/>
      <c r="L60" s="104" t="s">
        <v>180</v>
      </c>
      <c r="M60" s="105" t="s">
        <v>181</v>
      </c>
      <c r="N60" s="106"/>
    </row>
    <row r="61">
      <c r="A61" s="101" t="s">
        <v>370</v>
      </c>
      <c r="B61" s="100" t="s">
        <v>369</v>
      </c>
      <c r="C61" s="100" t="s">
        <v>367</v>
      </c>
      <c r="D61" s="102" t="n">
        <v>170.76</v>
      </c>
      <c r="E61" s="103" t="n">
        <v>21.0</v>
      </c>
      <c r="F61" s="103" t="n">
        <v>134.9</v>
      </c>
      <c r="G61" s="0">
        <f>IF(ISBLANK(F61),IF(E61&gt;21.0,"Atrativo",IF(E61&lt;21.0,"Pouco atrativo","-")),IF(F61&lt;134.9,"Atrativo",IF(F61&gt;134.9,"Pouco atrativo","-")))</f>
      </c>
      <c r="H61" s="102">
        <f>IF(ISBLANK(F61),IF(E61=21,"$ 102.26","-"),IF(F61=134.9,"$ 102.26","-"))</f>
      </c>
      <c r="I61" s="103"/>
      <c r="J61" s="103"/>
      <c r="L61" s="104" t="s">
        <v>180</v>
      </c>
      <c r="M61" s="105" t="s">
        <v>181</v>
      </c>
      <c r="N61" s="106"/>
    </row>
    <row r="62">
      <c r="A62" s="101" t="s">
        <v>373</v>
      </c>
      <c r="B62" s="100" t="s">
        <v>372</v>
      </c>
      <c r="C62" s="100" t="s">
        <v>367</v>
      </c>
      <c r="D62" s="102" t="n">
        <v>155.57</v>
      </c>
      <c r="E62" s="103" t="n">
        <v>21.0</v>
      </c>
      <c r="F62" s="103" t="n">
        <v>122.9</v>
      </c>
      <c r="G62" s="0">
        <f>IF(ISBLANK(F62),IF(E62&gt;21.0,"Atrativo",IF(E62&lt;21.0,"Pouco atrativo","-")),IF(F62&lt;122.9,"Atrativo",IF(F62&gt;122.9,"Pouco atrativo","-")))</f>
      </c>
      <c r="H62" s="102">
        <f>IF(ISBLANK(F62),IF(E62=21,"$ 85.56","-"),IF(F62=122.9,"$ 85.56","-"))</f>
      </c>
      <c r="I62" s="103"/>
      <c r="J62" s="103"/>
      <c r="L62" s="104" t="s">
        <v>180</v>
      </c>
      <c r="M62" s="105" t="s">
        <v>181</v>
      </c>
      <c r="N62" s="106"/>
    </row>
    <row r="63">
      <c r="A63" s="101" t="s">
        <v>376</v>
      </c>
      <c r="B63" s="100" t="s">
        <v>375</v>
      </c>
      <c r="C63" s="100" t="s">
        <v>377</v>
      </c>
      <c r="D63" s="102" t="n">
        <v>346.71</v>
      </c>
      <c r="E63" s="103" t="n">
        <v>21.0</v>
      </c>
      <c r="F63" s="103" t="n">
        <v>273.9</v>
      </c>
      <c r="G63" s="0">
        <f>IF(ISBLANK(F63),IF(E63&gt;21.0,"Atrativo",IF(E63&lt;21.0,"Pouco atrativo","-")),IF(F63&lt;273.9,"Atrativo",IF(F63&gt;273.9,"Pouco atrativo","-")))</f>
      </c>
      <c r="H63" s="102">
        <f>IF(ISBLANK(F63),IF(E63=21,"$ 220.12","-"),IF(F63=273.9,"$ 220.12","-"))</f>
      </c>
      <c r="I63" s="103"/>
      <c r="J63" s="103"/>
      <c r="L63" s="104" t="s">
        <v>180</v>
      </c>
      <c r="M63" s="105" t="s">
        <v>181</v>
      </c>
      <c r="N63" s="106"/>
    </row>
    <row r="64">
      <c r="A64" s="101" t="s">
        <v>380</v>
      </c>
      <c r="B64" s="100" t="s">
        <v>379</v>
      </c>
      <c r="C64" s="100" t="s">
        <v>381</v>
      </c>
      <c r="D64" s="102" t="n">
        <v>658.11</v>
      </c>
      <c r="E64" s="103" t="n">
        <v>21.0</v>
      </c>
      <c r="F64" s="103" t="n">
        <v>519.91</v>
      </c>
      <c r="G64" s="0">
        <f>IF(ISBLANK(F64),IF(E64&gt;21.0,"Atrativo",IF(E64&lt;21.0,"Pouco atrativo","-")),IF(F64&lt;519.91,"Atrativo",IF(F64&gt;519.91,"Pouco atrativo","-")))</f>
      </c>
      <c r="H64" s="102">
        <f>IF(ISBLANK(F64),IF(E64=21,"$ 406.88","-"),IF(F64=519.91,"$ 406.88","-"))</f>
      </c>
      <c r="I64" s="103"/>
      <c r="J64" s="103"/>
      <c r="L64" s="104" t="s">
        <v>180</v>
      </c>
      <c r="M64" s="105" t="s">
        <v>181</v>
      </c>
      <c r="N64" s="106"/>
    </row>
    <row r="65">
      <c r="A65" s="101" t="s">
        <v>384</v>
      </c>
      <c r="B65" s="100" t="s">
        <v>383</v>
      </c>
      <c r="C65" s="100" t="s">
        <v>385</v>
      </c>
      <c r="D65" s="102" t="n">
        <v>1059.38</v>
      </c>
      <c r="E65" s="103" t="n">
        <v>21.0</v>
      </c>
      <c r="F65" s="103" t="n">
        <v>836.91</v>
      </c>
      <c r="G65" s="0">
        <f>IF(ISBLANK(F65),IF(E65&gt;21.0,"Atrativo",IF(E65&lt;21.0,"Pouco atrativo","-")),IF(F65&lt;836.91,"Atrativo",IF(F65&gt;836.91,"Pouco atrativo","-")))</f>
      </c>
      <c r="H65" s="102">
        <f>IF(ISBLANK(F65),IF(E65=21,"$ 710.23","-"),IF(F65=836.91,"$ 710.23","-"))</f>
      </c>
      <c r="I65" s="103"/>
      <c r="J65" s="103"/>
      <c r="L65" s="104" t="s">
        <v>180</v>
      </c>
      <c r="M65" s="105" t="s">
        <v>181</v>
      </c>
      <c r="N65" s="106"/>
    </row>
    <row r="66">
      <c r="A66" s="101" t="s">
        <v>388</v>
      </c>
      <c r="B66" s="100" t="s">
        <v>387</v>
      </c>
      <c r="C66" s="100" t="s">
        <v>129</v>
      </c>
      <c r="D66" s="102" t="n">
        <v>132.79</v>
      </c>
      <c r="E66" s="103" t="n">
        <v>22.0</v>
      </c>
      <c r="F66" s="103" t="n">
        <v>104.9</v>
      </c>
      <c r="G66" s="0">
        <f>IF(ISBLANK(F66),IF(E66&gt;22.0,"Atrativo",IF(E66&lt;22.0,"Pouco atrativo","-")),IF(F66&lt;104.9,"Atrativo",IF(F66&gt;104.9,"Pouco atrativo","-")))</f>
      </c>
      <c r="H66" s="102">
        <f>IF(ISBLANK(F66),IF(E66=22,"$ 73.24","-"),IF(F66=104.9,"$ 73.24","-"))</f>
      </c>
      <c r="I66" s="103"/>
      <c r="J66" s="103"/>
      <c r="L66" s="104" t="s">
        <v>180</v>
      </c>
      <c r="M66" s="105" t="s">
        <v>181</v>
      </c>
      <c r="N66" s="106"/>
    </row>
    <row r="67">
      <c r="A67" s="101" t="s">
        <v>391</v>
      </c>
      <c r="B67" s="100" t="s">
        <v>390</v>
      </c>
      <c r="C67" s="100" t="s">
        <v>392</v>
      </c>
      <c r="D67" s="102" t="n">
        <v>56.84</v>
      </c>
      <c r="E67" s="103" t="n">
        <v>22.0</v>
      </c>
      <c r="F67" s="103" t="n">
        <v>44.9</v>
      </c>
      <c r="G67" s="0">
        <f>IF(ISBLANK(F67),IF(E67&gt;22.0,"Atrativo",IF(E67&lt;22.0,"Pouco atrativo","-")),IF(F67&lt;44.9,"Atrativo",IF(F67&gt;44.9,"Pouco atrativo","-")))</f>
      </c>
      <c r="H67" s="102">
        <f>IF(ISBLANK(F67),IF(E67=22,"$ 33.41","-"),IF(F67=44.9,"$ 33.41","-"))</f>
      </c>
      <c r="I67" s="103"/>
      <c r="J67" s="103"/>
      <c r="L67" s="104" t="s">
        <v>180</v>
      </c>
      <c r="M67" s="105" t="s">
        <v>181</v>
      </c>
      <c r="N67" s="106"/>
    </row>
    <row r="68">
      <c r="A68" s="101" t="s">
        <v>395</v>
      </c>
      <c r="B68" s="100" t="s">
        <v>394</v>
      </c>
      <c r="C68" s="100" t="s">
        <v>396</v>
      </c>
      <c r="D68" s="102" t="n">
        <v>168.23</v>
      </c>
      <c r="E68" s="103" t="n">
        <v>22.0</v>
      </c>
      <c r="F68" s="103" t="n">
        <v>132.9</v>
      </c>
      <c r="G68" s="0">
        <f>IF(ISBLANK(F68),IF(E68&gt;22.0,"Atrativo",IF(E68&lt;22.0,"Pouco atrativo","-")),IF(F68&lt;132.9,"Atrativo",IF(F68&gt;132.9,"Pouco atrativo","-")))</f>
      </c>
      <c r="H68" s="102">
        <f>IF(ISBLANK(F68),IF(E68=22,"$ 92.66","-"),IF(F68=132.9,"$ 92.66","-"))</f>
      </c>
      <c r="I68" s="103"/>
      <c r="J68" s="103"/>
      <c r="L68" s="104" t="s">
        <v>180</v>
      </c>
      <c r="M68" s="105" t="s">
        <v>181</v>
      </c>
      <c r="N68" s="106"/>
    </row>
    <row r="69">
      <c r="A69" s="101" t="s">
        <v>399</v>
      </c>
      <c r="B69" s="100" t="s">
        <v>398</v>
      </c>
      <c r="C69" s="100" t="s">
        <v>400</v>
      </c>
      <c r="D69" s="102" t="n">
        <v>130.25</v>
      </c>
      <c r="E69" s="103" t="n">
        <v>18.0</v>
      </c>
      <c r="F69" s="103" t="n">
        <v>107.9</v>
      </c>
      <c r="G69" s="0">
        <f>IF(ISBLANK(F69),IF(E69&gt;18.0,"Atrativo",IF(E69&lt;18.0,"Pouco atrativo","-")),IF(F69&lt;107.9,"Atrativo",IF(F69&gt;107.9,"Pouco atrativo","-")))</f>
      </c>
      <c r="H69" s="102">
        <f>IF(ISBLANK(F69),IF(E69=18,"$ 74.11","-"),IF(F69=107.9,"$ 74.11","-"))</f>
      </c>
      <c r="I69" s="103"/>
      <c r="J69" s="103"/>
      <c r="L69" s="104" t="s">
        <v>180</v>
      </c>
      <c r="M69" s="105" t="s">
        <v>181</v>
      </c>
      <c r="N69" s="106"/>
    </row>
    <row r="70">
      <c r="A70" s="101" t="s">
        <v>403</v>
      </c>
      <c r="B70" s="100" t="s">
        <v>402</v>
      </c>
      <c r="C70" s="100" t="s">
        <v>400</v>
      </c>
      <c r="D70" s="102" t="n">
        <v>137.85</v>
      </c>
      <c r="E70" s="103" t="n">
        <v>22.0</v>
      </c>
      <c r="F70" s="103" t="n">
        <v>108.9</v>
      </c>
      <c r="G70" s="0">
        <f>IF(ISBLANK(F70),IF(E70&gt;22.0,"Atrativo",IF(E70&lt;22.0,"Pouco atrativo","-")),IF(F70&lt;108.9,"Atrativo",IF(F70&gt;108.9,"Pouco atrativo","-")))</f>
      </c>
      <c r="H70" s="102">
        <f>IF(ISBLANK(F70),IF(E70=22,"$ 76.04","-"),IF(F70=108.9,"$ 76.04","-"))</f>
      </c>
      <c r="I70" s="103"/>
      <c r="J70" s="103"/>
      <c r="L70" s="104" t="s">
        <v>180</v>
      </c>
      <c r="M70" s="105" t="s">
        <v>181</v>
      </c>
      <c r="N70" s="106"/>
    </row>
    <row r="71">
      <c r="A71" s="101" t="s">
        <v>406</v>
      </c>
      <c r="B71" s="100" t="s">
        <v>405</v>
      </c>
      <c r="C71" s="100" t="s">
        <v>396</v>
      </c>
      <c r="D71" s="102" t="n">
        <v>203.18</v>
      </c>
      <c r="E71" s="103" t="n">
        <v>39.0</v>
      </c>
      <c r="F71" s="103" t="n">
        <v>125.9</v>
      </c>
      <c r="G71" s="0">
        <f>IF(ISBLANK(F71),IF(E71&gt;39.0,"Atrativo",IF(E71&lt;39.0,"Pouco atrativo","-")),IF(F71&lt;125.9,"Atrativo",IF(F71&gt;125.9,"Pouco atrativo","-")))</f>
      </c>
      <c r="H71" s="102">
        <f>IF(ISBLANK(F71),IF(E71=39,"$ 93.14","-"),IF(F71=125.9,"$ 93.14","-"))</f>
      </c>
      <c r="I71" s="103"/>
      <c r="J71" s="103"/>
      <c r="L71" s="104" t="s">
        <v>180</v>
      </c>
      <c r="M71" s="105" t="s">
        <v>181</v>
      </c>
      <c r="N71" s="106"/>
    </row>
    <row r="72">
      <c r="A72" s="101" t="s">
        <v>409</v>
      </c>
      <c r="B72" s="100" t="s">
        <v>408</v>
      </c>
      <c r="C72" s="100" t="s">
        <v>400</v>
      </c>
      <c r="D72" s="102" t="n">
        <v>139.9</v>
      </c>
      <c r="E72" s="103" t="n">
        <v>21.0</v>
      </c>
      <c r="F72" s="103" t="n">
        <v>110.52</v>
      </c>
      <c r="G72" s="0">
        <f>IF(ISBLANK(F72),IF(E72&gt;21.0,"Atrativo",IF(E72&lt;21.0,"Pouco atrativo","-")),IF(F72&lt;110.52,"Atrativo",IF(F72&gt;110.52,"Pouco atrativo","-")))</f>
      </c>
      <c r="H72" s="102">
        <f>IF(ISBLANK(F72),IF(E72=21,"$ 74.88","-"),IF(F72=110.52,"$ 74.88","-"))</f>
      </c>
      <c r="I72" s="103"/>
      <c r="J72" s="103"/>
      <c r="L72" s="104" t="s">
        <v>180</v>
      </c>
      <c r="M72" s="105" t="s">
        <v>181</v>
      </c>
      <c r="N72" s="106"/>
    </row>
    <row r="73">
      <c r="A73" s="101" t="s">
        <v>412</v>
      </c>
      <c r="B73" s="100" t="s">
        <v>411</v>
      </c>
      <c r="C73" s="100" t="s">
        <v>413</v>
      </c>
      <c r="D73" s="102" t="n">
        <v>131.52</v>
      </c>
      <c r="E73" s="103" t="n">
        <v>21.0</v>
      </c>
      <c r="F73" s="103" t="n">
        <v>103.9</v>
      </c>
      <c r="G73" s="0">
        <f>IF(ISBLANK(F73),IF(E73&gt;21.0,"Atrativo",IF(E73&lt;21.0,"Pouco atrativo","-")),IF(F73&lt;103.9,"Atrativo",IF(F73&gt;103.9,"Pouco atrativo","-")))</f>
      </c>
      <c r="H73" s="102">
        <f>IF(ISBLANK(F73),IF(E73=21,"$ 71.89","-"),IF(F73=103.9,"$ 71.89","-"))</f>
      </c>
      <c r="I73" s="103"/>
      <c r="J73" s="103"/>
      <c r="L73" s="104" t="s">
        <v>180</v>
      </c>
      <c r="M73" s="105" t="s">
        <v>181</v>
      </c>
      <c r="N73" s="106"/>
    </row>
    <row r="74">
      <c r="A74" s="101" t="s">
        <v>415</v>
      </c>
      <c r="B74" s="100" t="s">
        <v>414</v>
      </c>
      <c r="C74" s="100" t="s">
        <v>416</v>
      </c>
      <c r="D74" s="102" t="n">
        <v>85.95</v>
      </c>
      <c r="E74" s="103" t="n">
        <v>21.0</v>
      </c>
      <c r="F74" s="103" t="n">
        <v>67.9</v>
      </c>
      <c r="G74" s="0">
        <f>IF(ISBLANK(F74),IF(E74&gt;21.0,"Atrativo",IF(E74&lt;21.0,"Pouco atrativo","-")),IF(F74&lt;67.9,"Atrativo",IF(F74&gt;67.9,"Pouco atrativo","-")))</f>
      </c>
      <c r="H74" s="102">
        <f>IF(ISBLANK(F74),IF(E74=21,"$ 51.90","-"),IF(F74=67.9,"$ 51.90","-"))</f>
      </c>
      <c r="I74" s="103"/>
      <c r="J74" s="103"/>
      <c r="L74" s="104" t="s">
        <v>180</v>
      </c>
      <c r="M74" s="105" t="s">
        <v>181</v>
      </c>
      <c r="N74" s="106"/>
    </row>
    <row r="75">
      <c r="A75" s="101" t="s">
        <v>419</v>
      </c>
      <c r="B75" s="100" t="s">
        <v>418</v>
      </c>
      <c r="C75" s="100" t="s">
        <v>420</v>
      </c>
      <c r="D75" s="102" t="n">
        <v>130.25</v>
      </c>
      <c r="E75" s="103" t="n">
        <v>21.0</v>
      </c>
      <c r="F75" s="103" t="n">
        <v>102.9</v>
      </c>
      <c r="G75" s="0">
        <f>IF(ISBLANK(F75),IF(E75&gt;21.0,"Atrativo",IF(E75&lt;21.0,"Pouco atrativo","-")),IF(F75&lt;102.9,"Atrativo",IF(F75&gt;102.9,"Pouco atrativo","-")))</f>
      </c>
      <c r="H75" s="102">
        <f>IF(ISBLANK(F75),IF(E75=21,"$ 74.40","-"),IF(F75=102.9,"$ 74.40","-"))</f>
      </c>
      <c r="I75" s="103"/>
      <c r="J75" s="103"/>
      <c r="L75" s="104" t="s">
        <v>180</v>
      </c>
      <c r="M75" s="105" t="s">
        <v>181</v>
      </c>
      <c r="N75" s="106"/>
    </row>
    <row r="76">
      <c r="A76" s="101" t="s">
        <v>423</v>
      </c>
      <c r="B76" s="100" t="s">
        <v>422</v>
      </c>
      <c r="C76" s="100" t="s">
        <v>420</v>
      </c>
      <c r="D76" s="102" t="n">
        <v>60.5</v>
      </c>
      <c r="E76" s="103" t="n">
        <v>6.0</v>
      </c>
      <c r="F76" s="103" t="n">
        <v>56.87</v>
      </c>
      <c r="G76" s="107" t="s">
        <v>294</v>
      </c>
      <c r="H76" s="102">
        <f>IF(ISBLANK(F76),IF(E76=6,"$ 42.49","-"),IF(F76=56.87,"$ 42.49","-"))</f>
      </c>
      <c r="I76" s="103"/>
      <c r="J76" s="103"/>
      <c r="L76" s="104" t="s">
        <v>295</v>
      </c>
      <c r="M76" s="105" t="s">
        <v>181</v>
      </c>
      <c r="N76" s="101" t="s">
        <v>296</v>
      </c>
    </row>
    <row r="77">
      <c r="A77" s="101" t="s">
        <v>426</v>
      </c>
      <c r="B77" s="100" t="s">
        <v>425</v>
      </c>
      <c r="C77" s="100" t="s">
        <v>427</v>
      </c>
      <c r="D77" s="102" t="n">
        <v>72.03</v>
      </c>
      <c r="E77" s="103" t="n">
        <v>22.0</v>
      </c>
      <c r="F77" s="103" t="n">
        <v>56.9</v>
      </c>
      <c r="G77" s="0">
        <f>IF(ISBLANK(F77),IF(E77&gt;22.0,"Atrativo",IF(E77&lt;22.0,"Pouco atrativo","-")),IF(F77&lt;56.9,"Atrativo",IF(F77&gt;56.9,"Pouco atrativo","-")))</f>
      </c>
      <c r="H77" s="102">
        <f>IF(ISBLANK(F77),IF(E77=22,"$ 39.48","-"),IF(F77=56.9,"$ 39.48","-"))</f>
      </c>
      <c r="I77" s="103"/>
      <c r="J77" s="103"/>
      <c r="L77" s="104" t="s">
        <v>180</v>
      </c>
      <c r="M77" s="105" t="s">
        <v>181</v>
      </c>
      <c r="N77" s="106"/>
    </row>
    <row r="78">
      <c r="A78" s="101" t="s">
        <v>430</v>
      </c>
      <c r="B78" s="100" t="s">
        <v>429</v>
      </c>
      <c r="C78" s="100" t="s">
        <v>431</v>
      </c>
      <c r="D78" s="102" t="n">
        <v>65.7</v>
      </c>
      <c r="E78" s="103" t="n">
        <v>22.0</v>
      </c>
      <c r="F78" s="103" t="n">
        <v>51.9</v>
      </c>
      <c r="G78" s="0">
        <f>IF(ISBLANK(F78),IF(E78&gt;22.0,"Atrativo",IF(E78&lt;22.0,"Pouco atrativo","-")),IF(F78&lt;51.9,"Atrativo",IF(F78&gt;51.9,"Pouco atrativo","-")))</f>
      </c>
      <c r="H78" s="102">
        <f>IF(ISBLANK(F78),IF(E78=22,"$ 37.92","-"),IF(F78=51.9,"$ 37.92","-"))</f>
      </c>
      <c r="I78" s="103"/>
      <c r="J78" s="103"/>
      <c r="L78" s="104" t="s">
        <v>180</v>
      </c>
      <c r="M78" s="105" t="s">
        <v>181</v>
      </c>
      <c r="N78" s="106"/>
    </row>
    <row r="79">
      <c r="A79" s="101" t="s">
        <v>434</v>
      </c>
      <c r="B79" s="100" t="s">
        <v>433</v>
      </c>
      <c r="C79" s="100" t="s">
        <v>431</v>
      </c>
      <c r="D79" s="102" t="n">
        <v>56.46</v>
      </c>
      <c r="E79" s="103" t="n">
        <v>20.0</v>
      </c>
      <c r="F79" s="103" t="n">
        <v>45.5</v>
      </c>
      <c r="G79" s="0">
        <f>IF(ISBLANK(F79),IF(E79&gt;20.0,"Atrativo",IF(E79&lt;20.0,"Pouco atrativo","-")),IF(F79&lt;45.5,"Atrativo",IF(F79&gt;45.5,"Pouco atrativo","-")))</f>
      </c>
      <c r="H79" s="102">
        <f>IF(ISBLANK(F79),IF(E79=20,"$ 33.49","-"),IF(F79=45.5,"$ 33.49","-"))</f>
      </c>
      <c r="I79" s="103"/>
      <c r="J79" s="103"/>
      <c r="L79" s="104" t="s">
        <v>180</v>
      </c>
      <c r="M79" s="105" t="s">
        <v>181</v>
      </c>
      <c r="N79" s="106"/>
    </row>
    <row r="80">
      <c r="A80" s="101" t="s">
        <v>437</v>
      </c>
      <c r="B80" s="100" t="s">
        <v>436</v>
      </c>
      <c r="C80" s="100" t="s">
        <v>438</v>
      </c>
      <c r="D80" s="102" t="n">
        <v>159.37</v>
      </c>
      <c r="E80" s="103" t="n">
        <v>22.0</v>
      </c>
      <c r="F80" s="103" t="n">
        <v>125.9</v>
      </c>
      <c r="G80" s="0">
        <f>IF(ISBLANK(F80),IF(E80&gt;22.0,"Atrativo",IF(E80&lt;22.0,"Pouco atrativo","-")),IF(F80&lt;125.9,"Atrativo",IF(F80&gt;125.9,"Pouco atrativo","-")))</f>
      </c>
      <c r="H80" s="102">
        <f>IF(ISBLANK(F80),IF(E80=22,"$ 94.34","-"),IF(F80=125.9,"$ 94.34","-"))</f>
      </c>
      <c r="I80" s="103"/>
      <c r="J80" s="103"/>
      <c r="L80" s="104" t="s">
        <v>180</v>
      </c>
      <c r="M80" s="105" t="s">
        <v>181</v>
      </c>
      <c r="N80" s="106"/>
    </row>
    <row r="81">
      <c r="A81" s="101" t="s">
        <v>441</v>
      </c>
      <c r="B81" s="100" t="s">
        <v>440</v>
      </c>
      <c r="C81" s="100" t="s">
        <v>129</v>
      </c>
      <c r="D81" s="102" t="n">
        <v>359.37</v>
      </c>
      <c r="E81" s="103" t="n">
        <v>21.0</v>
      </c>
      <c r="F81" s="103" t="n">
        <v>283.9</v>
      </c>
      <c r="G81" s="0">
        <f>IF(ISBLANK(F81),IF(E81&gt;21.0,"Atrativo",IF(E81&lt;21.0,"Pouco atrativo","-")),IF(F81&lt;283.9,"Atrativo",IF(F81&gt;283.9,"Pouco atrativo","-")))</f>
      </c>
      <c r="H81" s="102">
        <f>IF(ISBLANK(F81),IF(E81=21,"$ 213.41","-"),IF(F81=283.9,"$ 213.41","-"))</f>
      </c>
      <c r="I81" s="103"/>
      <c r="J81" s="103"/>
      <c r="L81" s="104" t="s">
        <v>180</v>
      </c>
      <c r="M81" s="105" t="s">
        <v>181</v>
      </c>
      <c r="N81" s="106"/>
    </row>
    <row r="82">
      <c r="A82" s="101" t="s">
        <v>444</v>
      </c>
      <c r="B82" s="100" t="s">
        <v>443</v>
      </c>
      <c r="C82" s="100" t="s">
        <v>445</v>
      </c>
      <c r="D82" s="102" t="n">
        <v>218.86</v>
      </c>
      <c r="E82" s="103" t="n">
        <v>21.0</v>
      </c>
      <c r="F82" s="103" t="n">
        <v>172.9</v>
      </c>
      <c r="G82" s="0">
        <f>IF(ISBLANK(F82),IF(E82&gt;21.0,"Atrativo",IF(E82&lt;21.0,"Pouco atrativo","-")),IF(F82&lt;172.9,"Atrativo",IF(F82&gt;172.9,"Pouco atrativo","-")))</f>
      </c>
      <c r="H82" s="102">
        <f>IF(ISBLANK(F82),IF(E82=21,"$ 131","-"),IF(F82=172.9,"$ 131","-"))</f>
      </c>
      <c r="I82" s="103"/>
      <c r="J82" s="103"/>
      <c r="L82" s="104" t="s">
        <v>180</v>
      </c>
      <c r="M82" s="105" t="s">
        <v>181</v>
      </c>
      <c r="N82" s="106"/>
    </row>
    <row r="83">
      <c r="A83" s="101" t="s">
        <v>448</v>
      </c>
      <c r="B83" s="100" t="s">
        <v>447</v>
      </c>
      <c r="C83" s="100" t="s">
        <v>449</v>
      </c>
      <c r="D83" s="102" t="n">
        <v>34.81</v>
      </c>
      <c r="E83" s="103" t="n">
        <v>21.0</v>
      </c>
      <c r="F83" s="103" t="n">
        <v>27.5</v>
      </c>
      <c r="G83" s="0">
        <f>IF(ISBLANK(F83),IF(E83&gt;21.0,"Atrativo",IF(E83&lt;21.0,"Pouco atrativo","-")),IF(F83&lt;27.5,"Atrativo",IF(F83&gt;27.5,"Pouco atrativo","-")))</f>
      </c>
      <c r="H83" s="102">
        <f>IF(ISBLANK(F83),IF(E83=21,"$ 17.79","-"),IF(F83=27.5,"$ 17.79","-"))</f>
      </c>
      <c r="I83" s="103"/>
      <c r="J83" s="103"/>
      <c r="L83" s="104" t="s">
        <v>180</v>
      </c>
      <c r="M83" s="105" t="s">
        <v>181</v>
      </c>
      <c r="N83" s="106"/>
    </row>
    <row r="84">
      <c r="A84" s="101" t="s">
        <v>452</v>
      </c>
      <c r="B84" s="100" t="s">
        <v>451</v>
      </c>
      <c r="C84" s="100" t="s">
        <v>453</v>
      </c>
      <c r="D84" s="102" t="n">
        <v>91.01</v>
      </c>
      <c r="E84" s="103" t="n">
        <v>21.0</v>
      </c>
      <c r="F84" s="103" t="n">
        <v>71.9</v>
      </c>
      <c r="G84" s="0">
        <f>IF(ISBLANK(F84),IF(E84&gt;21.0,"Atrativo",IF(E84&lt;21.0,"Pouco atrativo","-")),IF(F84&lt;71.9,"Atrativo",IF(F84&gt;71.9,"Pouco atrativo","-")))</f>
      </c>
      <c r="H84" s="102">
        <f>IF(ISBLANK(F84),IF(E84=21,"$ 51.73","-"),IF(F84=71.9,"$ 51.73","-"))</f>
      </c>
      <c r="I84" s="103"/>
      <c r="J84" s="103"/>
      <c r="L84" s="104" t="s">
        <v>180</v>
      </c>
      <c r="M84" s="105" t="s">
        <v>181</v>
      </c>
      <c r="N84" s="106"/>
    </row>
    <row r="85">
      <c r="A85" s="101" t="s">
        <v>456</v>
      </c>
      <c r="B85" s="100" t="s">
        <v>455</v>
      </c>
      <c r="C85" s="100" t="s">
        <v>457</v>
      </c>
      <c r="D85" s="102" t="n">
        <v>103.67</v>
      </c>
      <c r="E85" s="103" t="n">
        <v>21.0</v>
      </c>
      <c r="F85" s="103" t="n">
        <v>81.9</v>
      </c>
      <c r="G85" s="0">
        <f>IF(ISBLANK(F85),IF(E85&gt;21.0,"Atrativo",IF(E85&lt;21.0,"Pouco atrativo","-")),IF(F85&lt;81.9,"Atrativo",IF(F85&gt;81.9,"Pouco atrativo","-")))</f>
      </c>
      <c r="H85" s="102">
        <f>IF(ISBLANK(F85),IF(E85=21,"$ 54.73","-"),IF(F85=81.9,"$ 54.73","-"))</f>
      </c>
      <c r="I85" s="103"/>
      <c r="J85" s="103"/>
      <c r="L85" s="104" t="s">
        <v>180</v>
      </c>
      <c r="M85" s="105" t="s">
        <v>181</v>
      </c>
      <c r="N85" s="106"/>
    </row>
    <row r="86">
      <c r="A86" s="101" t="s">
        <v>460</v>
      </c>
      <c r="B86" s="100" t="s">
        <v>459</v>
      </c>
      <c r="C86" s="100" t="s">
        <v>461</v>
      </c>
      <c r="D86" s="102" t="n">
        <v>249.24</v>
      </c>
      <c r="E86" s="103" t="n">
        <v>21.0</v>
      </c>
      <c r="F86" s="103" t="n">
        <v>196.9</v>
      </c>
      <c r="G86" s="0">
        <f>IF(ISBLANK(F86),IF(E86&gt;21.0,"Atrativo",IF(E86&lt;21.0,"Pouco atrativo","-")),IF(F86&lt;196.9,"Atrativo",IF(F86&gt;196.9,"Pouco atrativo","-")))</f>
      </c>
      <c r="H86" s="102">
        <f>IF(ISBLANK(F86),IF(E86=21,"$ 143.58","-"),IF(F86=196.9,"$ 143.58","-"))</f>
      </c>
      <c r="I86" s="103"/>
      <c r="J86" s="103"/>
      <c r="L86" s="104" t="s">
        <v>180</v>
      </c>
      <c r="M86" s="105" t="s">
        <v>181</v>
      </c>
      <c r="N86" s="106"/>
    </row>
    <row r="87">
      <c r="A87" s="101" t="s">
        <v>464</v>
      </c>
      <c r="B87" s="100" t="s">
        <v>463</v>
      </c>
      <c r="C87" s="100" t="s">
        <v>461</v>
      </c>
      <c r="D87" s="102" t="n">
        <v>250.51</v>
      </c>
      <c r="E87" s="103" t="n">
        <v>22.0</v>
      </c>
      <c r="F87" s="103" t="n">
        <v>197.9</v>
      </c>
      <c r="G87" s="0">
        <f>IF(ISBLANK(F87),IF(E87&gt;22.0,"Atrativo",IF(E87&lt;22.0,"Pouco atrativo","-")),IF(F87&lt;197.9,"Atrativo",IF(F87&gt;197.9,"Pouco atrativo","-")))</f>
      </c>
      <c r="H87" s="102">
        <f>IF(ISBLANK(F87),IF(E87=22,"$ 143.11","-"),IF(F87=197.9,"$ 143.11","-"))</f>
      </c>
      <c r="I87" s="103"/>
      <c r="J87" s="103"/>
      <c r="L87" s="104" t="s">
        <v>180</v>
      </c>
      <c r="M87" s="105" t="s">
        <v>181</v>
      </c>
      <c r="N87" s="106"/>
    </row>
    <row r="88">
      <c r="A88" s="101" t="s">
        <v>467</v>
      </c>
      <c r="B88" s="100" t="s">
        <v>466</v>
      </c>
      <c r="C88" s="100" t="s">
        <v>468</v>
      </c>
      <c r="D88" s="102" t="n">
        <v>553.04</v>
      </c>
      <c r="E88" s="103" t="n">
        <v>21.0</v>
      </c>
      <c r="F88" s="103" t="n">
        <v>436.9</v>
      </c>
      <c r="G88" s="0">
        <f>IF(ISBLANK(F88),IF(E88&gt;21.0,"Atrativo",IF(E88&lt;21.0,"Pouco atrativo","-")),IF(F88&lt;436.9,"Atrativo",IF(F88&gt;436.9,"Pouco atrativo","-")))</f>
      </c>
      <c r="H88" s="102">
        <f>IF(ISBLANK(F88),IF(E88=21,"$ 338.98","-"),IF(F88=436.9,"$ 338.98","-"))</f>
      </c>
      <c r="I88" s="103"/>
      <c r="J88" s="103"/>
      <c r="L88" s="104" t="s">
        <v>180</v>
      </c>
      <c r="M88" s="105" t="s">
        <v>181</v>
      </c>
      <c r="N88" s="106"/>
    </row>
    <row r="89">
      <c r="A89" s="101" t="s">
        <v>471</v>
      </c>
      <c r="B89" s="100" t="s">
        <v>470</v>
      </c>
      <c r="C89" s="100" t="s">
        <v>472</v>
      </c>
      <c r="D89" s="102" t="n">
        <v>225.19</v>
      </c>
      <c r="E89" s="103" t="n">
        <v>21.0</v>
      </c>
      <c r="F89" s="103" t="n">
        <v>177.9</v>
      </c>
      <c r="G89" s="0">
        <f>IF(ISBLANK(F89),IF(E89&gt;21.0,"Atrativo",IF(E89&lt;21.0,"Pouco atrativo","-")),IF(F89&lt;177.9,"Atrativo",IF(F89&gt;177.9,"Pouco atrativo","-")))</f>
      </c>
      <c r="H89" s="102">
        <f>IF(ISBLANK(F89),IF(E89=21,"$ 136.70","-"),IF(F89=177.9,"$ 136.70","-"))</f>
      </c>
      <c r="I89" s="103"/>
      <c r="J89" s="103"/>
      <c r="L89" s="104" t="s">
        <v>180</v>
      </c>
      <c r="M89" s="105" t="s">
        <v>181</v>
      </c>
      <c r="N89" s="106"/>
    </row>
    <row r="90">
      <c r="A90" s="101" t="s">
        <v>475</v>
      </c>
      <c r="B90" s="100" t="s">
        <v>474</v>
      </c>
      <c r="C90" s="100" t="s">
        <v>457</v>
      </c>
      <c r="D90" s="102" t="n">
        <v>55.57</v>
      </c>
      <c r="E90" s="103" t="n">
        <v>21.0</v>
      </c>
      <c r="F90" s="103" t="n">
        <v>43.9</v>
      </c>
      <c r="G90" s="0">
        <f>IF(ISBLANK(F90),IF(E90&gt;21.0,"Atrativo",IF(E90&lt;21.0,"Pouco atrativo","-")),IF(F90&lt;43.9,"Atrativo",IF(F90&gt;43.9,"Pouco atrativo","-")))</f>
      </c>
      <c r="H90" s="102">
        <f>IF(ISBLANK(F90),IF(E90=21,"$ 31.98","-"),IF(F90=43.9,"$ 31.98","-"))</f>
      </c>
      <c r="I90" s="103"/>
      <c r="J90" s="103"/>
      <c r="L90" s="104" t="s">
        <v>180</v>
      </c>
      <c r="M90" s="105" t="s">
        <v>181</v>
      </c>
      <c r="N90" s="106"/>
    </row>
    <row r="91">
      <c r="A91" s="101" t="s">
        <v>478</v>
      </c>
      <c r="B91" s="100" t="s">
        <v>477</v>
      </c>
      <c r="C91" s="100" t="s">
        <v>479</v>
      </c>
      <c r="D91" s="102" t="n">
        <v>730.26</v>
      </c>
      <c r="E91" s="103" t="n">
        <v>21.0</v>
      </c>
      <c r="F91" s="103" t="n">
        <v>576.91</v>
      </c>
      <c r="G91" s="0">
        <f>IF(ISBLANK(F91),IF(E91&gt;21.0,"Atrativo",IF(E91&lt;21.0,"Pouco atrativo","-")),IF(F91&lt;576.91,"Atrativo",IF(F91&gt;576.91,"Pouco atrativo","-")))</f>
      </c>
      <c r="H91" s="102">
        <f>IF(ISBLANK(F91),IF(E91=21,"$ 485.13","-"),IF(F91=576.91,"$ 485.13","-"))</f>
      </c>
      <c r="I91" s="103"/>
      <c r="J91" s="103"/>
      <c r="L91" s="104" t="s">
        <v>180</v>
      </c>
      <c r="M91" s="105" t="s">
        <v>181</v>
      </c>
      <c r="N91" s="106"/>
    </row>
    <row r="92">
      <c r="A92" s="101" t="s">
        <v>482</v>
      </c>
      <c r="B92" s="100" t="s">
        <v>481</v>
      </c>
      <c r="C92" s="100" t="s">
        <v>483</v>
      </c>
      <c r="D92" s="102" t="n">
        <v>34.05</v>
      </c>
      <c r="E92" s="103" t="n">
        <v>21.0</v>
      </c>
      <c r="F92" s="103" t="n">
        <v>26.9</v>
      </c>
      <c r="G92" s="0">
        <f>IF(ISBLANK(F92),IF(E92&gt;21.0,"Atrativo",IF(E92&lt;21.0,"Pouco atrativo","-")),IF(F92&lt;26.9,"Atrativo",IF(F92&gt;26.9,"Pouco atrativo","-")))</f>
      </c>
      <c r="H92" s="102">
        <f>IF(ISBLANK(F92),IF(E92=21,"$ 16.92","-"),IF(F92=26.9,"$ 16.92","-"))</f>
      </c>
      <c r="I92" s="103"/>
      <c r="J92" s="103"/>
      <c r="L92" s="104" t="s">
        <v>180</v>
      </c>
      <c r="M92" s="105" t="s">
        <v>181</v>
      </c>
      <c r="N92" s="106"/>
    </row>
    <row r="93">
      <c r="A93" s="101" t="s">
        <v>486</v>
      </c>
      <c r="B93" s="100" t="s">
        <v>485</v>
      </c>
      <c r="C93" s="100" t="s">
        <v>487</v>
      </c>
      <c r="D93" s="102" t="n">
        <v>374.56</v>
      </c>
      <c r="E93" s="103" t="n">
        <v>21.0</v>
      </c>
      <c r="F93" s="103" t="n">
        <v>295.9</v>
      </c>
      <c r="G93" s="0">
        <f>IF(ISBLANK(F93),IF(E93&gt;21.0,"Atrativo",IF(E93&lt;21.0,"Pouco atrativo","-")),IF(F93&lt;295.9,"Atrativo",IF(F93&gt;295.9,"Pouco atrativo","-")))</f>
      </c>
      <c r="H93" s="102">
        <f>IF(ISBLANK(F93),IF(E93=21,"$ 224.65","-"),IF(F93=295.9,"$ 224.65","-"))</f>
      </c>
      <c r="I93" s="103"/>
      <c r="J93" s="103"/>
      <c r="L93" s="104" t="s">
        <v>180</v>
      </c>
      <c r="M93" s="105" t="s">
        <v>181</v>
      </c>
      <c r="N93" s="106"/>
    </row>
    <row r="94">
      <c r="A94" s="101" t="s">
        <v>490</v>
      </c>
      <c r="B94" s="100" t="s">
        <v>489</v>
      </c>
      <c r="C94" s="100" t="s">
        <v>487</v>
      </c>
      <c r="D94" s="102" t="n">
        <v>303.8</v>
      </c>
      <c r="E94" s="103" t="n">
        <v>21.0</v>
      </c>
      <c r="F94" s="103" t="n">
        <v>240.0</v>
      </c>
      <c r="G94" s="0">
        <f>IF(ISBLANK(F94),IF(E94&gt;21.0,"Atrativo",IF(E94&lt;21.0,"Pouco atrativo","-")),IF(F94&lt;240.0,"Atrativo",IF(F94&gt;240.0,"Pouco atrativo","-")))</f>
      </c>
      <c r="H94" s="102">
        <f>IF(ISBLANK(F94),IF(E94=21,"$ 178.25","-"),IF(F94=240,"$ 178.25","-"))</f>
      </c>
      <c r="I94" s="103"/>
      <c r="J94" s="103"/>
      <c r="L94" s="104" t="s">
        <v>180</v>
      </c>
      <c r="M94" s="105" t="s">
        <v>181</v>
      </c>
      <c r="N94" s="106"/>
    </row>
    <row r="95">
      <c r="A95" s="101" t="s">
        <v>493</v>
      </c>
      <c r="B95" s="100" t="s">
        <v>492</v>
      </c>
      <c r="C95" s="100" t="s">
        <v>494</v>
      </c>
      <c r="D95" s="102" t="n">
        <v>347.98</v>
      </c>
      <c r="E95" s="103" t="n">
        <v>22.0</v>
      </c>
      <c r="F95" s="103" t="n">
        <v>274.9</v>
      </c>
      <c r="G95" s="0">
        <f>IF(ISBLANK(F95),IF(E95&gt;22.0,"Atrativo",IF(E95&lt;22.0,"Pouco atrativo","-")),IF(F95&lt;274.9,"Atrativo",IF(F95&gt;274.9,"Pouco atrativo","-")))</f>
      </c>
      <c r="H95" s="102">
        <f>IF(ISBLANK(F95),IF(E95=22,"$ 202.57","-"),IF(F95=274.9,"$ 202.57","-"))</f>
      </c>
      <c r="I95" s="103"/>
      <c r="J95" s="103"/>
      <c r="L95" s="104" t="s">
        <v>180</v>
      </c>
      <c r="M95" s="105" t="s">
        <v>181</v>
      </c>
      <c r="N95" s="106"/>
    </row>
    <row r="96">
      <c r="A96" s="101" t="s">
        <v>497</v>
      </c>
      <c r="B96" s="100" t="s">
        <v>496</v>
      </c>
      <c r="C96" s="100" t="s">
        <v>498</v>
      </c>
      <c r="D96" s="102" t="n">
        <v>242.41</v>
      </c>
      <c r="E96" s="103" t="n">
        <v>20.0</v>
      </c>
      <c r="F96" s="103" t="n">
        <v>195.5</v>
      </c>
      <c r="G96" s="0">
        <f>IF(ISBLANK(F96),IF(E96&gt;20.0,"Atrativo",IF(E96&lt;20.0,"Pouco atrativo","-")),IF(F96&lt;195.5,"Atrativo",IF(F96&gt;195.5,"Pouco atrativo","-")))</f>
      </c>
      <c r="H96" s="102">
        <f>IF(ISBLANK(F96),IF(E96=20,"$ 152.19","-"),IF(F96=195.5,"$ 152.19","-"))</f>
      </c>
      <c r="I96" s="103"/>
      <c r="J96" s="103"/>
      <c r="L96" s="104" t="s">
        <v>180</v>
      </c>
      <c r="M96" s="105" t="s">
        <v>181</v>
      </c>
      <c r="N96" s="106"/>
    </row>
    <row r="97">
      <c r="A97" s="101" t="s">
        <v>501</v>
      </c>
      <c r="B97" s="100" t="s">
        <v>500</v>
      </c>
      <c r="C97" s="100" t="s">
        <v>502</v>
      </c>
      <c r="D97" s="102" t="n">
        <v>189.75</v>
      </c>
      <c r="E97" s="103" t="n">
        <v>22.0</v>
      </c>
      <c r="F97" s="103" t="n">
        <v>149.9</v>
      </c>
      <c r="G97" s="0">
        <f>IF(ISBLANK(F97),IF(E97&gt;22.0,"Atrativo",IF(E97&lt;22.0,"Pouco atrativo","-")),IF(F97&lt;149.9,"Atrativo",IF(F97&gt;149.9,"Pouco atrativo","-")))</f>
      </c>
      <c r="H97" s="102">
        <f>IF(ISBLANK(F97),IF(E97=22,"$ 115.46","-"),IF(F97=149.9,"$ 115.46","-"))</f>
      </c>
      <c r="I97" s="103"/>
      <c r="J97" s="103"/>
      <c r="L97" s="104" t="s">
        <v>180</v>
      </c>
      <c r="M97" s="105" t="s">
        <v>181</v>
      </c>
      <c r="N97" s="106"/>
    </row>
    <row r="98">
      <c r="A98" s="101" t="s">
        <v>505</v>
      </c>
      <c r="B98" s="100" t="s">
        <v>504</v>
      </c>
      <c r="C98" s="100" t="s">
        <v>506</v>
      </c>
      <c r="D98" s="102" t="n">
        <v>72.03</v>
      </c>
      <c r="E98" s="103" t="n">
        <v>22.0</v>
      </c>
      <c r="F98" s="103" t="n">
        <v>56.9</v>
      </c>
      <c r="G98" s="0">
        <f>IF(ISBLANK(F98),IF(E98&gt;22.0,"Atrativo",IF(E98&lt;22.0,"Pouco atrativo","-")),IF(F98&lt;56.9,"Atrativo",IF(F98&gt;56.9,"Pouco atrativo","-")))</f>
      </c>
      <c r="H98" s="102">
        <f>IF(ISBLANK(F98),IF(E98=22,"$ 39.48","-"),IF(F98=56.9,"$ 39.48","-"))</f>
      </c>
      <c r="I98" s="103"/>
      <c r="J98" s="103"/>
      <c r="L98" s="104" t="s">
        <v>180</v>
      </c>
      <c r="M98" s="105" t="s">
        <v>181</v>
      </c>
      <c r="N98" s="106"/>
    </row>
    <row r="99">
      <c r="A99" s="101" t="s">
        <v>508</v>
      </c>
      <c r="B99" s="100" t="s">
        <v>507</v>
      </c>
      <c r="C99" s="100" t="s">
        <v>509</v>
      </c>
      <c r="D99" s="102" t="n">
        <v>154.31</v>
      </c>
      <c r="E99" s="103" t="n">
        <v>22.0</v>
      </c>
      <c r="F99" s="103" t="n">
        <v>121.9</v>
      </c>
      <c r="G99" s="0">
        <f>IF(ISBLANK(F99),IF(E99&gt;22.0,"Atrativo",IF(E99&lt;22.0,"Pouco atrativo","-")),IF(F99&lt;121.9,"Atrativo",IF(F99&gt;121.9,"Pouco atrativo","-")))</f>
      </c>
      <c r="H99" s="102">
        <f>IF(ISBLANK(F99),IF(E99=22,"$ 84.73","-"),IF(F99=121.9,"$ 84.73","-"))</f>
      </c>
      <c r="I99" s="103"/>
      <c r="J99" s="103"/>
      <c r="L99" s="104" t="s">
        <v>180</v>
      </c>
      <c r="M99" s="105" t="s">
        <v>181</v>
      </c>
      <c r="N99" s="106"/>
    </row>
    <row r="100">
      <c r="A100" s="101" t="s">
        <v>512</v>
      </c>
      <c r="B100" s="100" t="s">
        <v>511</v>
      </c>
      <c r="C100" s="100" t="s">
        <v>513</v>
      </c>
      <c r="D100" s="102" t="n">
        <v>90.0</v>
      </c>
      <c r="E100" s="103" t="n">
        <v>21.0</v>
      </c>
      <c r="F100" s="103" t="n">
        <v>71.1</v>
      </c>
      <c r="G100" s="0">
        <f>IF(ISBLANK(F100),IF(E100&gt;21.0,"Atrativo",IF(E100&lt;21.0,"Pouco atrativo","-")),IF(F100&lt;71.1,"Atrativo",IF(F100&gt;71.1,"Pouco atrativo","-")))</f>
      </c>
      <c r="H100" s="102">
        <f>IF(ISBLANK(F100),IF(E100=21,"$ 54.82","-"),IF(F100=71.1,"$ 54.82","-"))</f>
      </c>
      <c r="I100" s="103"/>
      <c r="J100" s="103"/>
      <c r="L100" s="104" t="s">
        <v>180</v>
      </c>
      <c r="M100" s="105" t="s">
        <v>181</v>
      </c>
      <c r="N100" s="106"/>
    </row>
    <row r="101">
      <c r="A101" s="101" t="s">
        <v>516</v>
      </c>
      <c r="B101" s="100" t="s">
        <v>515</v>
      </c>
      <c r="C101" s="100" t="s">
        <v>513</v>
      </c>
      <c r="D101" s="102" t="n">
        <v>92.28</v>
      </c>
      <c r="E101" s="103" t="n">
        <v>22.0</v>
      </c>
      <c r="F101" s="103" t="n">
        <v>72.9</v>
      </c>
      <c r="G101" s="0">
        <f>IF(ISBLANK(F101),IF(E101&gt;22.0,"Atrativo",IF(E101&lt;22.0,"Pouco atrativo","-")),IF(F101&lt;72.9,"Atrativo",IF(F101&gt;72.9,"Pouco atrativo","-")))</f>
      </c>
      <c r="H101" s="102">
        <f>IF(ISBLANK(F101),IF(E101=22,"$ 56.40","-"),IF(F101=72.9,"$ 56.40","-"))</f>
      </c>
      <c r="I101" s="103"/>
      <c r="J101" s="103"/>
      <c r="L101" s="104" t="s">
        <v>180</v>
      </c>
      <c r="M101" s="105" t="s">
        <v>181</v>
      </c>
      <c r="N101" s="106"/>
    </row>
    <row r="102">
      <c r="A102" s="101" t="s">
        <v>518</v>
      </c>
      <c r="B102" s="100" t="s">
        <v>517</v>
      </c>
      <c r="C102" s="100" t="s">
        <v>519</v>
      </c>
      <c r="D102" s="102" t="n">
        <v>165.7</v>
      </c>
      <c r="E102" s="103" t="n">
        <v>22.0</v>
      </c>
      <c r="F102" s="103" t="n">
        <v>130.9</v>
      </c>
      <c r="G102" s="0">
        <f>IF(ISBLANK(F102),IF(E102&gt;22.0,"Atrativo",IF(E102&lt;22.0,"Pouco atrativo","-")),IF(F102&lt;130.9,"Atrativo",IF(F102&gt;130.9,"Pouco atrativo","-")))</f>
      </c>
      <c r="H102" s="102">
        <f>IF(ISBLANK(F102),IF(E102=22,"$ 92.20","-"),IF(F102=130.9,"$ 92.20","-"))</f>
      </c>
      <c r="I102" s="103"/>
      <c r="J102" s="103"/>
      <c r="L102" s="104" t="s">
        <v>180</v>
      </c>
      <c r="M102" s="105" t="s">
        <v>181</v>
      </c>
      <c r="N102" s="106"/>
    </row>
    <row r="103">
      <c r="A103" s="101" t="s">
        <v>522</v>
      </c>
      <c r="B103" s="100" t="s">
        <v>521</v>
      </c>
      <c r="C103" s="100" t="s">
        <v>519</v>
      </c>
      <c r="D103" s="102" t="n">
        <v>141.27</v>
      </c>
      <c r="E103" s="103" t="n">
        <v>22.0</v>
      </c>
      <c r="F103" s="103" t="n">
        <v>111.6</v>
      </c>
      <c r="G103" s="0">
        <f>IF(ISBLANK(F103),IF(E103&gt;22.0,"Atrativo",IF(E103&lt;22.0,"Pouco atrativo","-")),IF(F103&lt;111.6,"Atrativo",IF(F103&gt;111.6,"Pouco atrativo","-")))</f>
      </c>
      <c r="H103" s="102">
        <f>IF(ISBLANK(F103),IF(E103=22,"$ 83.86","-"),IF(F103=111.6,"$ 83.86","-"))</f>
      </c>
      <c r="I103" s="103"/>
      <c r="J103" s="103"/>
      <c r="L103" s="104" t="s">
        <v>180</v>
      </c>
      <c r="M103" s="105" t="s">
        <v>181</v>
      </c>
      <c r="N103" s="106"/>
    </row>
    <row r="104">
      <c r="A104" s="101" t="s">
        <v>525</v>
      </c>
      <c r="B104" s="100" t="s">
        <v>524</v>
      </c>
      <c r="C104" s="100" t="s">
        <v>526</v>
      </c>
      <c r="D104" s="102" t="n">
        <v>105.9</v>
      </c>
      <c r="E104" s="103" t="n">
        <v>12.0</v>
      </c>
      <c r="F104" s="103" t="n">
        <v>93.19</v>
      </c>
      <c r="G104" s="0">
        <f>IF(ISBLANK(F104),IF(E104&gt;=12.0,"Atrativo","Pouco atrativo"),IF(F104&lt;=93.94,"Atrativo","Pouco atrativo"))</f>
      </c>
      <c r="H104" s="102">
        <f>IF(ISBLANK(F104),IF(E104=12,"$ 65.62","-"),IF(F104=93.19,"$ 65.62","-"))</f>
      </c>
      <c r="I104" s="103"/>
      <c r="J104" s="103"/>
      <c r="L104" s="104" t="s">
        <v>295</v>
      </c>
      <c r="M104" s="105" t="s">
        <v>181</v>
      </c>
      <c r="N104" s="106"/>
    </row>
    <row r="105">
      <c r="A105" s="101" t="s">
        <v>529</v>
      </c>
      <c r="B105" s="100" t="s">
        <v>528</v>
      </c>
      <c r="C105" s="100" t="s">
        <v>129</v>
      </c>
      <c r="D105" s="102" t="n">
        <v>168.23</v>
      </c>
      <c r="E105" s="103" t="n">
        <v>22.0</v>
      </c>
      <c r="F105" s="103" t="n">
        <v>132.9</v>
      </c>
      <c r="G105" s="0">
        <f>IF(ISBLANK(F105),IF(E105&gt;22.0,"Atrativo",IF(E105&lt;22.0,"Pouco atrativo","-")),IF(F105&lt;132.9,"Atrativo",IF(F105&gt;132.9,"Pouco atrativo","-")))</f>
      </c>
      <c r="H105" s="102">
        <f>IF(ISBLANK(F105),IF(E105=22,"$ 101.17","-"),IF(F105=132.9,"$ 101.17","-"))</f>
      </c>
      <c r="I105" s="103"/>
      <c r="J105" s="103"/>
      <c r="L105" s="104" t="s">
        <v>180</v>
      </c>
      <c r="M105" s="105" t="s">
        <v>181</v>
      </c>
      <c r="N105" s="106"/>
    </row>
    <row r="106">
      <c r="A106" s="101" t="s">
        <v>532</v>
      </c>
      <c r="B106" s="100" t="s">
        <v>531</v>
      </c>
      <c r="C106" s="100" t="s">
        <v>129</v>
      </c>
      <c r="D106" s="102" t="n">
        <v>113.9</v>
      </c>
      <c r="E106" s="103" t="n">
        <v>5.0</v>
      </c>
      <c r="F106" s="103" t="n">
        <v>108.2</v>
      </c>
      <c r="G106" s="107" t="s">
        <v>294</v>
      </c>
      <c r="H106" s="102">
        <f>IF(ISBLANK(F106),IF(E106=5,"$ 81.41","-"),IF(F106=108.2,"$ 81.41","-"))</f>
      </c>
      <c r="I106" s="103"/>
      <c r="J106" s="103"/>
      <c r="L106" s="104" t="s">
        <v>295</v>
      </c>
      <c r="M106" s="105" t="s">
        <v>181</v>
      </c>
      <c r="N106" s="101" t="s">
        <v>296</v>
      </c>
    </row>
    <row r="107">
      <c r="A107" s="101" t="s">
        <v>535</v>
      </c>
      <c r="B107" s="100" t="s">
        <v>534</v>
      </c>
      <c r="C107" s="100" t="s">
        <v>536</v>
      </c>
      <c r="D107" s="102" t="n">
        <v>227.72</v>
      </c>
      <c r="E107" s="103" t="n">
        <v>21.0</v>
      </c>
      <c r="F107" s="103" t="n">
        <v>179.9</v>
      </c>
      <c r="G107" s="0">
        <f>IF(ISBLANK(F107),IF(E107&gt;21.0,"Atrativo",IF(E107&lt;21.0,"Pouco atrativo","-")),IF(F107&lt;179.9,"Atrativo",IF(F107&gt;179.9,"Pouco atrativo","-")))</f>
      </c>
      <c r="H107" s="102">
        <f>IF(ISBLANK(F107),IF(E107=21,"$ 129.47","-"),IF(F107=179.9,"$ 129.47","-"))</f>
      </c>
      <c r="I107" s="103"/>
      <c r="J107" s="103"/>
      <c r="L107" s="104" t="s">
        <v>180</v>
      </c>
      <c r="M107" s="105" t="s">
        <v>181</v>
      </c>
      <c r="N107" s="106"/>
    </row>
    <row r="108">
      <c r="A108" s="101" t="s">
        <v>539</v>
      </c>
      <c r="B108" s="100" t="s">
        <v>538</v>
      </c>
      <c r="C108" s="100" t="s">
        <v>129</v>
      </c>
      <c r="D108" s="102" t="n">
        <v>202.41</v>
      </c>
      <c r="E108" s="103" t="n">
        <v>22.0</v>
      </c>
      <c r="F108" s="103" t="n">
        <v>159.9</v>
      </c>
      <c r="G108" s="0">
        <f>IF(ISBLANK(F108),IF(E108&gt;22.0,"Atrativo",IF(E108&lt;22.0,"Pouco atrativo","-")),IF(F108&lt;159.9,"Atrativo",IF(F108&gt;159.9,"Pouco atrativo","-")))</f>
      </c>
      <c r="H108" s="102">
        <f>IF(ISBLANK(F108),IF(E108=22,"$ 119.96","-"),IF(F108=159.9,"$ 119.96","-"))</f>
      </c>
      <c r="I108" s="103"/>
      <c r="J108" s="103"/>
      <c r="L108" s="104" t="s">
        <v>180</v>
      </c>
      <c r="M108" s="105" t="s">
        <v>181</v>
      </c>
      <c r="N108" s="106"/>
    </row>
    <row r="109">
      <c r="A109" s="101" t="s">
        <v>542</v>
      </c>
      <c r="B109" s="100" t="s">
        <v>541</v>
      </c>
      <c r="C109" s="100" t="s">
        <v>322</v>
      </c>
      <c r="D109" s="102" t="n">
        <v>175.94</v>
      </c>
      <c r="E109" s="103" t="n">
        <v>22.0</v>
      </c>
      <c r="F109" s="103" t="n">
        <v>138.99</v>
      </c>
      <c r="G109" s="0">
        <f>IF(ISBLANK(F109),IF(E109&gt;22.0,"Atrativo",IF(E109&lt;22.0,"Pouco atrativo","-")),IF(F109&lt;138.99,"Atrativo",IF(F109&gt;138.99,"Pouco atrativo","-")))</f>
      </c>
      <c r="H109" s="102">
        <f>IF(ISBLANK(F109),IF(E109=22,"$ 98.91","-"),IF(F109=138.99,"$ 98.91","-"))</f>
      </c>
      <c r="I109" s="103"/>
      <c r="J109" s="103"/>
      <c r="L109" s="104" t="s">
        <v>180</v>
      </c>
      <c r="M109" s="105" t="s">
        <v>181</v>
      </c>
      <c r="N109" s="106"/>
    </row>
    <row r="110">
      <c r="A110" s="101" t="s">
        <v>545</v>
      </c>
      <c r="B110" s="100" t="s">
        <v>544</v>
      </c>
      <c r="C110" s="100" t="s">
        <v>546</v>
      </c>
      <c r="D110" s="102" t="n">
        <v>91.14</v>
      </c>
      <c r="E110" s="103" t="n">
        <v>22.0</v>
      </c>
      <c r="F110" s="103" t="n">
        <v>71.99</v>
      </c>
      <c r="G110" s="0">
        <f>IF(ISBLANK(F110),IF(E110&gt;22.0,"Atrativo",IF(E110&lt;22.0,"Pouco atrativo","-")),IF(F110&lt;71.99,"Atrativo",IF(F110&gt;71.99,"Pouco atrativo","-")))</f>
      </c>
      <c r="H110" s="102">
        <f>IF(ISBLANK(F110),IF(E110=22,"$ 55.20","-"),IF(F110=71.99,"$ 55.20","-"))</f>
      </c>
      <c r="I110" s="103"/>
      <c r="J110" s="103"/>
      <c r="L110" s="104" t="s">
        <v>180</v>
      </c>
      <c r="M110" s="105" t="s">
        <v>181</v>
      </c>
      <c r="N110" s="106"/>
    </row>
    <row r="111">
      <c r="A111" s="101" t="s">
        <v>549</v>
      </c>
      <c r="B111" s="100" t="s">
        <v>548</v>
      </c>
      <c r="C111" s="100" t="s">
        <v>546</v>
      </c>
      <c r="D111" s="102" t="n">
        <v>112.03</v>
      </c>
      <c r="E111" s="103" t="n">
        <v>5.0</v>
      </c>
      <c r="F111" s="103" t="n">
        <v>106.42</v>
      </c>
      <c r="G111" s="107" t="s">
        <v>294</v>
      </c>
      <c r="H111" s="102">
        <f>IF(ISBLANK(F111),IF(E111=5,"$ 76.80","-"),IF(F111=106.42,"$ 76.80","-"))</f>
      </c>
      <c r="I111" s="103"/>
      <c r="J111" s="103"/>
      <c r="L111" s="104" t="s">
        <v>295</v>
      </c>
      <c r="M111" s="105" t="s">
        <v>181</v>
      </c>
      <c r="N111" s="101" t="s">
        <v>296</v>
      </c>
    </row>
    <row r="112">
      <c r="A112" s="101" t="s">
        <v>552</v>
      </c>
      <c r="B112" s="100" t="s">
        <v>551</v>
      </c>
      <c r="C112" s="100" t="s">
        <v>553</v>
      </c>
      <c r="D112" s="102" t="n">
        <v>88.48</v>
      </c>
      <c r="E112" s="103" t="n">
        <v>21.0</v>
      </c>
      <c r="F112" s="103" t="n">
        <v>69.9</v>
      </c>
      <c r="G112" s="0">
        <f>IF(ISBLANK(F112),IF(E112&gt;21.0,"Atrativo",IF(E112&lt;21.0,"Pouco atrativo","-")),IF(F112&lt;69.9,"Atrativo",IF(F112&gt;69.9,"Pouco atrativo","-")))</f>
      </c>
      <c r="H112" s="102">
        <f>IF(ISBLANK(F112),IF(E112=21,"$ 49.97","-"),IF(F112=69.9,"$ 49.97","-"))</f>
      </c>
      <c r="I112" s="103"/>
      <c r="J112" s="103"/>
      <c r="L112" s="104" t="s">
        <v>180</v>
      </c>
      <c r="M112" s="105" t="s">
        <v>181</v>
      </c>
      <c r="N112" s="106"/>
    </row>
    <row r="113">
      <c r="A113" s="101" t="s">
        <v>556</v>
      </c>
      <c r="B113" s="100" t="s">
        <v>555</v>
      </c>
      <c r="C113" s="100" t="s">
        <v>557</v>
      </c>
      <c r="D113" s="102" t="n">
        <v>162.03</v>
      </c>
      <c r="E113" s="103" t="n">
        <v>22.0</v>
      </c>
      <c r="F113" s="103" t="n">
        <v>128.0</v>
      </c>
      <c r="G113" s="0">
        <f>IF(ISBLANK(F113),IF(E113&gt;22.0,"Atrativo",IF(E113&lt;22.0,"Pouco atrativo","-")),IF(F113&lt;128.0,"Atrativo",IF(F113&gt;128.0,"Pouco atrativo","-")))</f>
      </c>
      <c r="H113" s="102">
        <f>IF(ISBLANK(F113),IF(E113=22,"$ 89.79","-"),IF(F113=128,"$ 89.79","-"))</f>
      </c>
      <c r="I113" s="103"/>
      <c r="J113" s="103"/>
      <c r="L113" s="104" t="s">
        <v>180</v>
      </c>
      <c r="M113" s="105" t="s">
        <v>181</v>
      </c>
      <c r="N113" s="106"/>
    </row>
    <row r="114">
      <c r="A114" s="101" t="s">
        <v>560</v>
      </c>
      <c r="B114" s="100" t="s">
        <v>559</v>
      </c>
      <c r="C114" s="100" t="s">
        <v>557</v>
      </c>
      <c r="D114" s="102" t="n">
        <v>91.01</v>
      </c>
      <c r="E114" s="103" t="n">
        <v>21.0</v>
      </c>
      <c r="F114" s="103" t="n">
        <v>71.9</v>
      </c>
      <c r="G114" s="0">
        <f>IF(ISBLANK(F114),IF(E114&gt;21.0,"Atrativo",IF(E114&lt;21.0,"Pouco atrativo","-")),IF(F114&lt;71.9,"Atrativo",IF(F114&gt;71.9,"Pouco atrativo","-")))</f>
      </c>
      <c r="H114" s="102">
        <f>IF(ISBLANK(F114),IF(E114=21,"$ 55.52","-"),IF(F114=71.9,"$ 55.52","-"))</f>
      </c>
      <c r="I114" s="103"/>
      <c r="J114" s="103"/>
      <c r="L114" s="104" t="s">
        <v>180</v>
      </c>
      <c r="M114" s="105" t="s">
        <v>181</v>
      </c>
      <c r="N114" s="106"/>
    </row>
    <row r="115">
      <c r="A115" s="101" t="s">
        <v>563</v>
      </c>
      <c r="B115" s="100" t="s">
        <v>562</v>
      </c>
      <c r="C115" s="100" t="s">
        <v>129</v>
      </c>
      <c r="D115" s="102" t="n">
        <v>312.54</v>
      </c>
      <c r="E115" s="103" t="n">
        <v>21.0</v>
      </c>
      <c r="F115" s="103" t="n">
        <v>246.91</v>
      </c>
      <c r="G115" s="0">
        <f>IF(ISBLANK(F115),IF(E115&gt;21.0,"Atrativo",IF(E115&lt;21.0,"Pouco atrativo","-")),IF(F115&lt;246.91,"Atrativo",IF(F115&gt;246.91,"Pouco atrativo","-")))</f>
      </c>
      <c r="H115" s="102">
        <f>IF(ISBLANK(F115),IF(E115=21,"$ 181.29","-"),IF(F115=246.91,"$ 181.29","-"))</f>
      </c>
      <c r="I115" s="103"/>
      <c r="J115" s="103"/>
      <c r="L115" s="104" t="s">
        <v>180</v>
      </c>
      <c r="M115" s="105" t="s">
        <v>181</v>
      </c>
      <c r="N115" s="106"/>
    </row>
    <row r="116">
      <c r="A116" s="101" t="s">
        <v>566</v>
      </c>
      <c r="B116" s="100" t="s">
        <v>565</v>
      </c>
      <c r="C116" s="100" t="s">
        <v>567</v>
      </c>
      <c r="D116" s="102" t="n">
        <v>310.0</v>
      </c>
      <c r="E116" s="103" t="n">
        <v>21.0</v>
      </c>
      <c r="F116" s="103" t="n">
        <v>244.9</v>
      </c>
      <c r="G116" s="0">
        <f>IF(ISBLANK(F116),IF(E116&gt;21.0,"Atrativo",IF(E116&lt;21.0,"Pouco atrativo","-")),IF(F116&lt;244.9,"Atrativo",IF(F116&gt;244.9,"Pouco atrativo","-")))</f>
      </c>
      <c r="H116" s="102">
        <f>IF(ISBLANK(F116),IF(E116=21,"$ 194.56","-"),IF(F116=244.9,"$ 194.56","-"))</f>
      </c>
      <c r="I116" s="103"/>
      <c r="J116" s="103"/>
      <c r="L116" s="104" t="s">
        <v>180</v>
      </c>
      <c r="M116" s="105" t="s">
        <v>181</v>
      </c>
      <c r="N116" s="106"/>
    </row>
    <row r="117">
      <c r="A117" s="101" t="s">
        <v>570</v>
      </c>
      <c r="B117" s="100" t="s">
        <v>569</v>
      </c>
      <c r="C117" s="100" t="s">
        <v>567</v>
      </c>
      <c r="D117" s="102" t="n">
        <v>219.62</v>
      </c>
      <c r="E117" s="103" t="n">
        <v>21.0</v>
      </c>
      <c r="F117" s="103" t="n">
        <v>173.5</v>
      </c>
      <c r="G117" s="0">
        <f>IF(ISBLANK(F117),IF(E117&gt;21.0,"Atrativo",IF(E117&lt;21.0,"Pouco atrativo","-")),IF(F117&lt;173.5,"Atrativo",IF(F117&gt;173.5,"Pouco atrativo","-")))</f>
      </c>
      <c r="H117" s="102">
        <f>IF(ISBLANK(F117),IF(E117=21,"$ 134.23","-"),IF(F117=173.5,"$ 134.23","-"))</f>
      </c>
      <c r="I117" s="103"/>
      <c r="J117" s="103"/>
      <c r="L117" s="104" t="s">
        <v>180</v>
      </c>
      <c r="M117" s="105" t="s">
        <v>181</v>
      </c>
      <c r="N117" s="106"/>
    </row>
    <row r="118">
      <c r="A118" s="101" t="s">
        <v>573</v>
      </c>
      <c r="B118" s="100" t="s">
        <v>572</v>
      </c>
      <c r="C118" s="100" t="s">
        <v>574</v>
      </c>
      <c r="D118" s="102" t="n">
        <v>97.34</v>
      </c>
      <c r="E118" s="103" t="n">
        <v>21.0</v>
      </c>
      <c r="F118" s="103" t="n">
        <v>76.9</v>
      </c>
      <c r="G118" s="0">
        <f>IF(ISBLANK(F118),IF(E118&gt;21.0,"Atrativo",IF(E118&lt;21.0,"Pouco atrativo","-")),IF(F118&lt;76.9,"Atrativo",IF(F118&gt;76.9,"Pouco atrativo","-")))</f>
      </c>
      <c r="H118" s="102">
        <f>IF(ISBLANK(F118),IF(E118=21,"$ 56.08","-"),IF(F118=76.9,"$ 56.08","-"))</f>
      </c>
      <c r="I118" s="103"/>
      <c r="J118" s="103"/>
      <c r="L118" s="104" t="s">
        <v>180</v>
      </c>
      <c r="M118" s="105" t="s">
        <v>181</v>
      </c>
      <c r="N118" s="106"/>
    </row>
    <row r="119">
      <c r="A119" s="101" t="s">
        <v>576</v>
      </c>
      <c r="B119" s="100" t="s">
        <v>575</v>
      </c>
      <c r="C119" s="100" t="s">
        <v>574</v>
      </c>
      <c r="D119" s="102" t="n">
        <v>72.03</v>
      </c>
      <c r="E119" s="103" t="n">
        <v>22.0</v>
      </c>
      <c r="F119" s="103" t="n">
        <v>56.9</v>
      </c>
      <c r="G119" s="0">
        <f>IF(ISBLANK(F119),IF(E119&gt;22.0,"Atrativo",IF(E119&lt;22.0,"Pouco atrativo","-")),IF(F119&lt;56.9,"Atrativo",IF(F119&gt;56.9,"Pouco atrativo","-")))</f>
      </c>
      <c r="H119" s="102">
        <f>IF(ISBLANK(F119),IF(E119=22,"$ 42.32","-"),IF(F119=56.9,"$ 42.32","-"))</f>
      </c>
      <c r="I119" s="103"/>
      <c r="J119" s="103"/>
      <c r="L119" s="104" t="s">
        <v>180</v>
      </c>
      <c r="M119" s="105" t="s">
        <v>181</v>
      </c>
      <c r="N119" s="106"/>
    </row>
    <row r="120">
      <c r="A120" s="101" t="s">
        <v>579</v>
      </c>
      <c r="B120" s="100" t="s">
        <v>578</v>
      </c>
      <c r="C120" s="100" t="s">
        <v>580</v>
      </c>
      <c r="D120" s="102" t="n">
        <v>361.9</v>
      </c>
      <c r="E120" s="103" t="n">
        <v>21.0</v>
      </c>
      <c r="F120" s="103" t="n">
        <v>288.9</v>
      </c>
      <c r="G120" s="0">
        <f>IF(ISBLANK(F120),IF(E120&gt;21.0,"Atrativo",IF(E120&lt;21.0,"Pouco atrativo","-")),IF(F120&lt;288.9,"Atrativo",IF(F120&gt;288.9,"Pouco atrativo","-")))</f>
      </c>
      <c r="H120" s="102">
        <f>IF(ISBLANK(F120),IF(E120=21,"$ 216.14","-"),IF(F120=288.9,"$ 216.14","-"))</f>
      </c>
      <c r="I120" s="103"/>
      <c r="J120" s="103"/>
      <c r="L120" s="104" t="s">
        <v>180</v>
      </c>
      <c r="M120" s="105" t="s">
        <v>181</v>
      </c>
      <c r="N120" s="106"/>
    </row>
    <row r="121">
      <c r="A121" s="101" t="s">
        <v>583</v>
      </c>
      <c r="B121" s="100" t="s">
        <v>582</v>
      </c>
      <c r="C121" s="100" t="s">
        <v>580</v>
      </c>
      <c r="D121" s="102" t="n">
        <v>411.27</v>
      </c>
      <c r="E121" s="103" t="n">
        <v>21.0</v>
      </c>
      <c r="F121" s="103" t="n">
        <v>324.9</v>
      </c>
      <c r="G121" s="0">
        <f>IF(ISBLANK(F121),IF(E121&gt;21.0,"Atrativo",IF(E121&lt;21.0,"Pouco atrativo","-")),IF(F121&lt;324.9,"Atrativo",IF(F121&gt;324.9,"Pouco atrativo","-")))</f>
      </c>
      <c r="H121" s="102">
        <f>IF(ISBLANK(F121),IF(E121=21,"$ 247.12","-"),IF(F121=324.9,"$ 247.12","-"))</f>
      </c>
      <c r="I121" s="103"/>
      <c r="J121" s="103"/>
      <c r="L121" s="104" t="s">
        <v>180</v>
      </c>
      <c r="M121" s="105" t="s">
        <v>181</v>
      </c>
      <c r="N121" s="106"/>
    </row>
    <row r="122">
      <c r="A122" s="101" t="s">
        <v>586</v>
      </c>
      <c r="B122" s="100" t="s">
        <v>585</v>
      </c>
      <c r="C122" s="100" t="s">
        <v>587</v>
      </c>
      <c r="D122" s="102" t="n">
        <v>113.8</v>
      </c>
      <c r="E122" s="103" t="n">
        <v>22.0</v>
      </c>
      <c r="F122" s="103" t="n">
        <v>89.9</v>
      </c>
      <c r="G122" s="0">
        <f>IF(ISBLANK(F122),IF(E122&gt;22.0,"Atrativo",IF(E122&lt;22.0,"Pouco atrativo","-")),IF(F122&lt;89.9,"Atrativo",IF(F122&gt;89.9,"Pouco atrativo","-")))</f>
      </c>
      <c r="H122" s="102">
        <f>IF(ISBLANK(F122),IF(E122=22,"$ 65.86","-"),IF(F122=89.9,"$ 65.86","-"))</f>
      </c>
      <c r="I122" s="103"/>
      <c r="J122" s="103"/>
      <c r="L122" s="104" t="s">
        <v>180</v>
      </c>
      <c r="M122" s="105" t="s">
        <v>181</v>
      </c>
      <c r="N122" s="106"/>
    </row>
    <row r="123">
      <c r="A123" s="101" t="s">
        <v>590</v>
      </c>
      <c r="B123" s="100" t="s">
        <v>589</v>
      </c>
      <c r="C123" s="100" t="s">
        <v>591</v>
      </c>
      <c r="D123" s="102" t="n">
        <v>66.96</v>
      </c>
      <c r="E123" s="103" t="n">
        <v>22.0</v>
      </c>
      <c r="F123" s="103" t="n">
        <v>52.73</v>
      </c>
      <c r="G123" s="0">
        <f>IF(ISBLANK(F123),IF(E123&gt;22.0,"Atrativo",IF(E123&lt;22.0,"Pouco atrativo","-")),IF(F123&lt;52.73,"Atrativo",IF(F123&gt;52.73,"Pouco atrativo","-")))</f>
      </c>
      <c r="H123" s="102">
        <f>IF(ISBLANK(F123),IF(E123=22,"$ 35.82","-"),IF(F123=52.73,"$ 35.82","-"))</f>
      </c>
      <c r="I123" s="103"/>
      <c r="J123" s="103"/>
      <c r="L123" s="104" t="s">
        <v>180</v>
      </c>
      <c r="M123" s="105" t="s">
        <v>181</v>
      </c>
      <c r="N123" s="106"/>
    </row>
    <row r="124">
      <c r="A124" s="101" t="s">
        <v>594</v>
      </c>
      <c r="B124" s="100" t="s">
        <v>593</v>
      </c>
      <c r="C124" s="100" t="s">
        <v>595</v>
      </c>
      <c r="D124" s="102" t="n">
        <v>291.02</v>
      </c>
      <c r="E124" s="103" t="n">
        <v>21.0</v>
      </c>
      <c r="F124" s="103" t="n">
        <v>229.91</v>
      </c>
      <c r="G124" s="0">
        <f>IF(ISBLANK(F124),IF(E124&gt;21.0,"Atrativo",IF(E124&lt;21.0,"Pouco atrativo","-")),IF(F124&lt;229.91,"Atrativo",IF(F124&gt;229.91,"Pouco atrativo","-")))</f>
      </c>
      <c r="H124" s="102">
        <f>IF(ISBLANK(F124),IF(E124=21,"$ 169.88","-"),IF(F124=229.91,"$ 169.88","-"))</f>
      </c>
      <c r="I124" s="103"/>
      <c r="J124" s="103"/>
      <c r="L124" s="104" t="s">
        <v>180</v>
      </c>
      <c r="M124" s="105" t="s">
        <v>181</v>
      </c>
      <c r="N124" s="106"/>
    </row>
    <row r="125">
      <c r="A125" s="101" t="s">
        <v>598</v>
      </c>
      <c r="B125" s="100" t="s">
        <v>597</v>
      </c>
      <c r="C125" s="100" t="s">
        <v>599</v>
      </c>
      <c r="D125" s="102" t="n">
        <v>137.85</v>
      </c>
      <c r="E125" s="103" t="n">
        <v>22.0</v>
      </c>
      <c r="F125" s="103" t="n">
        <v>108.9</v>
      </c>
      <c r="G125" s="0">
        <f>IF(ISBLANK(F125),IF(E125&gt;22.0,"Atrativo",IF(E125&lt;22.0,"Pouco atrativo","-")),IF(F125&lt;108.9,"Atrativo",IF(F125&gt;108.9,"Pouco atrativo","-")))</f>
      </c>
      <c r="H125" s="102">
        <f>IF(ISBLANK(F125),IF(E125=22,"$ 80.38","-"),IF(F125=108.9,"$ 80.38","-"))</f>
      </c>
      <c r="I125" s="103"/>
      <c r="J125" s="103"/>
      <c r="L125" s="104" t="s">
        <v>180</v>
      </c>
      <c r="M125" s="105" t="s">
        <v>181</v>
      </c>
      <c r="N125" s="106"/>
    </row>
    <row r="126">
      <c r="A126" s="101" t="s">
        <v>602</v>
      </c>
      <c r="B126" s="100" t="s">
        <v>601</v>
      </c>
      <c r="C126" s="100" t="s">
        <v>603</v>
      </c>
      <c r="D126" s="102" t="n">
        <v>127.72</v>
      </c>
      <c r="E126" s="103" t="n">
        <v>21.0</v>
      </c>
      <c r="F126" s="103" t="n">
        <v>100.9</v>
      </c>
      <c r="G126" s="0">
        <f>IF(ISBLANK(F126),IF(E126&gt;21.0,"Atrativo",IF(E126&lt;21.0,"Pouco atrativo","-")),IF(F126&lt;100.9,"Atrativo",IF(F126&gt;100.9,"Pouco atrativo","-")))</f>
      </c>
      <c r="H126" s="102">
        <f>IF(ISBLANK(F126),IF(E126=21,"$ 69.40","-"),IF(F126=100.9,"$ 69.40","-"))</f>
      </c>
      <c r="I126" s="103"/>
      <c r="J126" s="103"/>
      <c r="L126" s="104" t="s">
        <v>180</v>
      </c>
      <c r="M126" s="105" t="s">
        <v>181</v>
      </c>
      <c r="N126" s="106"/>
    </row>
    <row r="127">
      <c r="A127" s="101" t="s">
        <v>605</v>
      </c>
      <c r="B127" s="100" t="s">
        <v>604</v>
      </c>
      <c r="C127" s="100" t="s">
        <v>606</v>
      </c>
      <c r="D127" s="102" t="n">
        <v>79.74</v>
      </c>
      <c r="E127" s="103" t="n">
        <v>22.0</v>
      </c>
      <c r="F127" s="103" t="n">
        <v>62.99</v>
      </c>
      <c r="G127" s="0">
        <f>IF(ISBLANK(F127),IF(E127&gt;22.0,"Atrativo",IF(E127&lt;22.0,"Pouco atrativo","-")),IF(F127&lt;62.99,"Atrativo",IF(F127&gt;62.99,"Pouco atrativo","-")))</f>
      </c>
      <c r="H127" s="102">
        <f>IF(ISBLANK(F127),IF(E127=22,"$ 47.68","-"),IF(F127=62.99,"$ 47.68","-"))</f>
      </c>
      <c r="I127" s="103"/>
      <c r="J127" s="103"/>
      <c r="L127" s="104" t="s">
        <v>180</v>
      </c>
      <c r="M127" s="105" t="s">
        <v>181</v>
      </c>
      <c r="N127" s="106"/>
    </row>
    <row r="128">
      <c r="A128" s="101" t="s">
        <v>609</v>
      </c>
      <c r="B128" s="100" t="s">
        <v>608</v>
      </c>
      <c r="C128" s="100" t="s">
        <v>610</v>
      </c>
      <c r="D128" s="102" t="n">
        <v>502.41</v>
      </c>
      <c r="E128" s="103" t="n">
        <v>21.0</v>
      </c>
      <c r="F128" s="103" t="n">
        <v>396.9</v>
      </c>
      <c r="G128" s="0">
        <f>IF(ISBLANK(F128),IF(E128&gt;21.0,"Atrativo",IF(E128&lt;21.0,"Pouco atrativo","-")),IF(F128&lt;396.9,"Atrativo",IF(F128&gt;396.9,"Pouco atrativo","-")))</f>
      </c>
      <c r="H128" s="102">
        <f>IF(ISBLANK(F128),IF(E128=21,"$ 306.88","-"),IF(F128=396.9,"$ 306.88","-"))</f>
      </c>
      <c r="I128" s="103"/>
      <c r="J128" s="103"/>
      <c r="L128" s="104" t="s">
        <v>180</v>
      </c>
      <c r="M128" s="105" t="s">
        <v>181</v>
      </c>
      <c r="N128" s="106"/>
    </row>
    <row r="129">
      <c r="A129" s="101" t="s">
        <v>612</v>
      </c>
      <c r="B129" s="100" t="s">
        <v>611</v>
      </c>
      <c r="C129" s="100" t="s">
        <v>526</v>
      </c>
      <c r="D129" s="102" t="n">
        <v>84.68</v>
      </c>
      <c r="E129" s="103" t="n">
        <v>21.0</v>
      </c>
      <c r="F129" s="103" t="n">
        <v>66.9</v>
      </c>
      <c r="G129" s="0">
        <f>IF(ISBLANK(F129),IF(E129&gt;21.0,"Atrativo",IF(E129&lt;21.0,"Pouco atrativo","-")),IF(F129&lt;66.9,"Atrativo",IF(F129&gt;66.9,"Pouco atrativo","-")))</f>
      </c>
      <c r="H129" s="102">
        <f>IF(ISBLANK(F129),IF(E129=21,"$ 51.12","-"),IF(F129=66.9,"$ 51.12","-"))</f>
      </c>
      <c r="I129" s="103"/>
      <c r="J129" s="103"/>
      <c r="L129" s="104" t="s">
        <v>180</v>
      </c>
      <c r="M129" s="105" t="s">
        <v>181</v>
      </c>
      <c r="N129" s="106"/>
    </row>
    <row r="130">
      <c r="A130" s="101" t="s">
        <v>615</v>
      </c>
      <c r="B130" s="100" t="s">
        <v>614</v>
      </c>
      <c r="C130" s="100" t="s">
        <v>526</v>
      </c>
      <c r="D130" s="102" t="n">
        <v>80.89</v>
      </c>
      <c r="E130" s="103" t="n">
        <v>22.0</v>
      </c>
      <c r="F130" s="103" t="n">
        <v>63.9</v>
      </c>
      <c r="G130" s="0">
        <f>IF(ISBLANK(F130),IF(E130&gt;22.0,"Atrativo",IF(E130&lt;22.0,"Pouco atrativo","-")),IF(F130&lt;63.9,"Atrativo",IF(F130&gt;63.9,"Pouco atrativo","-")))</f>
      </c>
      <c r="H130" s="102">
        <f>IF(ISBLANK(F130),IF(E130=22,"$ 48.48","-"),IF(F130=63.9,"$ 48.48","-"))</f>
      </c>
      <c r="I130" s="103"/>
      <c r="J130" s="103"/>
      <c r="L130" s="104" t="s">
        <v>180</v>
      </c>
      <c r="M130" s="105" t="s">
        <v>181</v>
      </c>
      <c r="N130" s="106"/>
    </row>
    <row r="131">
      <c r="A131" s="101" t="s">
        <v>618</v>
      </c>
      <c r="B131" s="100" t="s">
        <v>617</v>
      </c>
      <c r="C131" s="100" t="s">
        <v>619</v>
      </c>
      <c r="D131" s="102" t="n">
        <v>336.59</v>
      </c>
      <c r="E131" s="103" t="n">
        <v>21.0</v>
      </c>
      <c r="F131" s="103" t="n">
        <v>265.91</v>
      </c>
      <c r="G131" s="0">
        <f>IF(ISBLANK(F131),IF(E131&gt;21.0,"Atrativo",IF(E131&lt;21.0,"Pouco atrativo","-")),IF(F131&lt;265.91,"Atrativo",IF(F131&gt;265.91,"Pouco atrativo","-")))</f>
      </c>
      <c r="H131" s="102">
        <f>IF(ISBLANK(F131),IF(E131=21,"$ 200.81","-"),IF(F131=265.91,"$ 200.81","-"))</f>
      </c>
      <c r="I131" s="103"/>
      <c r="J131" s="103"/>
      <c r="L131" s="104" t="s">
        <v>180</v>
      </c>
      <c r="M131" s="105" t="s">
        <v>181</v>
      </c>
      <c r="N131" s="106"/>
    </row>
    <row r="132">
      <c r="A132" s="101" t="s">
        <v>622</v>
      </c>
      <c r="B132" s="100" t="s">
        <v>621</v>
      </c>
      <c r="C132" s="100" t="s">
        <v>623</v>
      </c>
      <c r="D132" s="102" t="n">
        <v>332.79</v>
      </c>
      <c r="E132" s="103" t="n">
        <v>22.0</v>
      </c>
      <c r="F132" s="103" t="n">
        <v>262.9</v>
      </c>
      <c r="G132" s="0">
        <f>IF(ISBLANK(F132),IF(E132&gt;22.0,"Atrativo",IF(E132&lt;22.0,"Pouco atrativo","-")),IF(F132&lt;262.9,"Atrativo",IF(F132&gt;262.9,"Pouco atrativo","-")))</f>
      </c>
      <c r="H132" s="102">
        <f>IF(ISBLANK(F132),IF(E132=22,"$ 199.89","-"),IF(F132=262.9,"$ 199.89","-"))</f>
      </c>
      <c r="I132" s="103"/>
      <c r="J132" s="103"/>
      <c r="L132" s="104" t="s">
        <v>180</v>
      </c>
      <c r="M132" s="105" t="s">
        <v>181</v>
      </c>
      <c r="N132" s="106"/>
    </row>
    <row r="133">
      <c r="A133" s="101" t="s">
        <v>626</v>
      </c>
      <c r="B133" s="100" t="s">
        <v>625</v>
      </c>
      <c r="C133" s="100" t="s">
        <v>627</v>
      </c>
      <c r="D133" s="102" t="n">
        <v>70.9</v>
      </c>
      <c r="E133" s="103" t="n">
        <v>8.0</v>
      </c>
      <c r="F133" s="103" t="n">
        <v>65.22</v>
      </c>
      <c r="G133" s="0">
        <f>IF(ISBLANK(F133),IF(E133&gt;=8.0,"Atrativo","Pouco atrativo"),IF(F133&lt;=65.83,"Atrativo","Pouco atrativo"))</f>
      </c>
      <c r="H133" s="102">
        <f>IF(ISBLANK(F133),IF(E133=8,"$ 50.51","-"),IF(F133=65.22,"$ 50.51","-"))</f>
      </c>
      <c r="I133" s="103"/>
      <c r="J133" s="103"/>
      <c r="L133" s="104" t="s">
        <v>295</v>
      </c>
      <c r="M133" s="105" t="s">
        <v>181</v>
      </c>
      <c r="N133" s="106"/>
    </row>
    <row r="134">
      <c r="A134" s="101" t="s">
        <v>630</v>
      </c>
      <c r="B134" s="100" t="s">
        <v>629</v>
      </c>
      <c r="C134" s="100" t="s">
        <v>631</v>
      </c>
      <c r="D134" s="102" t="n">
        <v>140.38</v>
      </c>
      <c r="E134" s="103" t="n">
        <v>21.0</v>
      </c>
      <c r="F134" s="103" t="n">
        <v>110.9</v>
      </c>
      <c r="G134" s="0">
        <f>IF(ISBLANK(F134),IF(E134&gt;21.0,"Atrativo",IF(E134&lt;21.0,"Pouco atrativo","-")),IF(F134&lt;110.9,"Atrativo",IF(F134&gt;110.9,"Pouco atrativo","-")))</f>
      </c>
      <c r="H134" s="102">
        <f>IF(ISBLANK(F134),IF(E134=21,"$ 77.70","-"),IF(F134=110.9,"$ 77.70","-"))</f>
      </c>
      <c r="I134" s="103"/>
      <c r="J134" s="103"/>
      <c r="L134" s="104" t="s">
        <v>180</v>
      </c>
      <c r="M134" s="105" t="s">
        <v>181</v>
      </c>
      <c r="N134" s="106"/>
    </row>
    <row r="135">
      <c r="A135" s="101" t="s">
        <v>634</v>
      </c>
      <c r="B135" s="100" t="s">
        <v>633</v>
      </c>
      <c r="C135" s="100" t="s">
        <v>635</v>
      </c>
      <c r="D135" s="102" t="n">
        <v>164.08</v>
      </c>
      <c r="E135" s="103" t="n">
        <v>21.0</v>
      </c>
      <c r="F135" s="103" t="n">
        <v>131.26</v>
      </c>
      <c r="G135" s="0">
        <f>IF(ISBLANK(F135),IF(E135&gt;21.0,"Atrativo",IF(E135&lt;21.0,"Pouco atrativo","-")),IF(F135&lt;131.26,"Atrativo",IF(F135&gt;131.26,"Pouco atrativo","-")))</f>
      </c>
      <c r="H135" s="102">
        <f>IF(ISBLANK(F135),IF(E135=21,"$ 90.10","-"),IF(F135=131.26,"$ 90.10","-"))</f>
      </c>
      <c r="I135" s="103"/>
      <c r="J135" s="103"/>
      <c r="L135" s="104" t="s">
        <v>180</v>
      </c>
      <c r="M135" s="105" t="s">
        <v>181</v>
      </c>
      <c r="N135" s="106"/>
    </row>
    <row r="136">
      <c r="A136" s="101" t="s">
        <v>638</v>
      </c>
      <c r="B136" s="100" t="s">
        <v>637</v>
      </c>
      <c r="C136" s="100" t="s">
        <v>639</v>
      </c>
      <c r="D136" s="102" t="n">
        <v>53.17</v>
      </c>
      <c r="E136" s="103" t="n">
        <v>22.0</v>
      </c>
      <c r="F136" s="103" t="n">
        <v>42.0</v>
      </c>
      <c r="G136" s="0">
        <f>IF(ISBLANK(F136),IF(E136&gt;22.0,"Atrativo",IF(E136&lt;22.0,"Pouco atrativo","-")),IF(F136&lt;42.0,"Atrativo",IF(F136&gt;42.0,"Pouco atrativo","-")))</f>
      </c>
      <c r="H136" s="102">
        <f>IF(ISBLANK(F136),IF(E136=22,"$ 28.42","-"),IF(F136=42,"$ 28.42","-"))</f>
      </c>
      <c r="I136" s="103"/>
      <c r="J136" s="103"/>
      <c r="L136" s="104" t="s">
        <v>180</v>
      </c>
      <c r="M136" s="105" t="s">
        <v>181</v>
      </c>
      <c r="N136" s="106"/>
    </row>
    <row r="137">
      <c r="A137" s="101" t="s">
        <v>642</v>
      </c>
      <c r="B137" s="100" t="s">
        <v>641</v>
      </c>
      <c r="C137" s="100" t="s">
        <v>643</v>
      </c>
      <c r="D137" s="102" t="n">
        <v>289.75</v>
      </c>
      <c r="E137" s="103" t="n">
        <v>21.0</v>
      </c>
      <c r="F137" s="103" t="n">
        <v>228.9</v>
      </c>
      <c r="G137" s="0">
        <f>IF(ISBLANK(F137),IF(E137&gt;21.0,"Atrativo",IF(E137&lt;21.0,"Pouco atrativo","-")),IF(F137&lt;228.9,"Atrativo",IF(F137&gt;228.9,"Pouco atrativo","-")))</f>
      </c>
      <c r="H137" s="102">
        <f>IF(ISBLANK(F137),IF(E137=21,"$ 167.44","-"),IF(F137=228.9,"$ 167.44","-"))</f>
      </c>
      <c r="I137" s="103"/>
      <c r="J137" s="103"/>
      <c r="L137" s="104" t="s">
        <v>180</v>
      </c>
      <c r="M137" s="105" t="s">
        <v>181</v>
      </c>
      <c r="N137" s="106"/>
    </row>
    <row r="138">
      <c r="A138" s="101" t="s">
        <v>646</v>
      </c>
      <c r="B138" s="100" t="s">
        <v>645</v>
      </c>
      <c r="C138" s="100" t="s">
        <v>643</v>
      </c>
      <c r="D138" s="102" t="n">
        <v>299.88</v>
      </c>
      <c r="E138" s="103" t="n">
        <v>21.0</v>
      </c>
      <c r="F138" s="103" t="n">
        <v>236.91</v>
      </c>
      <c r="G138" s="0">
        <f>IF(ISBLANK(F138),IF(E138&gt;21.0,"Atrativo",IF(E138&lt;21.0,"Pouco atrativo","-")),IF(F138&lt;236.91,"Atrativo",IF(F138&gt;236.91,"Pouco atrativo","-")))</f>
      </c>
      <c r="H138" s="102">
        <f>IF(ISBLANK(F138),IF(E138=21,"$ 174.09","-"),IF(F138=236.91,"$ 174.09","-"))</f>
      </c>
      <c r="I138" s="103"/>
      <c r="J138" s="103"/>
      <c r="L138" s="104" t="s">
        <v>180</v>
      </c>
      <c r="M138" s="105" t="s">
        <v>181</v>
      </c>
      <c r="N138" s="106"/>
    </row>
    <row r="139">
      <c r="A139" s="101" t="s">
        <v>649</v>
      </c>
      <c r="B139" s="100" t="s">
        <v>648</v>
      </c>
      <c r="C139" s="100" t="s">
        <v>643</v>
      </c>
      <c r="D139" s="102" t="n">
        <v>313.8</v>
      </c>
      <c r="E139" s="103" t="n">
        <v>21.0</v>
      </c>
      <c r="F139" s="103" t="n">
        <v>247.9</v>
      </c>
      <c r="G139" s="0">
        <f>IF(ISBLANK(F139),IF(E139&gt;21.0,"Atrativo",IF(E139&lt;21.0,"Pouco atrativo","-")),IF(F139&lt;247.9,"Atrativo",IF(F139&gt;247.9,"Pouco atrativo","-")))</f>
      </c>
      <c r="H139" s="102">
        <f>IF(ISBLANK(F139),IF(E139=21,"$ 185.69","-"),IF(F139=247.9,"$ 185.69","-"))</f>
      </c>
      <c r="I139" s="103"/>
      <c r="J139" s="103"/>
      <c r="L139" s="104" t="s">
        <v>180</v>
      </c>
      <c r="M139" s="105" t="s">
        <v>181</v>
      </c>
      <c r="N139" s="106"/>
    </row>
    <row r="140">
      <c r="A140" s="101" t="s">
        <v>652</v>
      </c>
      <c r="B140" s="100" t="s">
        <v>651</v>
      </c>
      <c r="C140" s="100" t="s">
        <v>653</v>
      </c>
      <c r="D140" s="102" t="n">
        <v>105.0</v>
      </c>
      <c r="E140" s="103" t="n">
        <v>5.0</v>
      </c>
      <c r="F140" s="103" t="n">
        <v>99.75</v>
      </c>
      <c r="G140" s="107" t="s">
        <v>294</v>
      </c>
      <c r="H140" s="102">
        <f>IF(ISBLANK(F140),IF(E140=5,"$ 70.44","-"),IF(F140=99.75,"$ 70.44","-"))</f>
      </c>
      <c r="I140" s="103"/>
      <c r="J140" s="103"/>
      <c r="L140" s="104" t="s">
        <v>295</v>
      </c>
      <c r="M140" s="105" t="s">
        <v>181</v>
      </c>
      <c r="N140" s="101" t="s">
        <v>296</v>
      </c>
    </row>
    <row r="141">
      <c r="A141" s="101" t="s">
        <v>656</v>
      </c>
      <c r="B141" s="100" t="s">
        <v>655</v>
      </c>
      <c r="C141" s="100" t="s">
        <v>657</v>
      </c>
      <c r="D141" s="102" t="n">
        <v>330.26</v>
      </c>
      <c r="E141" s="103" t="n">
        <v>21.0</v>
      </c>
      <c r="F141" s="103" t="n">
        <v>260.91</v>
      </c>
      <c r="G141" s="0">
        <f>IF(ISBLANK(F141),IF(E141&gt;21.0,"Atrativo",IF(E141&lt;21.0,"Pouco atrativo","-")),IF(F141&lt;260.91,"Atrativo",IF(F141&gt;260.91,"Pouco atrativo","-")))</f>
      </c>
      <c r="H141" s="102">
        <f>IF(ISBLANK(F141),IF(E141=21,"$ 194.01","-"),IF(F141=260.91,"$ 194.01","-"))</f>
      </c>
      <c r="I141" s="103"/>
      <c r="J141" s="103"/>
      <c r="L141" s="104" t="s">
        <v>180</v>
      </c>
      <c r="M141" s="105" t="s">
        <v>181</v>
      </c>
      <c r="N141" s="106"/>
    </row>
    <row r="142">
      <c r="A142" s="101" t="s">
        <v>660</v>
      </c>
      <c r="B142" s="100" t="s">
        <v>659</v>
      </c>
      <c r="C142" s="100" t="s">
        <v>502</v>
      </c>
      <c r="D142" s="102" t="n">
        <v>231.52</v>
      </c>
      <c r="E142" s="103" t="n">
        <v>21.0</v>
      </c>
      <c r="F142" s="103" t="n">
        <v>182.9</v>
      </c>
      <c r="G142" s="0">
        <f>IF(ISBLANK(F142),IF(E142&gt;21.0,"Atrativo",IF(E142&lt;21.0,"Pouco atrativo","-")),IF(F142&lt;182.9,"Atrativo",IF(F142&gt;182.9,"Pouco atrativo","-")))</f>
      </c>
      <c r="H142" s="102">
        <f>IF(ISBLANK(F142),IF(E142=21,"$ 133.36","-"),IF(F142=182.9,"$ 133.36","-"))</f>
      </c>
      <c r="I142" s="103"/>
      <c r="J142" s="103"/>
      <c r="L142" s="104" t="s">
        <v>180</v>
      </c>
      <c r="M142" s="105" t="s">
        <v>181</v>
      </c>
      <c r="N142" s="106"/>
    </row>
    <row r="143">
      <c r="A143" s="101" t="s">
        <v>663</v>
      </c>
      <c r="B143" s="100" t="s">
        <v>662</v>
      </c>
      <c r="C143" s="100" t="s">
        <v>502</v>
      </c>
      <c r="D143" s="102" t="n">
        <v>363.17</v>
      </c>
      <c r="E143" s="103" t="n">
        <v>22.0</v>
      </c>
      <c r="F143" s="103" t="n">
        <v>286.9</v>
      </c>
      <c r="G143" s="0">
        <f>IF(ISBLANK(F143),IF(E143&gt;22.0,"Atrativo",IF(E143&lt;22.0,"Pouco atrativo","-")),IF(F143&lt;286.9,"Atrativo",IF(F143&gt;286.9,"Pouco atrativo","-")))</f>
      </c>
      <c r="H143" s="102">
        <f>IF(ISBLANK(F143),IF(E143=22,"$ 217.18","-"),IF(F143=286.9,"$ 217.18","-"))</f>
      </c>
      <c r="I143" s="103"/>
      <c r="J143" s="103"/>
      <c r="L143" s="104" t="s">
        <v>180</v>
      </c>
      <c r="M143" s="105" t="s">
        <v>181</v>
      </c>
      <c r="N143" s="106"/>
    </row>
    <row r="144">
      <c r="A144" s="101" t="s">
        <v>666</v>
      </c>
      <c r="B144" s="100" t="s">
        <v>665</v>
      </c>
      <c r="C144" s="100" t="s">
        <v>667</v>
      </c>
      <c r="D144" s="102" t="n">
        <v>297.35</v>
      </c>
      <c r="E144" s="103" t="n">
        <v>21.0</v>
      </c>
      <c r="F144" s="103" t="n">
        <v>234.99</v>
      </c>
      <c r="G144" s="0">
        <f>IF(ISBLANK(F144),IF(E144&gt;21.0,"Atrativo",IF(E144&lt;21.0,"Pouco atrativo","-")),IF(F144&lt;234.99,"Atrativo",IF(F144&gt;234.99,"Pouco atrativo","-")))</f>
      </c>
      <c r="H144" s="102">
        <f>IF(ISBLANK(F144),IF(E144=21,"$ 174.09","-"),IF(F144=234.99,"$ 174.09","-"))</f>
      </c>
      <c r="I144" s="103"/>
      <c r="J144" s="103"/>
      <c r="L144" s="104" t="s">
        <v>180</v>
      </c>
      <c r="M144" s="105" t="s">
        <v>181</v>
      </c>
      <c r="N144" s="106"/>
    </row>
    <row r="145">
      <c r="A145" s="101" t="s">
        <v>669</v>
      </c>
      <c r="B145" s="100" t="s">
        <v>668</v>
      </c>
      <c r="C145" s="100" t="s">
        <v>670</v>
      </c>
      <c r="D145" s="102" t="n">
        <v>3249.28</v>
      </c>
      <c r="E145" s="103" t="n">
        <v>21.0</v>
      </c>
      <c r="F145" s="103" t="n">
        <v>2566.93</v>
      </c>
      <c r="G145" s="0">
        <f>IF(ISBLANK(F145),IF(E145&gt;21.0,"Atrativo",IF(E145&lt;21.0,"Pouco atrativo","-")),IF(F145&lt;2566.93,"Atrativo",IF(F145&gt;2566.93,"Pouco atrativo","-")))</f>
      </c>
      <c r="H145" s="102">
        <f>IF(ISBLANK(F145),IF(E145=21,"$ 2"&amp;CHAR(44)&amp;"232.65","-"),IF(F145=2566.93,"$ 2"&amp;CHAR(44)&amp;"232.65","-"))</f>
      </c>
      <c r="I145" s="103"/>
      <c r="J145" s="103"/>
      <c r="L145" s="104" t="s">
        <v>180</v>
      </c>
      <c r="M145" s="105" t="s">
        <v>181</v>
      </c>
      <c r="N145" s="106"/>
    </row>
    <row r="146">
      <c r="A146" s="101" t="s">
        <v>673</v>
      </c>
      <c r="B146" s="100" t="s">
        <v>672</v>
      </c>
      <c r="C146" s="100" t="s">
        <v>674</v>
      </c>
      <c r="D146" s="102" t="n">
        <v>628.99</v>
      </c>
      <c r="E146" s="103" t="n">
        <v>21.0</v>
      </c>
      <c r="F146" s="103" t="n">
        <v>496.9</v>
      </c>
      <c r="G146" s="0">
        <f>IF(ISBLANK(F146),IF(E146&gt;21.0,"Atrativo",IF(E146&lt;21.0,"Pouco atrativo","-")),IF(F146&lt;496.9,"Atrativo",IF(F146&gt;496.9,"Pouco atrativo","-")))</f>
      </c>
      <c r="H146" s="102">
        <f>IF(ISBLANK(F146),IF(E146=21,"$ 387.78","-"),IF(F146=496.9,"$ 387.78","-"))</f>
      </c>
      <c r="I146" s="103"/>
      <c r="J146" s="103"/>
      <c r="L146" s="104" t="s">
        <v>180</v>
      </c>
      <c r="M146" s="105" t="s">
        <v>181</v>
      </c>
      <c r="N146" s="106"/>
    </row>
    <row r="147">
      <c r="A147" s="101" t="s">
        <v>677</v>
      </c>
      <c r="B147" s="100" t="s">
        <v>676</v>
      </c>
      <c r="C147" s="100" t="s">
        <v>678</v>
      </c>
      <c r="D147" s="102" t="n">
        <v>208.85</v>
      </c>
      <c r="E147" s="103" t="n">
        <v>21.0</v>
      </c>
      <c r="F147" s="103" t="n">
        <v>164.99</v>
      </c>
      <c r="G147" s="0">
        <f>IF(ISBLANK(F147),IF(E147&gt;21.0,"Atrativo",IF(E147&lt;21.0,"Pouco atrativo","-")),IF(F147&lt;164.99,"Atrativo",IF(F147&gt;164.99,"Pouco atrativo","-")))</f>
      </c>
      <c r="H147" s="102">
        <f>IF(ISBLANK(F147),IF(E147=21,"$ 117.09","-"),IF(F147=164.99,"$ 117.09","-"))</f>
      </c>
      <c r="I147" s="103"/>
      <c r="J147" s="103"/>
      <c r="L147" s="104" t="s">
        <v>180</v>
      </c>
      <c r="M147" s="105" t="s">
        <v>181</v>
      </c>
      <c r="N147" s="106"/>
    </row>
    <row r="148">
      <c r="A148" s="101" t="s">
        <v>681</v>
      </c>
      <c r="B148" s="100" t="s">
        <v>680</v>
      </c>
      <c r="C148" s="100" t="s">
        <v>678</v>
      </c>
      <c r="D148" s="102" t="n">
        <v>115.06</v>
      </c>
      <c r="E148" s="103" t="n">
        <v>21.0</v>
      </c>
      <c r="F148" s="103" t="n">
        <v>90.9</v>
      </c>
      <c r="G148" s="0">
        <f>IF(ISBLANK(F148),IF(E148&gt;21.0,"Atrativo",IF(E148&lt;21.0,"Pouco atrativo","-")),IF(F148&lt;90.9,"Atrativo",IF(F148&gt;90.9,"Pouco atrativo","-")))</f>
      </c>
      <c r="H148" s="102">
        <f>IF(ISBLANK(F148),IF(E148=21,"$ 66.74","-"),IF(F148=90.9,"$ 66.74","-"))</f>
      </c>
      <c r="I148" s="103"/>
      <c r="J148" s="103"/>
      <c r="L148" s="104" t="s">
        <v>180</v>
      </c>
      <c r="M148" s="105" t="s">
        <v>181</v>
      </c>
      <c r="N148" s="106"/>
    </row>
    <row r="149">
      <c r="A149" s="101" t="s">
        <v>684</v>
      </c>
      <c r="B149" s="100" t="s">
        <v>683</v>
      </c>
      <c r="C149" s="100" t="s">
        <v>678</v>
      </c>
      <c r="D149" s="102" t="n">
        <v>185.95</v>
      </c>
      <c r="E149" s="103" t="n">
        <v>21.0</v>
      </c>
      <c r="F149" s="103" t="n">
        <v>146.9</v>
      </c>
      <c r="G149" s="0">
        <f>IF(ISBLANK(F149),IF(E149&gt;21.0,"Atrativo",IF(E149&lt;21.0,"Pouco atrativo","-")),IF(F149&lt;146.9,"Atrativo",IF(F149&gt;146.9,"Pouco atrativo","-")))</f>
      </c>
      <c r="H149" s="102">
        <f>IF(ISBLANK(F149),IF(E149=21,"$ 103.08","-"),IF(F149=146.9,"$ 103.08","-"))</f>
      </c>
      <c r="I149" s="103"/>
      <c r="J149" s="103"/>
      <c r="L149" s="104" t="s">
        <v>180</v>
      </c>
      <c r="M149" s="105" t="s">
        <v>181</v>
      </c>
      <c r="N149" s="106"/>
    </row>
    <row r="150">
      <c r="A150" s="101" t="s">
        <v>687</v>
      </c>
      <c r="B150" s="100" t="s">
        <v>686</v>
      </c>
      <c r="C150" s="100" t="s">
        <v>688</v>
      </c>
      <c r="D150" s="102" t="n">
        <v>231.52</v>
      </c>
      <c r="E150" s="103" t="n">
        <v>21.0</v>
      </c>
      <c r="F150" s="103" t="n">
        <v>182.9</v>
      </c>
      <c r="G150" s="0">
        <f>IF(ISBLANK(F150),IF(E150&gt;21.0,"Atrativo",IF(E150&lt;21.0,"Pouco atrativo","-")),IF(F150&lt;182.9,"Atrativo",IF(F150&gt;182.9,"Pouco atrativo","-")))</f>
      </c>
      <c r="H150" s="102">
        <f>IF(ISBLANK(F150),IF(E150=21,"$ 131.96","-"),IF(F150=182.9,"$ 131.96","-"))</f>
      </c>
      <c r="I150" s="103"/>
      <c r="J150" s="103"/>
      <c r="L150" s="104" t="s">
        <v>180</v>
      </c>
      <c r="M150" s="105" t="s">
        <v>181</v>
      </c>
      <c r="N150" s="106"/>
    </row>
    <row r="151">
      <c r="A151" s="101" t="s">
        <v>691</v>
      </c>
      <c r="B151" s="100" t="s">
        <v>690</v>
      </c>
      <c r="C151" s="100" t="s">
        <v>688</v>
      </c>
      <c r="D151" s="102" t="n">
        <v>198.61</v>
      </c>
      <c r="E151" s="103" t="n">
        <v>23.0</v>
      </c>
      <c r="F151" s="103" t="n">
        <v>153.9</v>
      </c>
      <c r="G151" s="0">
        <f>IF(ISBLANK(F151),IF(E151&gt;23.0,"Atrativo",IF(E151&lt;23.0,"Pouco atrativo","-")),IF(F151&lt;153.9,"Atrativo",IF(F151&gt;153.9,"Pouco atrativo","-")))</f>
      </c>
      <c r="H151" s="102">
        <f>IF(ISBLANK(F151),IF(E151=23,"$ 115.58","-"),IF(F151=153.9,"$ 115.58","-"))</f>
      </c>
      <c r="I151" s="103"/>
      <c r="J151" s="103"/>
      <c r="L151" s="104" t="s">
        <v>180</v>
      </c>
      <c r="M151" s="105" t="s">
        <v>181</v>
      </c>
      <c r="N151" s="106"/>
    </row>
    <row r="152">
      <c r="A152" s="101" t="s">
        <v>694</v>
      </c>
      <c r="B152" s="100" t="s">
        <v>693</v>
      </c>
      <c r="C152" s="100" t="s">
        <v>688</v>
      </c>
      <c r="D152" s="102" t="n">
        <v>199.88</v>
      </c>
      <c r="E152" s="103" t="n">
        <v>21.0</v>
      </c>
      <c r="F152" s="103" t="n">
        <v>157.91</v>
      </c>
      <c r="G152" s="0">
        <f>IF(ISBLANK(F152),IF(E152&gt;21.0,"Atrativo",IF(E152&lt;21.0,"Pouco atrativo","-")),IF(F152&lt;157.91,"Atrativo",IF(F152&gt;157.91,"Pouco atrativo","-")))</f>
      </c>
      <c r="H152" s="102">
        <f>IF(ISBLANK(F152),IF(E152=21,"$ 119.11","-"),IF(F152=157.91,"$ 119.11","-"))</f>
      </c>
      <c r="I152" s="103"/>
      <c r="J152" s="103"/>
      <c r="L152" s="104" t="s">
        <v>180</v>
      </c>
      <c r="M152" s="105" t="s">
        <v>181</v>
      </c>
      <c r="N152" s="106"/>
    </row>
    <row r="153">
      <c r="A153" s="101" t="s">
        <v>697</v>
      </c>
      <c r="B153" s="100" t="s">
        <v>696</v>
      </c>
      <c r="C153" s="100" t="s">
        <v>698</v>
      </c>
      <c r="D153" s="102" t="n">
        <v>97.34</v>
      </c>
      <c r="E153" s="103" t="n">
        <v>21.0</v>
      </c>
      <c r="F153" s="103" t="n">
        <v>76.9</v>
      </c>
      <c r="G153" s="0">
        <f>IF(ISBLANK(F153),IF(E153&gt;21.0,"Atrativo",IF(E153&lt;21.0,"Pouco atrativo","-")),IF(F153&lt;76.9,"Atrativo",IF(F153&gt;76.9,"Pouco atrativo","-")))</f>
      </c>
      <c r="H153" s="102">
        <f>IF(ISBLANK(F153),IF(E153=21,"$ 59.92","-"),IF(F153=76.9,"$ 59.92","-"))</f>
      </c>
      <c r="I153" s="103"/>
      <c r="J153" s="103"/>
      <c r="L153" s="104" t="s">
        <v>180</v>
      </c>
      <c r="M153" s="105" t="s">
        <v>181</v>
      </c>
      <c r="N153" s="106"/>
    </row>
    <row r="154">
      <c r="A154" s="101" t="s">
        <v>701</v>
      </c>
      <c r="B154" s="100" t="s">
        <v>700</v>
      </c>
      <c r="C154" s="100" t="s">
        <v>702</v>
      </c>
      <c r="D154" s="102" t="n">
        <v>153.9</v>
      </c>
      <c r="E154" s="103" t="n">
        <v>5.0</v>
      </c>
      <c r="F154" s="103" t="n">
        <v>146.2</v>
      </c>
      <c r="G154" s="107" t="s">
        <v>294</v>
      </c>
      <c r="H154" s="102">
        <f>IF(ISBLANK(F154),IF(E154=5,"$ 104.90","-"),IF(F154=146.2,"$ 104.90","-"))</f>
      </c>
      <c r="I154" s="103"/>
      <c r="J154" s="103"/>
      <c r="L154" s="104" t="s">
        <v>295</v>
      </c>
      <c r="M154" s="105" t="s">
        <v>181</v>
      </c>
      <c r="N154" s="101" t="s">
        <v>296</v>
      </c>
    </row>
    <row r="155">
      <c r="A155" s="101" t="s">
        <v>705</v>
      </c>
      <c r="B155" s="100" t="s">
        <v>704</v>
      </c>
      <c r="C155" s="100" t="s">
        <v>702</v>
      </c>
      <c r="D155" s="102" t="n">
        <v>161.9</v>
      </c>
      <c r="E155" s="103" t="n">
        <v>21.0</v>
      </c>
      <c r="F155" s="103" t="n">
        <v>127.9</v>
      </c>
      <c r="G155" s="0">
        <f>IF(ISBLANK(F155),IF(E155&gt;21.0,"Atrativo",IF(E155&lt;21.0,"Pouco atrativo","-")),IF(F155&lt;127.9,"Atrativo",IF(F155&gt;127.9,"Pouco atrativo","-")))</f>
      </c>
      <c r="H155" s="102">
        <f>IF(ISBLANK(F155),IF(E155=21,"$ 89.71","-"),IF(F155=127.9,"$ 89.71","-"))</f>
      </c>
      <c r="I155" s="103"/>
      <c r="J155" s="103"/>
      <c r="L155" s="104" t="s">
        <v>180</v>
      </c>
      <c r="M155" s="105" t="s">
        <v>181</v>
      </c>
      <c r="N155" s="106"/>
    </row>
    <row r="156">
      <c r="A156" s="101" t="s">
        <v>708</v>
      </c>
      <c r="B156" s="100" t="s">
        <v>707</v>
      </c>
      <c r="C156" s="100" t="s">
        <v>702</v>
      </c>
      <c r="D156" s="102" t="n">
        <v>199.88</v>
      </c>
      <c r="E156" s="103" t="n">
        <v>21.0</v>
      </c>
      <c r="F156" s="103" t="n">
        <v>157.91</v>
      </c>
      <c r="G156" s="0">
        <f>IF(ISBLANK(F156),IF(E156&gt;21.0,"Atrativo",IF(E156&lt;21.0,"Pouco atrativo","-")),IF(F156&lt;157.91,"Atrativo",IF(F156&gt;157.91,"Pouco atrativo","-")))</f>
      </c>
      <c r="H156" s="102">
        <f>IF(ISBLANK(F156),IF(E156=21,"$ 112.62","-"),IF(F156=157.91,"$ 112.62","-"))</f>
      </c>
      <c r="I156" s="103"/>
      <c r="J156" s="103"/>
      <c r="L156" s="104" t="s">
        <v>180</v>
      </c>
      <c r="M156" s="105" t="s">
        <v>181</v>
      </c>
      <c r="N156" s="106"/>
    </row>
    <row r="157">
      <c r="A157" s="101" t="s">
        <v>711</v>
      </c>
      <c r="B157" s="100" t="s">
        <v>710</v>
      </c>
      <c r="C157" s="100" t="s">
        <v>712</v>
      </c>
      <c r="D157" s="102" t="n">
        <v>131.52</v>
      </c>
      <c r="E157" s="103" t="n">
        <v>21.0</v>
      </c>
      <c r="F157" s="103" t="n">
        <v>103.9</v>
      </c>
      <c r="G157" s="0">
        <f>IF(ISBLANK(F157),IF(E157&gt;21.0,"Atrativo",IF(E157&lt;21.0,"Pouco atrativo","-")),IF(F157&lt;103.9,"Atrativo",IF(F157&gt;103.9,"Pouco atrativo","-")))</f>
      </c>
      <c r="H157" s="102">
        <f>IF(ISBLANK(F157),IF(E157=21,"$ 77.08","-"),IF(F157=103.9,"$ 77.08","-"))</f>
      </c>
      <c r="I157" s="103"/>
      <c r="J157" s="103"/>
      <c r="L157" s="104" t="s">
        <v>180</v>
      </c>
      <c r="M157" s="105" t="s">
        <v>181</v>
      </c>
      <c r="N157" s="106"/>
    </row>
    <row r="158">
      <c r="A158" s="101" t="s">
        <v>715</v>
      </c>
      <c r="B158" s="100" t="s">
        <v>714</v>
      </c>
      <c r="C158" s="100" t="s">
        <v>716</v>
      </c>
      <c r="D158" s="102" t="n">
        <v>137.47</v>
      </c>
      <c r="E158" s="103" t="n">
        <v>21.0</v>
      </c>
      <c r="F158" s="103" t="n">
        <v>108.6</v>
      </c>
      <c r="G158" s="0">
        <f>IF(ISBLANK(F158),IF(E158&gt;21.0,"Atrativo",IF(E158&lt;21.0,"Pouco atrativo","-")),IF(F158&lt;108.6,"Atrativo",IF(F158&gt;108.6,"Pouco atrativo","-")))</f>
      </c>
      <c r="H158" s="102">
        <f>IF(ISBLANK(F158),IF(E158=21,"$ 80.12","-"),IF(F158=108.6,"$ 80.12","-"))</f>
      </c>
      <c r="I158" s="103"/>
      <c r="J158" s="103"/>
      <c r="L158" s="104" t="s">
        <v>180</v>
      </c>
      <c r="M158" s="105" t="s">
        <v>181</v>
      </c>
      <c r="N158" s="106"/>
    </row>
    <row r="159">
      <c r="A159" s="101" t="s">
        <v>719</v>
      </c>
      <c r="B159" s="100" t="s">
        <v>718</v>
      </c>
      <c r="C159" s="100" t="s">
        <v>720</v>
      </c>
      <c r="D159" s="102" t="n">
        <v>363.17</v>
      </c>
      <c r="E159" s="103" t="n">
        <v>22.0</v>
      </c>
      <c r="F159" s="103" t="n">
        <v>286.9</v>
      </c>
      <c r="G159" s="0">
        <f>IF(ISBLANK(F159),IF(E159&gt;22.0,"Atrativo",IF(E159&lt;22.0,"Pouco atrativo","-")),IF(F159&lt;286.9,"Atrativo",IF(F159&gt;286.9,"Pouco atrativo","-")))</f>
      </c>
      <c r="H159" s="102">
        <f>IF(ISBLANK(F159),IF(E159=22,"$ 228.82","-"),IF(F159=286.9,"$ 228.82","-"))</f>
      </c>
      <c r="I159" s="103"/>
      <c r="J159" s="103"/>
      <c r="L159" s="104" t="s">
        <v>180</v>
      </c>
      <c r="M159" s="105" t="s">
        <v>181</v>
      </c>
      <c r="N159" s="106"/>
    </row>
    <row r="160">
      <c r="A160" s="101" t="s">
        <v>723</v>
      </c>
      <c r="B160" s="100" t="s">
        <v>722</v>
      </c>
      <c r="C160" s="100" t="s">
        <v>724</v>
      </c>
      <c r="D160" s="102" t="n">
        <v>36.7</v>
      </c>
      <c r="E160" s="103" t="n">
        <v>22.0</v>
      </c>
      <c r="F160" s="103" t="n">
        <v>28.99</v>
      </c>
      <c r="G160" s="0">
        <f>IF(ISBLANK(F160),IF(E160&gt;22.0,"Atrativo",IF(E160&lt;22.0,"Pouco atrativo","-")),IF(F160&lt;28.99,"Atrativo",IF(F160&gt;28.99,"Pouco atrativo","-")))</f>
      </c>
      <c r="H160" s="102">
        <f>IF(ISBLANK(F160),IF(E160=22,"$ 18.96","-"),IF(F160=28.99,"$ 18.96","-"))</f>
      </c>
      <c r="I160" s="103"/>
      <c r="J160" s="103"/>
      <c r="L160" s="104" t="s">
        <v>180</v>
      </c>
      <c r="M160" s="105" t="s">
        <v>181</v>
      </c>
      <c r="N160" s="106"/>
    </row>
    <row r="161">
      <c r="A161" s="101" t="s">
        <v>727</v>
      </c>
      <c r="B161" s="100" t="s">
        <v>726</v>
      </c>
      <c r="C161" s="100" t="s">
        <v>728</v>
      </c>
      <c r="D161" s="102" t="n">
        <v>53.9</v>
      </c>
      <c r="E161" s="103" t="n">
        <v>22.0</v>
      </c>
      <c r="F161" s="103" t="n">
        <v>42.58</v>
      </c>
      <c r="G161" s="0">
        <f>IF(ISBLANK(F161),IF(E161&gt;22.0,"Atrativo",IF(E161&lt;22.0,"Pouco atrativo","-")),IF(F161&lt;42.58,"Atrativo",IF(F161&gt;42.58,"Pouco atrativo","-")))</f>
      </c>
      <c r="H161" s="102">
        <f>IF(ISBLANK(F161),IF(E161=22,"$ 30.92","-"),IF(F161=42.58,"$ 30.92","-"))</f>
      </c>
      <c r="I161" s="103"/>
      <c r="J161" s="103"/>
      <c r="L161" s="104" t="s">
        <v>180</v>
      </c>
      <c r="M161" s="105" t="s">
        <v>181</v>
      </c>
      <c r="N161" s="106"/>
    </row>
    <row r="162">
      <c r="A162" s="101" t="s">
        <v>731</v>
      </c>
      <c r="B162" s="100" t="s">
        <v>730</v>
      </c>
      <c r="C162" s="100" t="s">
        <v>732</v>
      </c>
      <c r="D162" s="102" t="n">
        <v>52.91</v>
      </c>
      <c r="E162" s="103" t="n">
        <v>5.0</v>
      </c>
      <c r="F162" s="103" t="n">
        <v>50.26</v>
      </c>
      <c r="G162" s="107" t="s">
        <v>294</v>
      </c>
      <c r="H162" s="102">
        <f>IF(ISBLANK(F162),IF(E162=5,"$ 36.48","-"),IF(F162=50.26,"$ 36.48","-"))</f>
      </c>
      <c r="I162" s="103"/>
      <c r="J162" s="103"/>
      <c r="L162" s="104" t="s">
        <v>295</v>
      </c>
      <c r="M162" s="105" t="s">
        <v>181</v>
      </c>
      <c r="N162" s="101" t="s">
        <v>296</v>
      </c>
    </row>
    <row r="163">
      <c r="A163" s="101" t="s">
        <v>735</v>
      </c>
      <c r="B163" s="100" t="s">
        <v>734</v>
      </c>
      <c r="C163" s="100" t="s">
        <v>736</v>
      </c>
      <c r="D163" s="102" t="n">
        <v>94.81</v>
      </c>
      <c r="E163" s="103" t="n">
        <v>21.0</v>
      </c>
      <c r="F163" s="103" t="n">
        <v>74.9</v>
      </c>
      <c r="G163" s="0">
        <f>IF(ISBLANK(F163),IF(E163&gt;21.0,"Atrativo",IF(E163&lt;21.0,"Pouco atrativo","-")),IF(F163&lt;74.9,"Atrativo",IF(F163&gt;74.9,"Pouco atrativo","-")))</f>
      </c>
      <c r="H163" s="102">
        <f>IF(ISBLANK(F163),IF(E163=21,"$ 58.06","-"),IF(F163=74.9,"$ 58.06","-"))</f>
      </c>
      <c r="I163" s="103"/>
      <c r="J163" s="103"/>
      <c r="L163" s="104" t="s">
        <v>180</v>
      </c>
      <c r="M163" s="105" t="s">
        <v>181</v>
      </c>
      <c r="N163" s="106"/>
    </row>
    <row r="164">
      <c r="A164" s="101" t="s">
        <v>739</v>
      </c>
      <c r="B164" s="100" t="s">
        <v>738</v>
      </c>
      <c r="C164" s="100" t="s">
        <v>736</v>
      </c>
      <c r="D164" s="102" t="n">
        <v>70.76</v>
      </c>
      <c r="E164" s="103" t="n">
        <v>21.0</v>
      </c>
      <c r="F164" s="103" t="n">
        <v>55.9</v>
      </c>
      <c r="G164" s="0">
        <f>IF(ISBLANK(F164),IF(E164&gt;21.0,"Atrativo",IF(E164&lt;21.0,"Pouco atrativo","-")),IF(F164&lt;55.9,"Atrativo",IF(F164&gt;55.9,"Pouco atrativo","-")))</f>
      </c>
      <c r="H164" s="102">
        <f>IF(ISBLANK(F164),IF(E164=21,"$ 38.45","-"),IF(F164=55.9,"$ 38.45","-"))</f>
      </c>
      <c r="I164" s="103"/>
      <c r="J164" s="103"/>
      <c r="L164" s="104" t="s">
        <v>180</v>
      </c>
      <c r="M164" s="105" t="s">
        <v>181</v>
      </c>
      <c r="N164" s="106"/>
    </row>
    <row r="165">
      <c r="A165" s="101" t="s">
        <v>742</v>
      </c>
      <c r="B165" s="100" t="s">
        <v>741</v>
      </c>
      <c r="C165" s="100" t="s">
        <v>743</v>
      </c>
      <c r="D165" s="102" t="n">
        <v>307.47</v>
      </c>
      <c r="E165" s="103" t="n">
        <v>21.0</v>
      </c>
      <c r="F165" s="103" t="n">
        <v>242.9</v>
      </c>
      <c r="G165" s="0">
        <f>IF(ISBLANK(F165),IF(E165&gt;21.0,"Atrativo",IF(E165&lt;21.0,"Pouco atrativo","-")),IF(F165&lt;242.9,"Atrativo",IF(F165&gt;242.9,"Pouco atrativo","-")))</f>
      </c>
      <c r="H165" s="102">
        <f>IF(ISBLANK(F165),IF(E165=21,"$ 180.66","-"),IF(F165=242.9,"$ 180.66","-"))</f>
      </c>
      <c r="I165" s="103"/>
      <c r="J165" s="103"/>
      <c r="L165" s="104" t="s">
        <v>180</v>
      </c>
      <c r="M165" s="105" t="s">
        <v>181</v>
      </c>
      <c r="N165" s="106"/>
    </row>
    <row r="166">
      <c r="A166" s="101" t="s">
        <v>746</v>
      </c>
      <c r="B166" s="100" t="s">
        <v>745</v>
      </c>
      <c r="C166" s="100" t="s">
        <v>743</v>
      </c>
      <c r="D166" s="102" t="n">
        <v>299.88</v>
      </c>
      <c r="E166" s="103" t="n">
        <v>21.0</v>
      </c>
      <c r="F166" s="103" t="n">
        <v>236.91</v>
      </c>
      <c r="G166" s="0">
        <f>IF(ISBLANK(F166),IF(E166&gt;21.0,"Atrativo",IF(E166&lt;21.0,"Pouco atrativo","-")),IF(F166&lt;236.91,"Atrativo",IF(F166&gt;236.91,"Pouco atrativo","-")))</f>
      </c>
      <c r="H166" s="102">
        <f>IF(ISBLANK(F166),IF(E166=21,"$ 189.90","-"),IF(F166=236.91,"$ 189.90","-"))</f>
      </c>
      <c r="I166" s="103"/>
      <c r="J166" s="103"/>
      <c r="L166" s="104" t="s">
        <v>180</v>
      </c>
      <c r="M166" s="105" t="s">
        <v>181</v>
      </c>
      <c r="N166" s="106"/>
    </row>
    <row r="167">
      <c r="A167" s="101" t="s">
        <v>749</v>
      </c>
      <c r="B167" s="100" t="s">
        <v>748</v>
      </c>
      <c r="C167" s="100" t="s">
        <v>129</v>
      </c>
      <c r="D167" s="102" t="n">
        <v>92.28</v>
      </c>
      <c r="E167" s="103" t="n">
        <v>22.0</v>
      </c>
      <c r="F167" s="103" t="n">
        <v>72.9</v>
      </c>
      <c r="G167" s="0">
        <f>IF(ISBLANK(F167),IF(E167&gt;22.0,"Atrativo",IF(E167&lt;22.0,"Pouco atrativo","-")),IF(F167&lt;72.9,"Atrativo",IF(F167&gt;72.9,"Pouco atrativo","-")))</f>
      </c>
      <c r="H167" s="102">
        <f>IF(ISBLANK(F167),IF(E167=22,"$ 55.67","-"),IF(F167=72.9,"$ 55.67","-"))</f>
      </c>
      <c r="I167" s="103"/>
      <c r="J167" s="103"/>
      <c r="L167" s="104" t="s">
        <v>180</v>
      </c>
      <c r="M167" s="105" t="s">
        <v>181</v>
      </c>
      <c r="N167" s="106"/>
    </row>
    <row r="168">
      <c r="A168" s="101" t="s">
        <v>752</v>
      </c>
      <c r="B168" s="100" t="s">
        <v>751</v>
      </c>
      <c r="C168" s="100" t="s">
        <v>129</v>
      </c>
      <c r="D168" s="102" t="n">
        <v>58.86</v>
      </c>
      <c r="E168" s="103" t="n">
        <v>21.0</v>
      </c>
      <c r="F168" s="103" t="n">
        <v>46.5</v>
      </c>
      <c r="G168" s="0">
        <f>IF(ISBLANK(F168),IF(E168&gt;21.0,"Atrativo",IF(E168&lt;21.0,"Pouco atrativo","-")),IF(F168&lt;46.5,"Atrativo",IF(F168&gt;46.5,"Pouco atrativo","-")))</f>
      </c>
      <c r="H168" s="102">
        <f>IF(ISBLANK(F168),IF(E168=21,"$ 33.91","-"),IF(F168=46.5,"$ 33.91","-"))</f>
      </c>
      <c r="I168" s="103"/>
      <c r="J168" s="103"/>
      <c r="L168" s="104" t="s">
        <v>180</v>
      </c>
      <c r="M168" s="105" t="s">
        <v>181</v>
      </c>
      <c r="N168" s="106"/>
    </row>
    <row r="169">
      <c r="A169" s="101" t="s">
        <v>755</v>
      </c>
      <c r="B169" s="100" t="s">
        <v>754</v>
      </c>
      <c r="C169" s="100" t="s">
        <v>756</v>
      </c>
      <c r="D169" s="102" t="n">
        <v>131.52</v>
      </c>
      <c r="E169" s="103" t="n">
        <v>21.0</v>
      </c>
      <c r="F169" s="103" t="n">
        <v>103.9</v>
      </c>
      <c r="G169" s="0">
        <f>IF(ISBLANK(F169),IF(E169&gt;21.0,"Atrativo",IF(E169&lt;21.0,"Pouco atrativo","-")),IF(F169&lt;103.9,"Atrativo",IF(F169&gt;103.9,"Pouco atrativo","-")))</f>
      </c>
      <c r="H169" s="102">
        <f>IF(ISBLANK(F169),IF(E169=21,"$ 71.89","-"),IF(F169=103.9,"$ 71.89","-"))</f>
      </c>
      <c r="I169" s="103"/>
      <c r="J169" s="103"/>
      <c r="L169" s="104" t="s">
        <v>180</v>
      </c>
      <c r="M169" s="105" t="s">
        <v>181</v>
      </c>
      <c r="N169" s="106"/>
    </row>
    <row r="170">
      <c r="A170" s="101" t="s">
        <v>758</v>
      </c>
      <c r="B170" s="100" t="s">
        <v>757</v>
      </c>
      <c r="C170" s="100" t="s">
        <v>759</v>
      </c>
      <c r="D170" s="102" t="n">
        <v>41.65</v>
      </c>
      <c r="E170" s="103" t="n">
        <v>5.0</v>
      </c>
      <c r="F170" s="103" t="n">
        <v>39.56</v>
      </c>
      <c r="G170" s="107" t="s">
        <v>294</v>
      </c>
      <c r="H170" s="102">
        <f>IF(ISBLANK(F170),IF(E170=5,"$ 28.26","-"),IF(F170=39.56,"$ 28.26","-"))</f>
      </c>
      <c r="I170" s="103"/>
      <c r="J170" s="103"/>
      <c r="L170" s="104" t="s">
        <v>295</v>
      </c>
      <c r="M170" s="105" t="s">
        <v>181</v>
      </c>
      <c r="N170" s="101" t="s">
        <v>296</v>
      </c>
    </row>
    <row r="171">
      <c r="A171" s="101" t="s">
        <v>762</v>
      </c>
      <c r="B171" s="100" t="s">
        <v>761</v>
      </c>
      <c r="C171" s="100" t="s">
        <v>763</v>
      </c>
      <c r="D171" s="102" t="n">
        <v>341.42</v>
      </c>
      <c r="E171" s="103" t="n">
        <v>21.0</v>
      </c>
      <c r="F171" s="103" t="n">
        <v>269.72</v>
      </c>
      <c r="G171" s="0">
        <f>IF(ISBLANK(F171),IF(E171&gt;21.0,"Atrativo",IF(E171&lt;21.0,"Pouco atrativo","-")),IF(F171&lt;269.72,"Atrativo",IF(F171&gt;269.72,"Pouco atrativo","-")))</f>
      </c>
      <c r="H171" s="102">
        <f>IF(ISBLANK(F171),IF(E171=21,"$ 200.22","-"),IF(F171=269.72,"$ 200.22","-"))</f>
      </c>
      <c r="I171" s="103"/>
      <c r="J171" s="103"/>
      <c r="L171" s="104" t="s">
        <v>180</v>
      </c>
      <c r="M171" s="105" t="s">
        <v>181</v>
      </c>
      <c r="N171" s="106"/>
    </row>
    <row r="172">
      <c r="A172" s="101" t="s">
        <v>766</v>
      </c>
      <c r="B172" s="100" t="s">
        <v>765</v>
      </c>
      <c r="C172" s="100" t="s">
        <v>763</v>
      </c>
      <c r="D172" s="102" t="n">
        <v>301.14</v>
      </c>
      <c r="E172" s="103" t="n">
        <v>21.0</v>
      </c>
      <c r="F172" s="103" t="n">
        <v>237.9</v>
      </c>
      <c r="G172" s="0">
        <f>IF(ISBLANK(F172),IF(E172&gt;21.0,"Atrativo",IF(E172&lt;21.0,"Pouco atrativo","-")),IF(F172&lt;237.9,"Atrativo",IF(F172&gt;237.9,"Pouco atrativo","-")))</f>
      </c>
      <c r="H172" s="102">
        <f>IF(ISBLANK(F172),IF(E172=21,"$ 186.02","-"),IF(F172=237.9,"$ 186.02","-"))</f>
      </c>
      <c r="I172" s="103"/>
      <c r="J172" s="103"/>
      <c r="L172" s="104" t="s">
        <v>180</v>
      </c>
      <c r="M172" s="105" t="s">
        <v>181</v>
      </c>
      <c r="N172" s="106"/>
    </row>
    <row r="173">
      <c r="A173" s="101" t="s">
        <v>769</v>
      </c>
      <c r="B173" s="100" t="s">
        <v>768</v>
      </c>
      <c r="C173" s="100" t="s">
        <v>763</v>
      </c>
      <c r="D173" s="102" t="n">
        <v>336.59</v>
      </c>
      <c r="E173" s="103" t="n">
        <v>21.0</v>
      </c>
      <c r="F173" s="103" t="n">
        <v>269.0</v>
      </c>
      <c r="G173" s="0">
        <f>IF(ISBLANK(F173),IF(E173&gt;21.0,"Atrativo",IF(E173&lt;21.0,"Pouco atrativo","-")),IF(F173&lt;269.0,"Atrativo",IF(F173&gt;269.0,"Pouco atrativo","-")))</f>
      </c>
      <c r="H173" s="102">
        <f>IF(ISBLANK(F173),IF(E173=21,"$ 199.63","-"),IF(F173=269,"$ 199.63","-"))</f>
      </c>
      <c r="I173" s="103"/>
      <c r="J173" s="103"/>
      <c r="L173" s="104" t="s">
        <v>180</v>
      </c>
      <c r="M173" s="105" t="s">
        <v>181</v>
      </c>
      <c r="N173" s="106"/>
    </row>
    <row r="174">
      <c r="A174" s="101" t="s">
        <v>772</v>
      </c>
      <c r="B174" s="100" t="s">
        <v>771</v>
      </c>
      <c r="C174" s="100" t="s">
        <v>773</v>
      </c>
      <c r="D174" s="102" t="n">
        <v>147.98</v>
      </c>
      <c r="E174" s="103" t="n">
        <v>22.0</v>
      </c>
      <c r="F174" s="103" t="n">
        <v>116.9</v>
      </c>
      <c r="G174" s="0">
        <f>IF(ISBLANK(F174),IF(E174&gt;22.0,"Atrativo",IF(E174&lt;22.0,"Pouco atrativo","-")),IF(F174&lt;116.9,"Atrativo",IF(F174&gt;116.9,"Pouco atrativo","-")))</f>
      </c>
      <c r="H174" s="102">
        <f>IF(ISBLANK(F174),IF(E174=22,"$ 87.35","-"),IF(F174=116.9,"$ 87.35","-"))</f>
      </c>
      <c r="I174" s="103"/>
      <c r="J174" s="103"/>
      <c r="L174" s="104" t="s">
        <v>180</v>
      </c>
      <c r="M174" s="105" t="s">
        <v>181</v>
      </c>
      <c r="N174" s="106"/>
    </row>
    <row r="175">
      <c r="A175" s="101" t="s">
        <v>776</v>
      </c>
      <c r="B175" s="100" t="s">
        <v>775</v>
      </c>
      <c r="C175" s="100" t="s">
        <v>777</v>
      </c>
      <c r="D175" s="102" t="n">
        <v>58.1</v>
      </c>
      <c r="E175" s="103" t="n">
        <v>21.0</v>
      </c>
      <c r="F175" s="103" t="n">
        <v>45.9</v>
      </c>
      <c r="G175" s="0">
        <f>IF(ISBLANK(F175),IF(E175&gt;21.0,"Atrativo",IF(E175&lt;21.0,"Pouco atrativo","-")),IF(F175&lt;45.9,"Atrativo",IF(F175&gt;45.9,"Pouco atrativo","-")))</f>
      </c>
      <c r="H175" s="102">
        <f>IF(ISBLANK(F175),IF(E175=21,"$ 33.84","-"),IF(F175=45.9,"$ 33.84","-"))</f>
      </c>
      <c r="I175" s="103"/>
      <c r="J175" s="103"/>
      <c r="L175" s="104" t="s">
        <v>180</v>
      </c>
      <c r="M175" s="105" t="s">
        <v>181</v>
      </c>
      <c r="N175" s="106"/>
    </row>
    <row r="176">
      <c r="A176" s="101" t="s">
        <v>780</v>
      </c>
      <c r="B176" s="100" t="s">
        <v>779</v>
      </c>
      <c r="C176" s="100" t="s">
        <v>781</v>
      </c>
      <c r="D176" s="102" t="n">
        <v>646.72</v>
      </c>
      <c r="E176" s="103" t="n">
        <v>21.0</v>
      </c>
      <c r="F176" s="103" t="n">
        <v>510.91</v>
      </c>
      <c r="G176" s="0">
        <f>IF(ISBLANK(F176),IF(E176&gt;21.0,"Atrativo",IF(E176&lt;21.0,"Pouco atrativo","-")),IF(F176&lt;510.91,"Atrativo",IF(F176&gt;510.91,"Pouco atrativo","-")))</f>
      </c>
      <c r="H176" s="102">
        <f>IF(ISBLANK(F176),IF(E176=21,"$ 424.95","-"),IF(F176=510.91,"$ 424.95","-"))</f>
      </c>
      <c r="I176" s="103"/>
      <c r="J176" s="103"/>
      <c r="L176" s="104" t="s">
        <v>180</v>
      </c>
      <c r="M176" s="105" t="s">
        <v>181</v>
      </c>
      <c r="N176" s="106"/>
    </row>
    <row r="177">
      <c r="A177" s="101" t="s">
        <v>784</v>
      </c>
      <c r="B177" s="100" t="s">
        <v>783</v>
      </c>
      <c r="C177" s="100" t="s">
        <v>785</v>
      </c>
      <c r="D177" s="102" t="n">
        <v>95.57</v>
      </c>
      <c r="E177" s="103" t="n">
        <v>21.0</v>
      </c>
      <c r="F177" s="103" t="n">
        <v>75.5</v>
      </c>
      <c r="G177" s="0">
        <f>IF(ISBLANK(F177),IF(E177&gt;21.0,"Atrativo",IF(E177&lt;21.0,"Pouco atrativo","-")),IF(F177&lt;75.5,"Atrativo",IF(F177&gt;75.5,"Pouco atrativo","-")))</f>
      </c>
      <c r="H177" s="102">
        <f>IF(ISBLANK(F177),IF(E177=21,"$ 58.59","-"),IF(F177=75.5,"$ 58.59","-"))</f>
      </c>
      <c r="I177" s="103"/>
      <c r="J177" s="103"/>
      <c r="L177" s="104" t="s">
        <v>180</v>
      </c>
      <c r="M177" s="105" t="s">
        <v>181</v>
      </c>
      <c r="N177" s="106"/>
    </row>
    <row r="178">
      <c r="A178" s="101" t="s">
        <v>788</v>
      </c>
      <c r="B178" s="100" t="s">
        <v>787</v>
      </c>
      <c r="C178" s="100" t="s">
        <v>785</v>
      </c>
      <c r="D178" s="102" t="n">
        <v>96.08</v>
      </c>
      <c r="E178" s="103" t="n">
        <v>22.0</v>
      </c>
      <c r="F178" s="103" t="n">
        <v>75.9</v>
      </c>
      <c r="G178" s="0">
        <f>IF(ISBLANK(F178),IF(E178&gt;22.0,"Atrativo",IF(E178&lt;22.0,"Pouco atrativo","-")),IF(F178&lt;75.9,"Atrativo",IF(F178&gt;75.9,"Pouco atrativo","-")))</f>
      </c>
      <c r="H178" s="102">
        <f>IF(ISBLANK(F178),IF(E178=22,"$ 58.84","-"),IF(F178=75.9,"$ 58.84","-"))</f>
      </c>
      <c r="I178" s="103"/>
      <c r="J178" s="103"/>
      <c r="L178" s="104" t="s">
        <v>180</v>
      </c>
      <c r="M178" s="105" t="s">
        <v>181</v>
      </c>
      <c r="N178" s="106"/>
    </row>
    <row r="179">
      <c r="A179" s="101" t="s">
        <v>791</v>
      </c>
      <c r="B179" s="100" t="s">
        <v>790</v>
      </c>
      <c r="C179" s="100" t="s">
        <v>792</v>
      </c>
      <c r="D179" s="102" t="n">
        <v>298.61</v>
      </c>
      <c r="E179" s="103" t="n">
        <v>21.0</v>
      </c>
      <c r="F179" s="103" t="n">
        <v>235.9</v>
      </c>
      <c r="G179" s="0">
        <f>IF(ISBLANK(F179),IF(E179&gt;21.0,"Atrativo",IF(E179&lt;21.0,"Pouco atrativo","-")),IF(F179&lt;235.9,"Atrativo",IF(F179&gt;235.9,"Pouco atrativo","-")))</f>
      </c>
      <c r="H179" s="102">
        <f>IF(ISBLANK(F179),IF(E179=21,"$ 177.21","-"),IF(F179=235.9,"$ 177.21","-"))</f>
      </c>
      <c r="I179" s="103"/>
      <c r="J179" s="103"/>
      <c r="L179" s="104" t="s">
        <v>180</v>
      </c>
      <c r="M179" s="105" t="s">
        <v>181</v>
      </c>
      <c r="N179" s="106"/>
    </row>
    <row r="180">
      <c r="A180" s="101" t="s">
        <v>795</v>
      </c>
      <c r="B180" s="100" t="s">
        <v>794</v>
      </c>
      <c r="C180" s="100" t="s">
        <v>129</v>
      </c>
      <c r="D180" s="102" t="n">
        <v>168.23</v>
      </c>
      <c r="E180" s="103" t="n">
        <v>22.0</v>
      </c>
      <c r="F180" s="103" t="n">
        <v>132.9</v>
      </c>
      <c r="G180" s="0">
        <f>IF(ISBLANK(F180),IF(E180&gt;22.0,"Atrativo",IF(E180&lt;22.0,"Pouco atrativo","-")),IF(F180&lt;132.9,"Atrativo",IF(F180&gt;132.9,"Pouco atrativo","-")))</f>
      </c>
      <c r="H180" s="102">
        <f>IF(ISBLANK(F180),IF(E180=22,"$ 93.86","-"),IF(F180=132.9,"$ 93.86","-"))</f>
      </c>
      <c r="I180" s="103"/>
      <c r="J180" s="103"/>
      <c r="L180" s="104" t="s">
        <v>180</v>
      </c>
      <c r="M180" s="105" t="s">
        <v>181</v>
      </c>
      <c r="N180" s="106"/>
    </row>
    <row r="181">
      <c r="A181" s="101" t="s">
        <v>798</v>
      </c>
      <c r="B181" s="100" t="s">
        <v>797</v>
      </c>
      <c r="C181" s="100" t="s">
        <v>129</v>
      </c>
      <c r="D181" s="102" t="n">
        <v>185.95</v>
      </c>
      <c r="E181" s="103" t="n">
        <v>21.0</v>
      </c>
      <c r="F181" s="103" t="n">
        <v>146.9</v>
      </c>
      <c r="G181" s="0">
        <f>IF(ISBLANK(F181),IF(E181&gt;21.0,"Atrativo",IF(E181&lt;21.0,"Pouco atrativo","-")),IF(F181&lt;146.9,"Atrativo",IF(F181&gt;146.9,"Pouco atrativo","-")))</f>
      </c>
      <c r="H181" s="102">
        <f>IF(ISBLANK(F181),IF(E181=21,"$ 110.82","-"),IF(F181=146.9,"$ 110.82","-"))</f>
      </c>
      <c r="I181" s="103"/>
      <c r="J181" s="103"/>
      <c r="L181" s="104" t="s">
        <v>180</v>
      </c>
      <c r="M181" s="105" t="s">
        <v>181</v>
      </c>
      <c r="N181" s="106"/>
    </row>
    <row r="182">
      <c r="A182" s="101" t="s">
        <v>801</v>
      </c>
      <c r="B182" s="100" t="s">
        <v>800</v>
      </c>
      <c r="C182" s="100" t="s">
        <v>802</v>
      </c>
      <c r="D182" s="102" t="n">
        <v>283.42</v>
      </c>
      <c r="E182" s="103" t="n">
        <v>21.0</v>
      </c>
      <c r="F182" s="103" t="n">
        <v>223.9</v>
      </c>
      <c r="G182" s="0">
        <f>IF(ISBLANK(F182),IF(E182&gt;21.0,"Atrativo",IF(E182&lt;21.0,"Pouco atrativo","-")),IF(F182&lt;223.9,"Atrativo",IF(F182&gt;223.9,"Pouco atrativo","-")))</f>
      </c>
      <c r="H182" s="102">
        <f>IF(ISBLANK(F182),IF(E182=21,"$ 167.77","-"),IF(F182=223.9,"$ 167.77","-"))</f>
      </c>
      <c r="I182" s="103"/>
      <c r="J182" s="103"/>
      <c r="L182" s="104" t="s">
        <v>180</v>
      </c>
      <c r="M182" s="105" t="s">
        <v>181</v>
      </c>
      <c r="N182" s="106"/>
    </row>
    <row r="183">
      <c r="A183" s="101" t="s">
        <v>805</v>
      </c>
      <c r="B183" s="100" t="s">
        <v>804</v>
      </c>
      <c r="C183" s="100" t="s">
        <v>802</v>
      </c>
      <c r="D183" s="102" t="n">
        <v>312.54</v>
      </c>
      <c r="E183" s="103" t="n">
        <v>21.0</v>
      </c>
      <c r="F183" s="103" t="n">
        <v>246.91</v>
      </c>
      <c r="G183" s="0">
        <f>IF(ISBLANK(F183),IF(E183&gt;21.0,"Atrativo",IF(E183&lt;21.0,"Pouco atrativo","-")),IF(F183&lt;246.91,"Atrativo",IF(F183&gt;246.91,"Pouco atrativo","-")))</f>
      </c>
      <c r="H183" s="102">
        <f>IF(ISBLANK(F183),IF(E183=21,"$ 199.67","-"),IF(F183=246.91,"$ 199.67","-"))</f>
      </c>
      <c r="I183" s="103"/>
      <c r="J183" s="103"/>
      <c r="L183" s="104" t="s">
        <v>180</v>
      </c>
      <c r="M183" s="105" t="s">
        <v>181</v>
      </c>
      <c r="N183" s="106"/>
    </row>
    <row r="184">
      <c r="A184" s="101" t="s">
        <v>801</v>
      </c>
      <c r="B184" s="100" t="s">
        <v>807</v>
      </c>
      <c r="C184" s="100" t="s">
        <v>802</v>
      </c>
      <c r="D184" s="102" t="n">
        <v>293.55</v>
      </c>
      <c r="E184" s="103" t="n">
        <v>22.0</v>
      </c>
      <c r="F184" s="103" t="n">
        <v>231.9</v>
      </c>
      <c r="G184" s="0">
        <f>IF(ISBLANK(F184),IF(E184&gt;22.0,"Atrativo",IF(E184&lt;22.0,"Pouco atrativo","-")),IF(F184&lt;231.9,"Atrativo",IF(F184&gt;231.9,"Pouco atrativo","-")))</f>
      </c>
      <c r="H184" s="102">
        <f>IF(ISBLANK(F184),IF(E184=22,"$ 169.93","-"),IF(F184=231.9,"$ 169.93","-"))</f>
      </c>
      <c r="I184" s="103"/>
      <c r="J184" s="103"/>
      <c r="L184" s="104" t="s">
        <v>180</v>
      </c>
      <c r="M184" s="105" t="s">
        <v>181</v>
      </c>
      <c r="N184" s="106"/>
    </row>
    <row r="185">
      <c r="A185" s="101" t="s">
        <v>801</v>
      </c>
      <c r="B185" s="100" t="s">
        <v>809</v>
      </c>
      <c r="C185" s="100" t="s">
        <v>802</v>
      </c>
      <c r="D185" s="102" t="n">
        <v>293.04</v>
      </c>
      <c r="E185" s="103" t="n">
        <v>21.0</v>
      </c>
      <c r="F185" s="103" t="n">
        <v>231.5</v>
      </c>
      <c r="G185" s="0">
        <f>IF(ISBLANK(F185),IF(E185&gt;21.0,"Atrativo",IF(E185&lt;21.0,"Pouco atrativo","-")),IF(F185&lt;231.5,"Atrativo",IF(F185&gt;231.5,"Pouco atrativo","-")))</f>
      </c>
      <c r="H185" s="102">
        <f>IF(ISBLANK(F185),IF(E185=21,"$ 169.59","-"),IF(F185=231.5,"$ 169.59","-"))</f>
      </c>
      <c r="I185" s="103"/>
      <c r="J185" s="103"/>
      <c r="L185" s="104" t="s">
        <v>180</v>
      </c>
      <c r="M185" s="105" t="s">
        <v>181</v>
      </c>
      <c r="N185" s="106"/>
    </row>
    <row r="186">
      <c r="A186" s="101" t="s">
        <v>812</v>
      </c>
      <c r="B186" s="100" t="s">
        <v>811</v>
      </c>
      <c r="C186" s="100" t="s">
        <v>129</v>
      </c>
      <c r="D186" s="102" t="n">
        <v>260.64</v>
      </c>
      <c r="E186" s="103" t="n">
        <v>21.0</v>
      </c>
      <c r="F186" s="103" t="n">
        <v>205.91</v>
      </c>
      <c r="G186" s="0">
        <f>IF(ISBLANK(F186),IF(E186&gt;21.0,"Atrativo",IF(E186&lt;21.0,"Pouco atrativo","-")),IF(F186&lt;205.91,"Atrativo",IF(F186&gt;205.91,"Pouco atrativo","-")))</f>
      </c>
      <c r="H186" s="102">
        <f>IF(ISBLANK(F186),IF(E186=21,"$ 148.36","-"),IF(F186=205.91,"$ 148.36","-"))</f>
      </c>
      <c r="I186" s="103"/>
      <c r="J186" s="103"/>
      <c r="L186" s="104" t="s">
        <v>180</v>
      </c>
      <c r="M186" s="105" t="s">
        <v>181</v>
      </c>
      <c r="N186" s="106"/>
    </row>
    <row r="187">
      <c r="A187" s="101" t="s">
        <v>815</v>
      </c>
      <c r="B187" s="100" t="s">
        <v>814</v>
      </c>
      <c r="C187" s="100" t="s">
        <v>129</v>
      </c>
      <c r="D187" s="102" t="n">
        <v>239.12</v>
      </c>
      <c r="E187" s="103" t="n">
        <v>22.0</v>
      </c>
      <c r="F187" s="103" t="n">
        <v>188.9</v>
      </c>
      <c r="G187" s="0">
        <f>IF(ISBLANK(F187),IF(E187&gt;22.0,"Atrativo",IF(E187&lt;22.0,"Pouco atrativo","-")),IF(F187&lt;188.9,"Atrativo",IF(F187&gt;188.9,"Pouco atrativo","-")))</f>
      </c>
      <c r="H187" s="102">
        <f>IF(ISBLANK(F187),IF(E187=22,"$ 145.48","-"),IF(F187=188.9,"$ 145.48","-"))</f>
      </c>
      <c r="I187" s="103"/>
      <c r="J187" s="103"/>
      <c r="L187" s="104" t="s">
        <v>180</v>
      </c>
      <c r="M187" s="105" t="s">
        <v>181</v>
      </c>
      <c r="N187" s="106"/>
    </row>
    <row r="188">
      <c r="A188" s="101" t="s">
        <v>818</v>
      </c>
      <c r="B188" s="100" t="s">
        <v>817</v>
      </c>
      <c r="C188" s="100" t="s">
        <v>819</v>
      </c>
      <c r="D188" s="102" t="n">
        <v>268.34</v>
      </c>
      <c r="E188" s="103" t="n">
        <v>21.0</v>
      </c>
      <c r="F188" s="103" t="n">
        <v>211.99</v>
      </c>
      <c r="G188" s="0">
        <f>IF(ISBLANK(F188),IF(E188&gt;21.0,"Atrativo",IF(E188&lt;21.0,"Pouco atrativo","-")),IF(F188&lt;211.99,"Atrativo",IF(F188&gt;211.99,"Pouco atrativo","-")))</f>
      </c>
      <c r="H188" s="102">
        <f>IF(ISBLANK(F188),IF(E188=21,"$ 161.90","-"),IF(F188=211.99,"$ 161.90","-"))</f>
      </c>
      <c r="I188" s="103"/>
      <c r="J188" s="103"/>
      <c r="L188" s="104" t="s">
        <v>180</v>
      </c>
      <c r="M188" s="105" t="s">
        <v>181</v>
      </c>
      <c r="N188" s="106"/>
    </row>
    <row r="189">
      <c r="A189" s="101" t="s">
        <v>822</v>
      </c>
      <c r="B189" s="100" t="s">
        <v>821</v>
      </c>
      <c r="C189" s="100" t="s">
        <v>819</v>
      </c>
      <c r="D189" s="102" t="n">
        <v>266.46</v>
      </c>
      <c r="E189" s="103" t="n">
        <v>22.0</v>
      </c>
      <c r="F189" s="103" t="n">
        <v>210.5</v>
      </c>
      <c r="G189" s="0">
        <f>IF(ISBLANK(F189),IF(E189&gt;22.0,"Atrativo",IF(E189&lt;22.0,"Pouco atrativo","-")),IF(F189&lt;210.5,"Atrativo",IF(F189&gt;210.5,"Pouco atrativo","-")))</f>
      </c>
      <c r="H189" s="102">
        <f>IF(ISBLANK(F189),IF(E189=22,"$ 160.59","-"),IF(F189=210.5,"$ 160.59","-"))</f>
      </c>
      <c r="I189" s="103"/>
      <c r="J189" s="103"/>
      <c r="L189" s="104" t="s">
        <v>180</v>
      </c>
      <c r="M189" s="105" t="s">
        <v>181</v>
      </c>
      <c r="N189" s="106"/>
    </row>
    <row r="190">
      <c r="A190" s="101" t="s">
        <v>825</v>
      </c>
      <c r="B190" s="100" t="s">
        <v>824</v>
      </c>
      <c r="C190" s="100" t="s">
        <v>826</v>
      </c>
      <c r="D190" s="102" t="n">
        <v>237.34</v>
      </c>
      <c r="E190" s="103" t="n">
        <v>21.0</v>
      </c>
      <c r="F190" s="103" t="n">
        <v>187.5</v>
      </c>
      <c r="G190" s="0">
        <f>IF(ISBLANK(F190),IF(E190&gt;21.0,"Atrativo",IF(E190&lt;21.0,"Pouco atrativo","-")),IF(F190&lt;187.5,"Atrativo",IF(F190&gt;187.5,"Pouco atrativo","-")))</f>
      </c>
      <c r="H190" s="102">
        <f>IF(ISBLANK(F190),IF(E190=21,"$ 146.55","-"),IF(F190=187.5,"$ 146.55","-"))</f>
      </c>
      <c r="I190" s="103"/>
      <c r="J190" s="103"/>
      <c r="L190" s="104" t="s">
        <v>180</v>
      </c>
      <c r="M190" s="105" t="s">
        <v>181</v>
      </c>
      <c r="N190" s="106"/>
    </row>
    <row r="191">
      <c r="A191" s="101" t="s">
        <v>825</v>
      </c>
      <c r="B191" s="100" t="s">
        <v>828</v>
      </c>
      <c r="C191" s="100" t="s">
        <v>826</v>
      </c>
      <c r="D191" s="102" t="n">
        <v>226.46</v>
      </c>
      <c r="E191" s="103" t="n">
        <v>22.0</v>
      </c>
      <c r="F191" s="103" t="n">
        <v>178.9</v>
      </c>
      <c r="G191" s="0">
        <f>IF(ISBLANK(F191),IF(E191&gt;22.0,"Atrativo",IF(E191&lt;22.0,"Pouco atrativo","-")),IF(F191&lt;178.9,"Atrativo",IF(F191&gt;178.9,"Pouco atrativo","-")))</f>
      </c>
      <c r="H191" s="102">
        <f>IF(ISBLANK(F191),IF(E191=22,"$ 138.98","-"),IF(F191=178.9,"$ 138.98","-"))</f>
      </c>
      <c r="I191" s="103"/>
      <c r="J191" s="103"/>
      <c r="L191" s="104" t="s">
        <v>180</v>
      </c>
      <c r="M191" s="105" t="s">
        <v>181</v>
      </c>
      <c r="N191" s="106"/>
    </row>
    <row r="192">
      <c r="A192" s="101" t="s">
        <v>831</v>
      </c>
      <c r="B192" s="100" t="s">
        <v>830</v>
      </c>
      <c r="C192" s="100" t="s">
        <v>826</v>
      </c>
      <c r="D192" s="102" t="n">
        <v>304.94</v>
      </c>
      <c r="E192" s="103" t="n">
        <v>21.0</v>
      </c>
      <c r="F192" s="103" t="n">
        <v>240.9</v>
      </c>
      <c r="G192" s="0">
        <f>IF(ISBLANK(F192),IF(E192&gt;21.0,"Atrativo",IF(E192&lt;21.0,"Pouco atrativo","-")),IF(F192&lt;240.9,"Atrativo",IF(F192&gt;240.9,"Pouco atrativo","-")))</f>
      </c>
      <c r="H192" s="102">
        <f>IF(ISBLANK(F192),IF(E192=21,"$ 191.04","-"),IF(F192=240.9,"$ 191.04","-"))</f>
      </c>
      <c r="I192" s="103"/>
      <c r="J192" s="103"/>
      <c r="L192" s="104" t="s">
        <v>180</v>
      </c>
      <c r="M192" s="105" t="s">
        <v>181</v>
      </c>
      <c r="N192" s="106"/>
    </row>
    <row r="193">
      <c r="A193" s="101" t="s">
        <v>834</v>
      </c>
      <c r="B193" s="100" t="s">
        <v>833</v>
      </c>
      <c r="C193" s="100" t="s">
        <v>835</v>
      </c>
      <c r="D193" s="102" t="n">
        <v>55.06</v>
      </c>
      <c r="E193" s="103" t="n">
        <v>5.0</v>
      </c>
      <c r="F193" s="103" t="n">
        <v>52.3</v>
      </c>
      <c r="G193" s="107" t="s">
        <v>294</v>
      </c>
      <c r="H193" s="102">
        <f>IF(ISBLANK(F193),IF(E193=5,"$ 38.27","-"),IF(F193=52.3,"$ 38.27","-"))</f>
      </c>
      <c r="I193" s="103"/>
      <c r="J193" s="103"/>
      <c r="L193" s="104" t="s">
        <v>295</v>
      </c>
      <c r="M193" s="105" t="s">
        <v>181</v>
      </c>
      <c r="N193" s="101" t="s">
        <v>296</v>
      </c>
    </row>
    <row r="194">
      <c r="A194" s="101" t="s">
        <v>834</v>
      </c>
      <c r="B194" s="100" t="s">
        <v>837</v>
      </c>
      <c r="C194" s="100" t="s">
        <v>835</v>
      </c>
      <c r="D194" s="102" t="n">
        <v>54.3</v>
      </c>
      <c r="E194" s="103" t="n">
        <v>12.0</v>
      </c>
      <c r="F194" s="103" t="n">
        <v>47.9</v>
      </c>
      <c r="G194" s="0">
        <f>IF(ISBLANK(F194),IF(E194&gt;12.0,"Atrativo",IF(E194&lt;12.0,"Pouco atrativo","-")),IF(F194&lt;47.9,"Atrativo",IF(F194&gt;47.9,"Pouco atrativo","-")))</f>
      </c>
      <c r="H194" s="102">
        <f>IF(ISBLANK(F194),IF(E194=12,"$ 35.50","-"),IF(F194=47.9,"$ 35.50","-"))</f>
      </c>
      <c r="I194" s="103"/>
      <c r="J194" s="103"/>
      <c r="L194" s="104" t="s">
        <v>180</v>
      </c>
      <c r="M194" s="105" t="s">
        <v>181</v>
      </c>
      <c r="N194" s="106"/>
    </row>
    <row r="195">
      <c r="A195" s="101" t="s">
        <v>840</v>
      </c>
      <c r="B195" s="100" t="s">
        <v>839</v>
      </c>
      <c r="C195" s="100" t="s">
        <v>841</v>
      </c>
      <c r="D195" s="102" t="n">
        <v>197.34</v>
      </c>
      <c r="E195" s="103" t="n">
        <v>21.0</v>
      </c>
      <c r="F195" s="103" t="n">
        <v>155.9</v>
      </c>
      <c r="G195" s="0">
        <f>IF(ISBLANK(F195),IF(E195&gt;21.0,"Atrativo",IF(E195&lt;21.0,"Pouco atrativo","-")),IF(F195&lt;155.9,"Atrativo",IF(F195&gt;155.9,"Pouco atrativo","-")))</f>
      </c>
      <c r="H195" s="102">
        <f>IF(ISBLANK(F195),IF(E195=21,"$ 118.74","-"),IF(F195=155.9,"$ 118.74","-"))</f>
      </c>
      <c r="I195" s="103"/>
      <c r="J195" s="103"/>
      <c r="L195" s="104" t="s">
        <v>180</v>
      </c>
      <c r="M195" s="105" t="s">
        <v>181</v>
      </c>
      <c r="N195" s="106"/>
    </row>
    <row r="196">
      <c r="A196" s="101" t="s">
        <v>844</v>
      </c>
      <c r="B196" s="100" t="s">
        <v>843</v>
      </c>
      <c r="C196" s="100" t="s">
        <v>841</v>
      </c>
      <c r="D196" s="102" t="n">
        <v>185.95</v>
      </c>
      <c r="E196" s="103" t="n">
        <v>21.0</v>
      </c>
      <c r="F196" s="103" t="n">
        <v>146.9</v>
      </c>
      <c r="G196" s="0">
        <f>IF(ISBLANK(F196),IF(E196&gt;21.0,"Atrativo",IF(E196&lt;21.0,"Pouco atrativo","-")),IF(F196&lt;146.9,"Atrativo",IF(F196&gt;146.9,"Pouco atrativo","-")))</f>
      </c>
      <c r="H196" s="102">
        <f>IF(ISBLANK(F196),IF(E196=21,"$ 112.82","-"),IF(F196=146.9,"$ 112.82","-"))</f>
      </c>
      <c r="I196" s="103"/>
      <c r="J196" s="103"/>
      <c r="L196" s="104" t="s">
        <v>180</v>
      </c>
      <c r="M196" s="105" t="s">
        <v>181</v>
      </c>
      <c r="N196" s="106"/>
    </row>
    <row r="197">
      <c r="A197" s="101" t="s">
        <v>847</v>
      </c>
      <c r="B197" s="100" t="s">
        <v>846</v>
      </c>
      <c r="C197" s="100" t="s">
        <v>848</v>
      </c>
      <c r="D197" s="102" t="n">
        <v>937.97</v>
      </c>
      <c r="E197" s="103" t="n">
        <v>21.0</v>
      </c>
      <c r="F197" s="103" t="n">
        <v>741.0</v>
      </c>
      <c r="G197" s="0">
        <f>IF(ISBLANK(F197),IF(E197&gt;21.0,"Atrativo",IF(E197&lt;21.0,"Pouco atrativo","-")),IF(F197&lt;741.0,"Atrativo",IF(F197&gt;741.0,"Pouco atrativo","-")))</f>
      </c>
      <c r="H197" s="102">
        <f>IF(ISBLANK(F197),IF(E197=21,"$ 594.08","-"),IF(F197=741,"$ 594.08","-"))</f>
      </c>
      <c r="I197" s="103"/>
      <c r="J197" s="103"/>
      <c r="L197" s="104" t="s">
        <v>180</v>
      </c>
      <c r="M197" s="105" t="s">
        <v>181</v>
      </c>
      <c r="N197" s="106"/>
    </row>
    <row r="198">
      <c r="A198" s="101" t="s">
        <v>847</v>
      </c>
      <c r="B198" s="100" t="s">
        <v>850</v>
      </c>
      <c r="C198" s="100" t="s">
        <v>848</v>
      </c>
      <c r="D198" s="102" t="n">
        <v>949.37</v>
      </c>
      <c r="E198" s="103" t="n">
        <v>21.0</v>
      </c>
      <c r="F198" s="103" t="n">
        <v>750.0</v>
      </c>
      <c r="G198" s="0">
        <f>IF(ISBLANK(F198),IF(E198&gt;21.0,"Atrativo",IF(E198&lt;21.0,"Pouco atrativo","-")),IF(F198&lt;750.0,"Atrativo",IF(F198&gt;750.0,"Pouco atrativo","-")))</f>
      </c>
      <c r="H198" s="102">
        <f>IF(ISBLANK(F198),IF(E198=21,"$ 601.55","-"),IF(F198=750,"$ 601.55","-"))</f>
      </c>
      <c r="I198" s="103"/>
      <c r="J198" s="103"/>
      <c r="L198" s="104" t="s">
        <v>180</v>
      </c>
      <c r="M198" s="105" t="s">
        <v>181</v>
      </c>
      <c r="N198" s="106"/>
    </row>
    <row r="199">
      <c r="A199" s="101" t="s">
        <v>853</v>
      </c>
      <c r="B199" s="100" t="s">
        <v>852</v>
      </c>
      <c r="C199" s="100" t="s">
        <v>854</v>
      </c>
      <c r="D199" s="102" t="n">
        <v>469.5</v>
      </c>
      <c r="E199" s="103" t="n">
        <v>22.0</v>
      </c>
      <c r="F199" s="103" t="n">
        <v>370.9</v>
      </c>
      <c r="G199" s="0">
        <f>IF(ISBLANK(F199),IF(E199&gt;22.0,"Atrativo",IF(E199&lt;22.0,"Pouco atrativo","-")),IF(F199&lt;370.9,"Atrativo",IF(F199&gt;370.9,"Pouco atrativo","-")))</f>
      </c>
      <c r="H199" s="102">
        <f>IF(ISBLANK(F199),IF(E199=22,"$ 285.30","-"),IF(F199=370.9,"$ 285.30","-"))</f>
      </c>
      <c r="I199" s="103"/>
      <c r="J199" s="103"/>
      <c r="L199" s="104" t="s">
        <v>180</v>
      </c>
      <c r="M199" s="105" t="s">
        <v>181</v>
      </c>
      <c r="N199" s="106"/>
    </row>
    <row r="200">
      <c r="A200" s="101" t="s">
        <v>853</v>
      </c>
      <c r="B200" s="100" t="s">
        <v>856</v>
      </c>
      <c r="C200" s="100" t="s">
        <v>854</v>
      </c>
      <c r="D200" s="102" t="n">
        <v>350.51</v>
      </c>
      <c r="E200" s="103" t="n">
        <v>21.0</v>
      </c>
      <c r="F200" s="103" t="n">
        <v>276.9</v>
      </c>
      <c r="G200" s="0">
        <f>IF(ISBLANK(F200),IF(E200&gt;21.0,"Atrativo",IF(E200&lt;21.0,"Pouco atrativo","-")),IF(F200&lt;276.9,"Atrativo",IF(F200&gt;276.9,"Pouco atrativo","-")))</f>
      </c>
      <c r="H200" s="102">
        <f>IF(ISBLANK(F200),IF(E200=21,"$ 223.89","-"),IF(F200=276.9,"$ 223.89","-"))</f>
      </c>
      <c r="I200" s="103"/>
      <c r="J200" s="103"/>
      <c r="L200" s="104" t="s">
        <v>180</v>
      </c>
      <c r="M200" s="105" t="s">
        <v>181</v>
      </c>
      <c r="N200" s="106"/>
    </row>
    <row r="201">
      <c r="A201" s="101" t="s">
        <v>859</v>
      </c>
      <c r="B201" s="100" t="s">
        <v>858</v>
      </c>
      <c r="C201" s="100" t="s">
        <v>854</v>
      </c>
      <c r="D201" s="102" t="n">
        <v>356.84</v>
      </c>
      <c r="E201" s="103" t="n">
        <v>22.0</v>
      </c>
      <c r="F201" s="103" t="n">
        <v>281.9</v>
      </c>
      <c r="G201" s="0">
        <f>IF(ISBLANK(F201),IF(E201&gt;22.0,"Atrativo",IF(E201&lt;22.0,"Pouco atrativo","-")),IF(F201&lt;281.9,"Atrativo",IF(F201&gt;281.9,"Pouco atrativo","-")))</f>
      </c>
      <c r="H201" s="102">
        <f>IF(ISBLANK(F201),IF(E201=22,"$ 211.43","-"),IF(F201=281.9,"$ 211.43","-"))</f>
      </c>
      <c r="I201" s="103"/>
      <c r="J201" s="103"/>
      <c r="L201" s="104" t="s">
        <v>180</v>
      </c>
      <c r="M201" s="105" t="s">
        <v>181</v>
      </c>
      <c r="N201" s="106"/>
    </row>
    <row r="202">
      <c r="A202" s="101" t="s">
        <v>834</v>
      </c>
      <c r="B202" s="100" t="s">
        <v>861</v>
      </c>
      <c r="C202" s="100" t="s">
        <v>862</v>
      </c>
      <c r="D202" s="102" t="n">
        <v>40.38</v>
      </c>
      <c r="E202" s="103" t="n">
        <v>21.0</v>
      </c>
      <c r="F202" s="103" t="n">
        <v>31.9</v>
      </c>
      <c r="G202" s="0">
        <f>IF(ISBLANK(F202),IF(E202&gt;21.0,"Atrativo",IF(E202&lt;21.0,"Pouco atrativo","-")),IF(F202&lt;31.9,"Atrativo",IF(F202&gt;31.9,"Pouco atrativo","-")))</f>
      </c>
      <c r="H202" s="102">
        <f>IF(ISBLANK(F202),IF(E202=21,"$ 21.52","-"),IF(F202=31.9,"$ 21.52","-"))</f>
      </c>
      <c r="I202" s="103"/>
      <c r="J202" s="103"/>
      <c r="L202" s="104" t="s">
        <v>180</v>
      </c>
      <c r="M202" s="105" t="s">
        <v>181</v>
      </c>
      <c r="N202" s="106"/>
    </row>
    <row r="203">
      <c r="A203" s="101" t="s">
        <v>865</v>
      </c>
      <c r="B203" s="100" t="s">
        <v>864</v>
      </c>
      <c r="C203" s="100" t="s">
        <v>862</v>
      </c>
      <c r="D203" s="102" t="n">
        <v>44.18</v>
      </c>
      <c r="E203" s="103" t="n">
        <v>22.0</v>
      </c>
      <c r="F203" s="103" t="n">
        <v>34.9</v>
      </c>
      <c r="G203" s="0">
        <f>IF(ISBLANK(F203),IF(E203&gt;22.0,"Atrativo",IF(E203&lt;22.0,"Pouco atrativo","-")),IF(F203&lt;34.9,"Atrativo",IF(F203&gt;34.9,"Pouco atrativo","-")))</f>
      </c>
      <c r="H203" s="102">
        <f>IF(ISBLANK(F203),IF(E203=22,"$ 24.16","-"),IF(F203=34.9,"$ 24.16","-"))</f>
      </c>
      <c r="I203" s="103"/>
      <c r="J203" s="103"/>
      <c r="L203" s="104" t="s">
        <v>180</v>
      </c>
      <c r="M203" s="105" t="s">
        <v>181</v>
      </c>
      <c r="N203" s="106"/>
    </row>
    <row r="204">
      <c r="A204" s="101" t="s">
        <v>868</v>
      </c>
      <c r="B204" s="100" t="s">
        <v>867</v>
      </c>
      <c r="C204" s="100" t="s">
        <v>862</v>
      </c>
      <c r="D204" s="102" t="n">
        <v>43.67</v>
      </c>
      <c r="E204" s="103" t="n">
        <v>21.0</v>
      </c>
      <c r="F204" s="103" t="n">
        <v>34.5</v>
      </c>
      <c r="G204" s="0">
        <f>IF(ISBLANK(F204),IF(E204&gt;21.0,"Atrativo",IF(E204&lt;21.0,"Pouco atrativo","-")),IF(F204&lt;34.5,"Atrativo",IF(F204&gt;34.5,"Pouco atrativo","-")))</f>
      </c>
      <c r="H204" s="102">
        <f>IF(ISBLANK(F204),IF(E204=21,"$ 23.81","-"),IF(F204=34.5,"$ 23.81","-"))</f>
      </c>
      <c r="I204" s="103"/>
      <c r="J204" s="103"/>
      <c r="L204" s="104" t="s">
        <v>180</v>
      </c>
      <c r="M204" s="105" t="s">
        <v>181</v>
      </c>
      <c r="N204" s="106"/>
    </row>
    <row r="205">
      <c r="A205" s="101" t="s">
        <v>871</v>
      </c>
      <c r="B205" s="100" t="s">
        <v>870</v>
      </c>
      <c r="C205" s="100" t="s">
        <v>872</v>
      </c>
      <c r="D205" s="102" t="n">
        <v>310.9</v>
      </c>
      <c r="E205" s="103" t="n">
        <v>5.0</v>
      </c>
      <c r="F205" s="103" t="n">
        <v>295.35</v>
      </c>
      <c r="G205" s="107" t="s">
        <v>294</v>
      </c>
      <c r="H205" s="102">
        <f>IF(ISBLANK(F205),IF(E205=5,"$ 218.89","-"),IF(F205=295.35,"$ 218.89","-"))</f>
      </c>
      <c r="I205" s="103"/>
      <c r="J205" s="103"/>
      <c r="L205" s="104" t="s">
        <v>295</v>
      </c>
      <c r="M205" s="105" t="s">
        <v>181</v>
      </c>
      <c r="N205" s="101" t="s">
        <v>296</v>
      </c>
    </row>
    <row r="206">
      <c r="A206" s="101" t="s">
        <v>875</v>
      </c>
      <c r="B206" s="100" t="s">
        <v>874</v>
      </c>
      <c r="C206" s="100" t="s">
        <v>872</v>
      </c>
      <c r="D206" s="102" t="n">
        <v>477.09</v>
      </c>
      <c r="E206" s="103" t="n">
        <v>21.0</v>
      </c>
      <c r="F206" s="103" t="n">
        <v>376.9</v>
      </c>
      <c r="G206" s="0">
        <f>IF(ISBLANK(F206),IF(E206&gt;21.0,"Atrativo",IF(E206&lt;21.0,"Pouco atrativo","-")),IF(F206&lt;376.9,"Atrativo",IF(F206&gt;376.9,"Pouco atrativo","-")))</f>
      </c>
      <c r="H206" s="102">
        <f>IF(ISBLANK(F206),IF(E206=21,"$ 286.58","-"),IF(F206=376.9,"$ 286.58","-"))</f>
      </c>
      <c r="I206" s="103"/>
      <c r="J206" s="103"/>
      <c r="L206" s="104" t="s">
        <v>180</v>
      </c>
      <c r="M206" s="105" t="s">
        <v>181</v>
      </c>
      <c r="N206" s="106"/>
    </row>
    <row r="207">
      <c r="A207" s="101" t="s">
        <v>878</v>
      </c>
      <c r="B207" s="100" t="s">
        <v>877</v>
      </c>
      <c r="C207" s="100" t="s">
        <v>872</v>
      </c>
      <c r="D207" s="102" t="n">
        <v>478.36</v>
      </c>
      <c r="E207" s="103" t="n">
        <v>21.0</v>
      </c>
      <c r="F207" s="103" t="n">
        <v>377.9</v>
      </c>
      <c r="G207" s="0">
        <f>IF(ISBLANK(F207),IF(E207&gt;21.0,"Atrativo",IF(E207&lt;21.0,"Pouco atrativo","-")),IF(F207&lt;377.9,"Atrativo",IF(F207&gt;377.9,"Pouco atrativo","-")))</f>
      </c>
      <c r="H207" s="102">
        <f>IF(ISBLANK(F207),IF(E207=21,"$ 287.41","-"),IF(F207=377.9,"$ 287.41","-"))</f>
      </c>
      <c r="I207" s="103"/>
      <c r="J207" s="103"/>
      <c r="L207" s="104" t="s">
        <v>180</v>
      </c>
      <c r="M207" s="105" t="s">
        <v>181</v>
      </c>
      <c r="N207" s="106"/>
    </row>
    <row r="208">
      <c r="A208" s="101" t="s">
        <v>881</v>
      </c>
      <c r="B208" s="100" t="s">
        <v>880</v>
      </c>
      <c r="C208" s="100" t="s">
        <v>882</v>
      </c>
      <c r="D208" s="102" t="n">
        <v>179.62</v>
      </c>
      <c r="E208" s="103" t="n">
        <v>21.0</v>
      </c>
      <c r="F208" s="103" t="n">
        <v>141.9</v>
      </c>
      <c r="G208" s="0">
        <f>IF(ISBLANK(F208),IF(E208&gt;21.0,"Atrativo",IF(E208&lt;21.0,"Pouco atrativo","-")),IF(F208&lt;141.9,"Atrativo",IF(F208&gt;141.9,"Pouco atrativo","-")))</f>
      </c>
      <c r="H208" s="102">
        <f>IF(ISBLANK(F208),IF(E208=21,"$ 98.93","-"),IF(F208=141.9,"$ 98.93","-"))</f>
      </c>
      <c r="I208" s="103"/>
      <c r="J208" s="103"/>
      <c r="L208" s="104" t="s">
        <v>180</v>
      </c>
      <c r="M208" s="105" t="s">
        <v>181</v>
      </c>
      <c r="N208" s="106"/>
    </row>
    <row r="209">
      <c r="A209" s="101" t="s">
        <v>885</v>
      </c>
      <c r="B209" s="100" t="s">
        <v>884</v>
      </c>
      <c r="C209" s="100" t="s">
        <v>886</v>
      </c>
      <c r="D209" s="102" t="n">
        <v>331.52</v>
      </c>
      <c r="E209" s="103" t="n">
        <v>21.0</v>
      </c>
      <c r="F209" s="103" t="n">
        <v>261.9</v>
      </c>
      <c r="G209" s="0">
        <f>IF(ISBLANK(F209),IF(E209&gt;21.0,"Atrativo",IF(E209&lt;21.0,"Pouco atrativo","-")),IF(F209&lt;261.9,"Atrativo",IF(F209&gt;261.9,"Pouco atrativo","-")))</f>
      </c>
      <c r="H209" s="102">
        <f>IF(ISBLANK(F209),IF(E209=21,"$ 206.82","-"),IF(F209=261.9,"$ 206.82","-"))</f>
      </c>
      <c r="I209" s="103"/>
      <c r="J209" s="103"/>
      <c r="L209" s="104" t="s">
        <v>180</v>
      </c>
      <c r="M209" s="105" t="s">
        <v>181</v>
      </c>
      <c r="N209" s="106"/>
    </row>
    <row r="210">
      <c r="A210" s="101" t="s">
        <v>889</v>
      </c>
      <c r="B210" s="100" t="s">
        <v>888</v>
      </c>
      <c r="C210" s="100" t="s">
        <v>890</v>
      </c>
      <c r="D210" s="102" t="n">
        <v>96.08</v>
      </c>
      <c r="E210" s="103" t="n">
        <v>22.0</v>
      </c>
      <c r="F210" s="103" t="n">
        <v>75.9</v>
      </c>
      <c r="G210" s="0">
        <f>IF(ISBLANK(F210),IF(E210&gt;22.0,"Atrativo",IF(E210&lt;22.0,"Pouco atrativo","-")),IF(F210&lt;75.9,"Atrativo",IF(F210&gt;75.9,"Pouco atrativo","-")))</f>
      </c>
      <c r="H210" s="102">
        <f>IF(ISBLANK(F210),IF(E210=22,"$ 58.84","-"),IF(F210=75.9,"$ 58.84","-"))</f>
      </c>
      <c r="I210" s="103"/>
      <c r="J210" s="103"/>
      <c r="L210" s="104" t="s">
        <v>180</v>
      </c>
      <c r="M210" s="105" t="s">
        <v>181</v>
      </c>
      <c r="N210" s="106"/>
    </row>
    <row r="211">
      <c r="A211" s="101" t="s">
        <v>892</v>
      </c>
      <c r="B211" s="100" t="s">
        <v>891</v>
      </c>
      <c r="C211" s="100" t="s">
        <v>890</v>
      </c>
      <c r="D211" s="102" t="n">
        <v>110.0</v>
      </c>
      <c r="E211" s="103" t="n">
        <v>5.0</v>
      </c>
      <c r="F211" s="103" t="n">
        <v>104.5</v>
      </c>
      <c r="G211" s="0">
        <f>IF(ISBLANK(F211),IF(E211&gt;5.0,"Atrativo",IF(E211&lt;5.0,"Pouco atrativo","-")),IF(F211&lt;104.5,"Atrativo",IF(F211&gt;104.5,"Pouco atrativo","-")))</f>
      </c>
      <c r="H211" s="102">
        <f>IF(ISBLANK(F211),IF(E211=5,"$ 70.59","-"),IF(F211=104.5,"$ 70.59","-"))</f>
      </c>
      <c r="I211" s="103"/>
      <c r="J211" s="103"/>
      <c r="L211" s="104" t="s">
        <v>180</v>
      </c>
      <c r="M211" s="105" t="s">
        <v>181</v>
      </c>
      <c r="N211" s="106"/>
    </row>
    <row r="212">
      <c r="A212" s="101" t="s">
        <v>895</v>
      </c>
      <c r="B212" s="100" t="s">
        <v>894</v>
      </c>
      <c r="C212" s="100" t="s">
        <v>890</v>
      </c>
      <c r="D212" s="102" t="n">
        <v>89.75</v>
      </c>
      <c r="E212" s="103" t="n">
        <v>22.0</v>
      </c>
      <c r="F212" s="103" t="n">
        <v>70.9</v>
      </c>
      <c r="G212" s="0">
        <f>IF(ISBLANK(F212),IF(E212&gt;22.0,"Atrativo",IF(E212&lt;22.0,"Pouco atrativo","-")),IF(F212&lt;70.9,"Atrativo",IF(F212&gt;70.9,"Pouco atrativo","-")))</f>
      </c>
      <c r="H212" s="102">
        <f>IF(ISBLANK(F212),IF(E212=22,"$ 54.54","-"),IF(F212=70.9,"$ 54.54","-"))</f>
      </c>
      <c r="I212" s="103"/>
      <c r="J212" s="103"/>
      <c r="L212" s="104" t="s">
        <v>180</v>
      </c>
      <c r="M212" s="105" t="s">
        <v>181</v>
      </c>
      <c r="N212" s="106"/>
    </row>
    <row r="213">
      <c r="A213" s="101" t="s">
        <v>898</v>
      </c>
      <c r="B213" s="100" t="s">
        <v>897</v>
      </c>
      <c r="C213" s="100" t="s">
        <v>899</v>
      </c>
      <c r="D213" s="102" t="n">
        <v>159.37</v>
      </c>
      <c r="E213" s="103" t="n">
        <v>22.0</v>
      </c>
      <c r="F213" s="103" t="n">
        <v>125.9</v>
      </c>
      <c r="G213" s="0">
        <f>IF(ISBLANK(F213),IF(E213&gt;22.0,"Atrativo",IF(E213&lt;22.0,"Pouco atrativo","-")),IF(F213&lt;125.9,"Atrativo",IF(F213&gt;125.9,"Pouco atrativo","-")))</f>
      </c>
      <c r="H213" s="102">
        <f>IF(ISBLANK(F213),IF(E213=22,"$ 92.34","-"),IF(F213=125.9,"$ 92.34","-"))</f>
      </c>
      <c r="I213" s="103"/>
      <c r="J213" s="103"/>
      <c r="L213" s="104" t="s">
        <v>180</v>
      </c>
      <c r="M213" s="105" t="s">
        <v>181</v>
      </c>
      <c r="N213" s="106"/>
    </row>
    <row r="214">
      <c r="A214" s="101" t="s">
        <v>902</v>
      </c>
      <c r="B214" s="100" t="s">
        <v>901</v>
      </c>
      <c r="C214" s="100" t="s">
        <v>129</v>
      </c>
      <c r="D214" s="102" t="n">
        <v>455.69</v>
      </c>
      <c r="E214" s="103" t="n">
        <v>21.0</v>
      </c>
      <c r="F214" s="103" t="n">
        <v>360.0</v>
      </c>
      <c r="G214" s="0">
        <f>IF(ISBLANK(F214),IF(E214&gt;21.0,"Atrativo",IF(E214&lt;21.0,"Pouco atrativo","-")),IF(F214&lt;360.0,"Atrativo",IF(F214&gt;360.0,"Pouco atrativo","-")))</f>
      </c>
      <c r="H214" s="102">
        <f>IF(ISBLANK(F214),IF(E214=21,"$ 286.05","-"),IF(F214=360,"$ 286.05","-"))</f>
      </c>
      <c r="I214" s="103"/>
      <c r="J214" s="103"/>
      <c r="L214" s="104" t="s">
        <v>180</v>
      </c>
      <c r="M214" s="105" t="s">
        <v>181</v>
      </c>
      <c r="N214" s="106"/>
    </row>
    <row r="215">
      <c r="A215" s="101" t="s">
        <v>905</v>
      </c>
      <c r="B215" s="100" t="s">
        <v>904</v>
      </c>
      <c r="C215" s="100" t="s">
        <v>899</v>
      </c>
      <c r="D215" s="102" t="n">
        <v>117.9</v>
      </c>
      <c r="E215" s="103" t="n">
        <v>18.0</v>
      </c>
      <c r="F215" s="103" t="n">
        <v>96.67</v>
      </c>
      <c r="G215" s="0">
        <f>IF(ISBLANK(F215),IF(E215&gt;=18.0,"Atrativo","Pouco atrativo"),IF(F215&lt;=96.9,"Atrativo","Pouco atrativo"))</f>
      </c>
      <c r="H215" s="102">
        <f>IF(ISBLANK(F215),IF(E215=18,"$ 71.42","-"),IF(F215=96.67,"$ 71.42","-"))</f>
      </c>
      <c r="I215" s="103"/>
      <c r="J215" s="103"/>
      <c r="L215" s="104" t="s">
        <v>295</v>
      </c>
      <c r="M215" s="105" t="s">
        <v>181</v>
      </c>
      <c r="N215" s="106"/>
    </row>
    <row r="216">
      <c r="A216" s="101" t="s">
        <v>908</v>
      </c>
      <c r="B216" s="100" t="s">
        <v>907</v>
      </c>
      <c r="C216" s="100" t="s">
        <v>899</v>
      </c>
      <c r="D216" s="102" t="n">
        <v>193.55</v>
      </c>
      <c r="E216" s="103" t="n">
        <v>22.0</v>
      </c>
      <c r="F216" s="103" t="n">
        <v>152.9</v>
      </c>
      <c r="G216" s="0">
        <f>IF(ISBLANK(F216),IF(E216&gt;22.0,"Atrativo",IF(E216&lt;22.0,"Pouco atrativo","-")),IF(F216&lt;152.9,"Atrativo",IF(F216&gt;152.9,"Pouco atrativo","-")))</f>
      </c>
      <c r="H216" s="102">
        <f>IF(ISBLANK(F216),IF(E216=22,"$ 107.06","-"),IF(F216=152.9,"$ 107.06","-"))</f>
      </c>
      <c r="I216" s="103"/>
      <c r="J216" s="103"/>
      <c r="L216" s="104" t="s">
        <v>180</v>
      </c>
      <c r="M216" s="105" t="s">
        <v>181</v>
      </c>
      <c r="N216" s="106"/>
    </row>
    <row r="217">
      <c r="A217" s="101" t="s">
        <v>902</v>
      </c>
      <c r="B217" s="100" t="s">
        <v>910</v>
      </c>
      <c r="C217" s="100" t="s">
        <v>129</v>
      </c>
      <c r="D217" s="102" t="n">
        <v>488.09</v>
      </c>
      <c r="E217" s="103" t="n">
        <v>21.0</v>
      </c>
      <c r="F217" s="103" t="n">
        <v>385.59</v>
      </c>
      <c r="G217" s="0">
        <f>IF(ISBLANK(F217),IF(E217&gt;21.0,"Atrativo",IF(E217&lt;21.0,"Pouco atrativo","-")),IF(F217&lt;385.59,"Atrativo",IF(F217&gt;385.59,"Pouco atrativo","-")))</f>
      </c>
      <c r="H217" s="102" t="s">
        <v>911</v>
      </c>
      <c r="I217" s="103"/>
      <c r="J217" s="103"/>
      <c r="L217" s="104" t="s">
        <v>180</v>
      </c>
      <c r="M217" s="105" t="s">
        <v>181</v>
      </c>
      <c r="N217" s="106"/>
    </row>
    <row r="218">
      <c r="A218" s="101" t="s">
        <v>913</v>
      </c>
      <c r="B218" s="100" t="s">
        <v>912</v>
      </c>
      <c r="C218" s="100" t="s">
        <v>129</v>
      </c>
      <c r="D218" s="102" t="n">
        <v>628.99</v>
      </c>
      <c r="E218" s="103" t="n">
        <v>21.0</v>
      </c>
      <c r="F218" s="103" t="n">
        <v>496.9</v>
      </c>
      <c r="G218" s="0">
        <f>IF(ISBLANK(F218),IF(E218&gt;21.0,"Atrativo",IF(E218&lt;21.0,"Pouco atrativo","-")),IF(F218&lt;496.9,"Atrativo",IF(F218&gt;496.9,"Pouco atrativo","-")))</f>
      </c>
      <c r="H218" s="102">
        <f>IF(ISBLANK(F218),IF(E218=21,"$ 406.52","-"),IF(F218=496.9,"$ 406.52","-"))</f>
      </c>
      <c r="I218" s="103"/>
      <c r="J218" s="103"/>
      <c r="L218" s="104" t="s">
        <v>180</v>
      </c>
      <c r="M218" s="105" t="s">
        <v>181</v>
      </c>
      <c r="N218" s="106"/>
    </row>
    <row r="219">
      <c r="A219" s="101" t="s">
        <v>916</v>
      </c>
      <c r="B219" s="100" t="s">
        <v>915</v>
      </c>
      <c r="C219" s="100" t="s">
        <v>278</v>
      </c>
      <c r="D219" s="102" t="n">
        <v>100.63</v>
      </c>
      <c r="E219" s="103" t="n">
        <v>21.0</v>
      </c>
      <c r="F219" s="103" t="n">
        <v>79.5</v>
      </c>
      <c r="G219" s="0">
        <f>IF(ISBLANK(F219),IF(E219&gt;21.0,"Atrativo",IF(E219&lt;21.0,"Pouco atrativo","-")),IF(F219&lt;79.5,"Atrativo",IF(F219&gt;79.5,"Pouco atrativo","-")))</f>
      </c>
      <c r="H219" s="102">
        <f>IF(ISBLANK(F219),IF(E219=21,"$ 57.61","-"),IF(F219=79.5,"$ 57.61","-"))</f>
      </c>
      <c r="I219" s="103"/>
      <c r="J219" s="103"/>
      <c r="L219" s="104" t="s">
        <v>180</v>
      </c>
      <c r="M219" s="105" t="s">
        <v>181</v>
      </c>
      <c r="N219" s="106"/>
    </row>
    <row r="220">
      <c r="A220" s="101" t="s">
        <v>266</v>
      </c>
      <c r="B220" s="100" t="s">
        <v>918</v>
      </c>
      <c r="C220" s="100" t="s">
        <v>267</v>
      </c>
      <c r="D220" s="102" t="n">
        <v>126.33</v>
      </c>
      <c r="E220" s="103" t="n">
        <v>31.0</v>
      </c>
      <c r="F220" s="103" t="n">
        <v>87.51</v>
      </c>
      <c r="G220" s="0">
        <f>IF(ISBLANK(F220),IF(E220&gt;31.0,"Atrativo",IF(E220&lt;31.0,"Pouco atrativo","-")),IF(F220&lt;87.51,"Atrativo",IF(F220&gt;87.51,"Pouco atrativo","-")))</f>
      </c>
      <c r="H220" s="102">
        <f>IF(ISBLANK(F220),IF(E220=31,"$ 60.28","-"),IF(F220=87.51,"$ 60.28","-"))</f>
      </c>
      <c r="I220" s="103"/>
      <c r="J220" s="103"/>
      <c r="L220" s="104" t="s">
        <v>180</v>
      </c>
      <c r="M220" s="105" t="s">
        <v>181</v>
      </c>
      <c r="N220" s="106"/>
    </row>
    <row r="221">
      <c r="A221" s="101" t="s">
        <v>921</v>
      </c>
      <c r="B221" s="100" t="s">
        <v>920</v>
      </c>
      <c r="C221" s="100" t="s">
        <v>267</v>
      </c>
      <c r="D221" s="102" t="n">
        <v>161.9</v>
      </c>
      <c r="E221" s="103" t="n">
        <v>42.0</v>
      </c>
      <c r="F221" s="103" t="n">
        <v>94.7</v>
      </c>
      <c r="G221" s="0">
        <f>IF(ISBLANK(F221),IF(E221&gt;42.0,"Atrativo",IF(E221&lt;42.0,"Pouco atrativo","-")),IF(F221&lt;94.7,"Atrativo",IF(F221&gt;94.7,"Pouco atrativo","-")))</f>
      </c>
      <c r="H221" s="102">
        <f>IF(ISBLANK(F221),IF(E221=42,"$ 65.35","-"),IF(F221=94.7,"$ 65.35","-"))</f>
      </c>
      <c r="I221" s="103"/>
      <c r="J221" s="103"/>
      <c r="L221" s="104" t="s">
        <v>180</v>
      </c>
      <c r="M221" s="105" t="s">
        <v>181</v>
      </c>
      <c r="N221" s="106"/>
    </row>
    <row r="222">
      <c r="A222" s="101" t="s">
        <v>924</v>
      </c>
      <c r="B222" s="100" t="s">
        <v>923</v>
      </c>
      <c r="C222" s="100" t="s">
        <v>312</v>
      </c>
      <c r="D222" s="102" t="n">
        <v>849.25</v>
      </c>
      <c r="E222" s="103" t="n">
        <v>21.0</v>
      </c>
      <c r="F222" s="103" t="n">
        <v>670.91</v>
      </c>
      <c r="G222" s="0">
        <f>IF(ISBLANK(F222),IF(E222&gt;21.0,"Atrativo",IF(E222&lt;21.0,"Pouco atrativo","-")),IF(F222&lt;670.91,"Atrativo",IF(F222&gt;670.91,"Pouco atrativo","-")))</f>
      </c>
      <c r="H222" s="102">
        <f>IF(ISBLANK(F222),IF(E222=21,"$ 538.91","-"),IF(F222=670.91,"$ 538.91","-"))</f>
      </c>
      <c r="I222" s="103"/>
      <c r="J222" s="103"/>
      <c r="L222" s="104" t="s">
        <v>180</v>
      </c>
      <c r="M222" s="105" t="s">
        <v>181</v>
      </c>
      <c r="N222" s="106"/>
    </row>
    <row r="223">
      <c r="A223" s="101" t="s">
        <v>927</v>
      </c>
      <c r="B223" s="100" t="s">
        <v>926</v>
      </c>
      <c r="C223" s="100" t="s">
        <v>312</v>
      </c>
      <c r="D223" s="102" t="n">
        <v>694.82</v>
      </c>
      <c r="E223" s="103" t="n">
        <v>21.0</v>
      </c>
      <c r="F223" s="103" t="n">
        <v>548.91</v>
      </c>
      <c r="G223" s="0">
        <f>IF(ISBLANK(F223),IF(E223&gt;21.0,"Atrativo",IF(E223&lt;21.0,"Pouco atrativo","-")),IF(F223&lt;548.91,"Atrativo",IF(F223&gt;548.91,"Pouco atrativo","-")))</f>
      </c>
      <c r="H223" s="102">
        <f>IF(ISBLANK(F223),IF(E223=21,"$ 458.39","-"),IF(F223=548.91,"$ 458.39","-"))</f>
      </c>
      <c r="I223" s="103"/>
      <c r="J223" s="103"/>
      <c r="L223" s="104" t="s">
        <v>180</v>
      </c>
      <c r="M223" s="105" t="s">
        <v>181</v>
      </c>
      <c r="N223" s="106"/>
    </row>
    <row r="224">
      <c r="A224" s="101" t="s">
        <v>930</v>
      </c>
      <c r="B224" s="100" t="s">
        <v>929</v>
      </c>
      <c r="C224" s="100" t="s">
        <v>587</v>
      </c>
      <c r="D224" s="102" t="n">
        <v>72.14</v>
      </c>
      <c r="E224" s="103" t="n">
        <v>21.0</v>
      </c>
      <c r="F224" s="103" t="n">
        <v>56.99</v>
      </c>
      <c r="G224" s="0">
        <f>IF(ISBLANK(F224),IF(E224&gt;21.0,"Atrativo",IF(E224&lt;21.0,"Pouco atrativo","-")),IF(F224&lt;56.99,"Atrativo",IF(F224&gt;56.99,"Pouco atrativo","-")))</f>
      </c>
      <c r="H224" s="102">
        <f>IF(ISBLANK(F224),IF(E224=21,"$ 42.40","-"),IF(F224=56.99,"$ 42.40","-"))</f>
      </c>
      <c r="I224" s="103"/>
      <c r="J224" s="103"/>
      <c r="L224" s="104" t="s">
        <v>180</v>
      </c>
      <c r="M224" s="105" t="s">
        <v>181</v>
      </c>
      <c r="N224" s="106"/>
    </row>
    <row r="225">
      <c r="A225" s="101" t="s">
        <v>933</v>
      </c>
      <c r="B225" s="100" t="s">
        <v>932</v>
      </c>
      <c r="C225" s="100" t="s">
        <v>305</v>
      </c>
      <c r="D225" s="102" t="n">
        <v>185.95</v>
      </c>
      <c r="E225" s="103" t="n">
        <v>21.0</v>
      </c>
      <c r="F225" s="103" t="n">
        <v>146.9</v>
      </c>
      <c r="G225" s="0">
        <f>IF(ISBLANK(F225),IF(E225&gt;21.0,"Atrativo",IF(E225&lt;21.0,"Pouco atrativo","-")),IF(F225&lt;146.9,"Atrativo",IF(F225&gt;146.9,"Pouco atrativo","-")))</f>
      </c>
      <c r="H225" s="102">
        <f>IF(ISBLANK(F225),IF(E225=21,"$ 105.48","-"),IF(F225=146.9,"$ 105.48","-"))</f>
      </c>
      <c r="I225" s="103"/>
      <c r="J225" s="103"/>
      <c r="L225" s="104" t="s">
        <v>180</v>
      </c>
      <c r="M225" s="105" t="s">
        <v>181</v>
      </c>
      <c r="N225" s="106"/>
    </row>
    <row r="226">
      <c r="A226" s="101" t="s">
        <v>936</v>
      </c>
      <c r="B226" s="100" t="s">
        <v>935</v>
      </c>
      <c r="C226" s="100" t="s">
        <v>216</v>
      </c>
      <c r="D226" s="102" t="n">
        <v>75.82</v>
      </c>
      <c r="E226" s="103" t="n">
        <v>21.0</v>
      </c>
      <c r="F226" s="103" t="n">
        <v>59.9</v>
      </c>
      <c r="G226" s="0">
        <f>IF(ISBLANK(F226),IF(E226&gt;21.0,"Atrativo",IF(E226&lt;21.0,"Pouco atrativo","-")),IF(F226&lt;59.9,"Atrativo",IF(F226&gt;59.9,"Pouco atrativo","-")))</f>
      </c>
      <c r="H226" s="102">
        <f>IF(ISBLANK(F226),IF(E226=21,"$ 44.96","-"),IF(F226=59.9,"$ 44.96","-"))</f>
      </c>
      <c r="I226" s="103"/>
      <c r="J226" s="103"/>
      <c r="L226" s="104" t="s">
        <v>180</v>
      </c>
      <c r="M226" s="105" t="s">
        <v>181</v>
      </c>
      <c r="N226" s="106"/>
    </row>
    <row r="227">
      <c r="A227" s="101" t="s">
        <v>939</v>
      </c>
      <c r="B227" s="100" t="s">
        <v>938</v>
      </c>
      <c r="C227" s="100" t="s">
        <v>129</v>
      </c>
      <c r="D227" s="102" t="n">
        <v>75.82</v>
      </c>
      <c r="E227" s="103" t="n">
        <v>21.0</v>
      </c>
      <c r="F227" s="103" t="n">
        <v>59.9</v>
      </c>
      <c r="G227" s="0">
        <f>IF(ISBLANK(F227),IF(E227&gt;21.0,"Atrativo",IF(E227&lt;21.0,"Pouco atrativo","-")),IF(F227&lt;59.9,"Atrativo",IF(F227&gt;59.9,"Pouco atrativo","-")))</f>
      </c>
      <c r="H227" s="102">
        <f>IF(ISBLANK(F227),IF(E227=21,"$ 44.26","-"),IF(F227=59.9,"$ 44.26","-"))</f>
      </c>
      <c r="I227" s="103"/>
      <c r="J227" s="103"/>
      <c r="L227" s="104" t="s">
        <v>180</v>
      </c>
      <c r="M227" s="105" t="s">
        <v>181</v>
      </c>
      <c r="N227" s="106"/>
    </row>
    <row r="228">
      <c r="A228" s="101" t="s">
        <v>942</v>
      </c>
      <c r="B228" s="100" t="s">
        <v>941</v>
      </c>
      <c r="C228" s="100" t="s">
        <v>357</v>
      </c>
      <c r="D228" s="102" t="n">
        <v>73.9</v>
      </c>
      <c r="E228" s="103" t="n">
        <v>5.0</v>
      </c>
      <c r="F228" s="103" t="n">
        <v>70.2</v>
      </c>
      <c r="G228" s="107" t="s">
        <v>294</v>
      </c>
      <c r="H228" s="102">
        <f>IF(ISBLANK(F228),IF(E228=5,"$ 54.03","-"),IF(F228=70.2,"$ 54.03","-"))</f>
      </c>
      <c r="I228" s="103"/>
      <c r="J228" s="103"/>
      <c r="L228" s="104" t="s">
        <v>295</v>
      </c>
      <c r="M228" s="105" t="s">
        <v>181</v>
      </c>
      <c r="N228" s="101" t="s">
        <v>296</v>
      </c>
    </row>
    <row r="229">
      <c r="A229" s="101" t="s">
        <v>945</v>
      </c>
      <c r="B229" s="100" t="s">
        <v>944</v>
      </c>
      <c r="C229" s="100" t="s">
        <v>357</v>
      </c>
      <c r="D229" s="102" t="n">
        <v>170.76</v>
      </c>
      <c r="E229" s="103" t="n">
        <v>5.0</v>
      </c>
      <c r="F229" s="103" t="n">
        <v>162.22</v>
      </c>
      <c r="G229" s="107" t="s">
        <v>294</v>
      </c>
      <c r="H229" s="102">
        <f>IF(ISBLANK(F229),IF(E229=5,"$ 124.30","-"),IF(F229=162.22,"$ 124.30","-"))</f>
      </c>
      <c r="I229" s="103"/>
      <c r="J229" s="103"/>
      <c r="L229" s="104" t="s">
        <v>295</v>
      </c>
      <c r="M229" s="105" t="s">
        <v>181</v>
      </c>
      <c r="N229" s="101" t="s">
        <v>296</v>
      </c>
    </row>
    <row r="230">
      <c r="A230" s="101" t="s">
        <v>948</v>
      </c>
      <c r="B230" s="100" t="s">
        <v>947</v>
      </c>
      <c r="C230" s="100" t="s">
        <v>546</v>
      </c>
      <c r="D230" s="102" t="n">
        <v>92.15</v>
      </c>
      <c r="E230" s="103" t="n">
        <v>21.0</v>
      </c>
      <c r="F230" s="103" t="n">
        <v>72.8</v>
      </c>
      <c r="G230" s="0">
        <f>IF(ISBLANK(F230),IF(E230&gt;21.0,"Atrativo",IF(E230&lt;21.0,"Pouco atrativo","-")),IF(F230&lt;72.8,"Atrativo",IF(F230&gt;72.8,"Pouco atrativo","-")))</f>
      </c>
      <c r="H230" s="102">
        <f>IF(ISBLANK(F230),IF(E230=21,"$ 55.51","-"),IF(F230=72.8,"$ 55.51","-"))</f>
      </c>
      <c r="I230" s="103"/>
      <c r="J230" s="103"/>
      <c r="L230" s="104" t="s">
        <v>180</v>
      </c>
      <c r="M230" s="105" t="s">
        <v>181</v>
      </c>
      <c r="N230" s="106"/>
    </row>
    <row r="231">
      <c r="A231" s="101" t="s">
        <v>951</v>
      </c>
      <c r="B231" s="100" t="s">
        <v>950</v>
      </c>
      <c r="C231" s="100" t="s">
        <v>381</v>
      </c>
      <c r="D231" s="102" t="n">
        <v>621.4</v>
      </c>
      <c r="E231" s="103" t="n">
        <v>21.0</v>
      </c>
      <c r="F231" s="103" t="n">
        <v>490.91</v>
      </c>
      <c r="G231" s="0">
        <f>IF(ISBLANK(F231),IF(E231&gt;21.0,"Atrativo",IF(E231&lt;21.0,"Pouco atrativo","-")),IF(F231&lt;490.91,"Atrativo",IF(F231&gt;490.91,"Pouco atrativo","-")))</f>
      </c>
      <c r="H231" s="102">
        <f>IF(ISBLANK(F231),IF(E231=21,"$ 387.71","-"),IF(F231=490.91,"$ 387.71","-"))</f>
      </c>
      <c r="I231" s="103"/>
      <c r="J231" s="103"/>
      <c r="L231" s="104" t="s">
        <v>180</v>
      </c>
      <c r="M231" s="105" t="s">
        <v>181</v>
      </c>
      <c r="N231" s="106"/>
    </row>
    <row r="232">
      <c r="A232" s="101" t="s">
        <v>954</v>
      </c>
      <c r="B232" s="100" t="s">
        <v>953</v>
      </c>
      <c r="C232" s="100" t="s">
        <v>381</v>
      </c>
      <c r="D232" s="102" t="n">
        <v>692.29</v>
      </c>
      <c r="E232" s="103" t="n">
        <v>21.0</v>
      </c>
      <c r="F232" s="103" t="n">
        <v>546.91</v>
      </c>
      <c r="G232" s="0">
        <f>IF(ISBLANK(F232),IF(E232&gt;21.0,"Atrativo",IF(E232&lt;21.0,"Pouco atrativo","-")),IF(F232&lt;546.91,"Atrativo",IF(F232&gt;546.91,"Pouco atrativo","-")))</f>
      </c>
      <c r="H232" s="102">
        <f>IF(ISBLANK(F232),IF(E232=21,"$ 429.29","-"),IF(F232=546.91,"$ 429.29","-"))</f>
      </c>
      <c r="I232" s="103"/>
      <c r="J232" s="103"/>
      <c r="L232" s="104" t="s">
        <v>180</v>
      </c>
      <c r="M232" s="105" t="s">
        <v>181</v>
      </c>
      <c r="N232" s="106"/>
    </row>
    <row r="233">
      <c r="A233" s="101" t="s">
        <v>957</v>
      </c>
      <c r="B233" s="100" t="s">
        <v>956</v>
      </c>
      <c r="C233" s="100" t="s">
        <v>546</v>
      </c>
      <c r="D233" s="102" t="n">
        <v>91.39</v>
      </c>
      <c r="E233" s="103" t="n">
        <v>21.0</v>
      </c>
      <c r="F233" s="103" t="n">
        <v>72.2</v>
      </c>
      <c r="G233" s="0">
        <f>IF(ISBLANK(F233),IF(E233&gt;21.0,"Atrativo",IF(E233&lt;21.0,"Pouco atrativo","-")),IF(F233&lt;72.2,"Atrativo",IF(F233&gt;72.2,"Pouco atrativo","-")))</f>
      </c>
      <c r="H233" s="102">
        <f>IF(ISBLANK(F233),IF(E233=21,"$ 54.99","-"),IF(F233=72.2,"$ 54.99","-"))</f>
      </c>
      <c r="I233" s="103"/>
      <c r="J233" s="103"/>
      <c r="L233" s="104" t="s">
        <v>180</v>
      </c>
      <c r="M233" s="105" t="s">
        <v>181</v>
      </c>
      <c r="N233" s="106"/>
    </row>
    <row r="234">
      <c r="A234" s="101" t="s">
        <v>960</v>
      </c>
      <c r="B234" s="100" t="s">
        <v>959</v>
      </c>
      <c r="C234" s="100" t="s">
        <v>546</v>
      </c>
      <c r="D234" s="102" t="n">
        <v>111.39</v>
      </c>
      <c r="E234" s="103" t="n">
        <v>21.0</v>
      </c>
      <c r="F234" s="103" t="n">
        <v>88.0</v>
      </c>
      <c r="G234" s="0">
        <f>IF(ISBLANK(F234),IF(E234&gt;21.0,"Atrativo",IF(E234&lt;21.0,"Pouco atrativo","-")),IF(F234&lt;88.0,"Atrativo",IF(F234&gt;88.0,"Pouco atrativo","-")))</f>
      </c>
      <c r="H234" s="102">
        <f>IF(ISBLANK(F234),IF(E234=21,"$ 61.69","-"),IF(F234=88,"$ 61.69","-"))</f>
      </c>
      <c r="I234" s="103"/>
      <c r="J234" s="103"/>
      <c r="L234" s="104" t="s">
        <v>180</v>
      </c>
      <c r="M234" s="105" t="s">
        <v>181</v>
      </c>
      <c r="N234" s="106"/>
    </row>
    <row r="235">
      <c r="A235" s="101" t="s">
        <v>963</v>
      </c>
      <c r="B235" s="100" t="s">
        <v>962</v>
      </c>
      <c r="C235" s="100" t="s">
        <v>381</v>
      </c>
      <c r="D235" s="102" t="n">
        <v>510.01</v>
      </c>
      <c r="E235" s="103" t="n">
        <v>22.0</v>
      </c>
      <c r="F235" s="103" t="n">
        <v>399.9</v>
      </c>
      <c r="G235" s="0">
        <f>IF(ISBLANK(F235),IF(E235&gt;22.0,"Atrativo",IF(E235&lt;22.0,"Pouco atrativo","-")),IF(F235&lt;399.9,"Atrativo",IF(F235&gt;399.9,"Pouco atrativo","-")))</f>
      </c>
      <c r="H235" s="102">
        <f>IF(ISBLANK(F235),IF(E235=22,"$ 307.27","-"),IF(F235=399.9,"$ 307.27","-"))</f>
      </c>
      <c r="I235" s="103"/>
      <c r="J235" s="103"/>
      <c r="L235" s="104" t="s">
        <v>180</v>
      </c>
      <c r="M235" s="105" t="s">
        <v>181</v>
      </c>
      <c r="N235" s="106"/>
    </row>
    <row r="236">
      <c r="A236" s="101" t="s">
        <v>966</v>
      </c>
      <c r="B236" s="100" t="s">
        <v>965</v>
      </c>
      <c r="C236" s="100" t="s">
        <v>381</v>
      </c>
      <c r="D236" s="102" t="n">
        <v>692.29</v>
      </c>
      <c r="E236" s="103" t="n">
        <v>21.0</v>
      </c>
      <c r="F236" s="103" t="n">
        <v>546.91</v>
      </c>
      <c r="G236" s="0">
        <f>IF(ISBLANK(F236),IF(E236&gt;21.0,"Atrativo",IF(E236&lt;21.0,"Pouco atrativo","-")),IF(F236&lt;546.91,"Atrativo",IF(F236&gt;546.91,"Pouco atrativo","-")))</f>
      </c>
      <c r="H236" s="102">
        <f>IF(ISBLANK(F236),IF(E236=21,"$ 429.29","-"),IF(F236=546.91,"$ 429.29","-"))</f>
      </c>
      <c r="I236" s="103"/>
      <c r="J236" s="103"/>
      <c r="L236" s="104" t="s">
        <v>180</v>
      </c>
      <c r="M236" s="105" t="s">
        <v>181</v>
      </c>
      <c r="N236" s="106"/>
    </row>
    <row r="237">
      <c r="A237" s="101" t="s">
        <v>968</v>
      </c>
      <c r="B237" s="100" t="s">
        <v>967</v>
      </c>
      <c r="C237" s="100" t="s">
        <v>385</v>
      </c>
      <c r="D237" s="102" t="n">
        <v>1060.65</v>
      </c>
      <c r="E237" s="103" t="n">
        <v>21.0</v>
      </c>
      <c r="F237" s="103" t="n">
        <v>837.91</v>
      </c>
      <c r="G237" s="0">
        <f>IF(ISBLANK(F237),IF(E237&gt;21.0,"Atrativo",IF(E237&lt;21.0,"Pouco atrativo","-")),IF(F237&lt;837.91,"Atrativo",IF(F237&gt;837.91,"Pouco atrativo","-")))</f>
      </c>
      <c r="H237" s="102">
        <f>IF(ISBLANK(F237),IF(E237=21,"$ 711.11","-"),IF(F237=837.91,"$ 711.11","-"))</f>
      </c>
      <c r="I237" s="103"/>
      <c r="J237" s="103"/>
      <c r="L237" s="104" t="s">
        <v>180</v>
      </c>
      <c r="M237" s="105" t="s">
        <v>181</v>
      </c>
      <c r="N237" s="106"/>
    </row>
    <row r="238">
      <c r="A238" s="101" t="s">
        <v>971</v>
      </c>
      <c r="B238" s="100" t="s">
        <v>970</v>
      </c>
      <c r="C238" s="100" t="s">
        <v>619</v>
      </c>
      <c r="D238" s="102" t="n">
        <v>311.27</v>
      </c>
      <c r="E238" s="103" t="n">
        <v>22.0</v>
      </c>
      <c r="F238" s="103" t="n">
        <v>245.9</v>
      </c>
      <c r="G238" s="0">
        <f>IF(ISBLANK(F238),IF(E238&gt;22.0,"Atrativo",IF(E238&lt;22.0,"Pouco atrativo","-")),IF(F238&lt;245.9,"Atrativo",IF(F238&gt;245.9,"Pouco atrativo","-")))</f>
      </c>
      <c r="H238" s="102">
        <f>IF(ISBLANK(F238),IF(E238=22,"$ 192.74","-"),IF(F238=245.9,"$ 192.74","-"))</f>
      </c>
      <c r="I238" s="103"/>
      <c r="J238" s="103"/>
      <c r="L238" s="104" t="s">
        <v>180</v>
      </c>
      <c r="M238" s="105" t="s">
        <v>181</v>
      </c>
      <c r="N238" s="106"/>
    </row>
    <row r="239">
      <c r="A239" s="101" t="s">
        <v>974</v>
      </c>
      <c r="B239" s="100" t="s">
        <v>973</v>
      </c>
      <c r="C239" s="100" t="s">
        <v>619</v>
      </c>
      <c r="D239" s="102" t="n">
        <v>198.61</v>
      </c>
      <c r="E239" s="103" t="n">
        <v>21.0</v>
      </c>
      <c r="F239" s="103" t="n">
        <v>156.9</v>
      </c>
      <c r="G239" s="0">
        <f>IF(ISBLANK(F239),IF(E239&gt;21.0,"Atrativo",IF(E239&lt;21.0,"Pouco atrativo","-")),IF(F239&lt;156.9,"Atrativo",IF(F239&gt;156.9,"Pouco atrativo","-")))</f>
      </c>
      <c r="H239" s="102">
        <f>IF(ISBLANK(F239),IF(E239=21,"$ 117.32","-"),IF(F239=156.9,"$ 117.32","-"))</f>
      </c>
      <c r="I239" s="103"/>
      <c r="J239" s="103"/>
      <c r="L239" s="104" t="s">
        <v>180</v>
      </c>
      <c r="M239" s="105" t="s">
        <v>181</v>
      </c>
      <c r="N239" s="106"/>
    </row>
    <row r="240">
      <c r="A240" s="101" t="s">
        <v>977</v>
      </c>
      <c r="B240" s="100" t="s">
        <v>976</v>
      </c>
      <c r="C240" s="100" t="s">
        <v>619</v>
      </c>
      <c r="D240" s="102" t="n">
        <v>157.6</v>
      </c>
      <c r="E240" s="103" t="n">
        <v>22.0</v>
      </c>
      <c r="F240" s="103" t="n">
        <v>124.5</v>
      </c>
      <c r="G240" s="0">
        <f>IF(ISBLANK(F240),IF(E240&gt;22.0,"Atrativo",IF(E240&lt;22.0,"Pouco atrativo","-")),IF(F240&lt;124.5,"Atrativo",IF(F240&gt;124.5,"Pouco atrativo","-")))</f>
      </c>
      <c r="H240" s="102">
        <f>IF(ISBLANK(F240),IF(E240=22,"$ 84.89","-"),IF(F240=124.5,"$ 84.89","-"))</f>
      </c>
      <c r="I240" s="103"/>
      <c r="J240" s="103"/>
      <c r="L240" s="104" t="s">
        <v>180</v>
      </c>
      <c r="M240" s="105" t="s">
        <v>181</v>
      </c>
      <c r="N240" s="106"/>
    </row>
    <row r="241">
      <c r="A241" s="101" t="s">
        <v>980</v>
      </c>
      <c r="B241" s="100" t="s">
        <v>979</v>
      </c>
      <c r="C241" s="100" t="s">
        <v>981</v>
      </c>
      <c r="D241" s="102" t="n">
        <v>311.27</v>
      </c>
      <c r="E241" s="103" t="n">
        <v>22.0</v>
      </c>
      <c r="F241" s="103" t="n">
        <v>245.9</v>
      </c>
      <c r="G241" s="0">
        <f>IF(ISBLANK(F241),IF(E241&gt;22.0,"Atrativo",IF(E241&lt;22.0,"Pouco atrativo","-")),IF(F241&lt;245.9,"Atrativo",IF(F241&gt;245.9,"Pouco atrativo","-")))</f>
      </c>
      <c r="H241" s="102">
        <f>IF(ISBLANK(F241),IF(E241=22,"$ 194.20","-"),IF(F241=245.9,"$ 194.20","-"))</f>
      </c>
      <c r="I241" s="103"/>
      <c r="J241" s="103"/>
      <c r="L241" s="104" t="s">
        <v>180</v>
      </c>
      <c r="M241" s="105" t="s">
        <v>181</v>
      </c>
      <c r="N241" s="106"/>
    </row>
    <row r="242">
      <c r="A242" s="101" t="s">
        <v>984</v>
      </c>
      <c r="B242" s="100" t="s">
        <v>983</v>
      </c>
      <c r="C242" s="100" t="s">
        <v>981</v>
      </c>
      <c r="D242" s="102" t="n">
        <v>336.59</v>
      </c>
      <c r="E242" s="103" t="n">
        <v>21.0</v>
      </c>
      <c r="F242" s="103" t="n">
        <v>265.91</v>
      </c>
      <c r="G242" s="0">
        <f>IF(ISBLANK(F242),IF(E242&gt;21.0,"Atrativo",IF(E242&lt;21.0,"Pouco atrativo","-")),IF(F242&lt;265.91,"Atrativo",IF(F242&gt;265.91,"Pouco atrativo","-")))</f>
      </c>
      <c r="H242" s="102">
        <f>IF(ISBLANK(F242),IF(E242=21,"$ 196.06","-"),IF(F242=265.91,"$ 196.06","-"))</f>
      </c>
      <c r="I242" s="103"/>
      <c r="J242" s="103"/>
      <c r="L242" s="104" t="s">
        <v>180</v>
      </c>
      <c r="M242" s="105" t="s">
        <v>181</v>
      </c>
      <c r="N242" s="106"/>
    </row>
    <row r="243">
      <c r="A243" s="101" t="s">
        <v>987</v>
      </c>
      <c r="B243" s="100" t="s">
        <v>986</v>
      </c>
      <c r="C243" s="100" t="s">
        <v>981</v>
      </c>
      <c r="D243" s="102" t="n">
        <v>337.85</v>
      </c>
      <c r="E243" s="103" t="n">
        <v>21.0</v>
      </c>
      <c r="F243" s="103" t="n">
        <v>266.9</v>
      </c>
      <c r="G243" s="0">
        <f>IF(ISBLANK(F243),IF(E243&gt;21.0,"Atrativo",IF(E243&lt;21.0,"Pouco atrativo","-")),IF(F243&lt;266.9,"Atrativo",IF(F243&gt;266.9,"Pouco atrativo","-")))</f>
      </c>
      <c r="H243" s="102">
        <f>IF(ISBLANK(F243),IF(E243=21,"$ 199.55","-"),IF(F243=266.9,"$ 199.55","-"))</f>
      </c>
      <c r="I243" s="103"/>
      <c r="J243" s="103"/>
      <c r="L243" s="104" t="s">
        <v>180</v>
      </c>
      <c r="M243" s="105" t="s">
        <v>181</v>
      </c>
      <c r="N243" s="106"/>
    </row>
    <row r="244">
      <c r="A244" s="101" t="s">
        <v>990</v>
      </c>
      <c r="B244" s="100" t="s">
        <v>989</v>
      </c>
      <c r="C244" s="100" t="s">
        <v>285</v>
      </c>
      <c r="D244" s="102" t="n">
        <v>237.85</v>
      </c>
      <c r="E244" s="103" t="n">
        <v>21.0</v>
      </c>
      <c r="F244" s="103" t="n">
        <v>187.9</v>
      </c>
      <c r="G244" s="0">
        <f>IF(ISBLANK(F244),IF(E244&gt;21.0,"Atrativo",IF(E244&lt;21.0,"Pouco atrativo","-")),IF(F244&lt;187.9,"Atrativo",IF(F244&gt;187.9,"Pouco atrativo","-")))</f>
      </c>
      <c r="H244" s="102">
        <f>IF(ISBLANK(F244),IF(E244=21,"$ 146.90","-"),IF(F244=187.9,"$ 146.90","-"))</f>
      </c>
      <c r="I244" s="103"/>
      <c r="J244" s="103"/>
      <c r="L244" s="104" t="s">
        <v>180</v>
      </c>
      <c r="M244" s="105" t="s">
        <v>181</v>
      </c>
      <c r="N244" s="106"/>
    </row>
    <row r="245">
      <c r="A245" s="101" t="s">
        <v>993</v>
      </c>
      <c r="B245" s="100" t="s">
        <v>992</v>
      </c>
      <c r="C245" s="100" t="s">
        <v>274</v>
      </c>
      <c r="D245" s="102" t="n">
        <v>242.91</v>
      </c>
      <c r="E245" s="103" t="n">
        <v>21.0</v>
      </c>
      <c r="F245" s="103" t="n">
        <v>191.9</v>
      </c>
      <c r="G245" s="0">
        <f>IF(ISBLANK(F245),IF(E245&gt;21.0,"Atrativo",IF(E245&lt;21.0,"Pouco atrativo","-")),IF(F245&lt;191.9,"Atrativo",IF(F245&gt;191.9,"Pouco atrativo","-")))</f>
      </c>
      <c r="H245" s="102">
        <f>IF(ISBLANK(F245),IF(E245=21,"$ 138.53","-"),IF(F245=191.9,"$ 138.53","-"))</f>
      </c>
      <c r="I245" s="103"/>
      <c r="J245" s="103"/>
      <c r="L245" s="104" t="s">
        <v>180</v>
      </c>
      <c r="M245" s="105" t="s">
        <v>181</v>
      </c>
      <c r="N245" s="106"/>
    </row>
    <row r="246">
      <c r="A246" s="101" t="s">
        <v>996</v>
      </c>
      <c r="B246" s="100" t="s">
        <v>995</v>
      </c>
      <c r="C246" s="100" t="s">
        <v>292</v>
      </c>
      <c r="D246" s="102" t="n">
        <v>194.81</v>
      </c>
      <c r="E246" s="103" t="n">
        <v>21.0</v>
      </c>
      <c r="F246" s="103" t="n">
        <v>153.9</v>
      </c>
      <c r="G246" s="0">
        <f>IF(ISBLANK(F246),IF(E246&gt;21.0,"Atrativo",IF(E246&lt;21.0,"Pouco atrativo","-")),IF(F246&lt;153.9,"Atrativo",IF(F246&gt;153.9,"Pouco atrativo","-")))</f>
      </c>
      <c r="H246" s="102">
        <f>IF(ISBLANK(F246),IF(E246=21,"$ 107.89","-"),IF(F246=153.9,"$ 107.89","-"))</f>
      </c>
      <c r="I246" s="103"/>
      <c r="J246" s="103"/>
      <c r="L246" s="104" t="s">
        <v>180</v>
      </c>
      <c r="M246" s="105" t="s">
        <v>181</v>
      </c>
      <c r="N246" s="106"/>
    </row>
    <row r="247">
      <c r="A247" s="101" t="s">
        <v>999</v>
      </c>
      <c r="B247" s="100" t="s">
        <v>998</v>
      </c>
      <c r="C247" s="100" t="s">
        <v>263</v>
      </c>
      <c r="D247" s="102" t="n">
        <v>187.22</v>
      </c>
      <c r="E247" s="103" t="n">
        <v>22.0</v>
      </c>
      <c r="F247" s="103" t="n">
        <v>147.9</v>
      </c>
      <c r="G247" s="0">
        <f>IF(ISBLANK(F247),IF(E247&gt;22.0,"Atrativo",IF(E247&lt;22.0,"Pouco atrativo","-")),IF(F247&lt;147.9,"Atrativo",IF(F247&gt;147.9,"Pouco atrativo","-")))</f>
      </c>
      <c r="H247" s="102">
        <f>IF(ISBLANK(F247),IF(E247=22,"$ 106.31","-"),IF(F247=147.9,"$ 106.31","-"))</f>
      </c>
      <c r="I247" s="103"/>
      <c r="J247" s="103"/>
      <c r="L247" s="104" t="s">
        <v>180</v>
      </c>
      <c r="M247" s="105" t="s">
        <v>181</v>
      </c>
      <c r="N247" s="106"/>
    </row>
    <row r="248">
      <c r="A248" s="101" t="s">
        <v>1002</v>
      </c>
      <c r="B248" s="100" t="s">
        <v>1001</v>
      </c>
      <c r="C248" s="100" t="s">
        <v>263</v>
      </c>
      <c r="D248" s="102" t="n">
        <v>312.54</v>
      </c>
      <c r="E248" s="103" t="n">
        <v>21.0</v>
      </c>
      <c r="F248" s="103" t="n">
        <v>246.91</v>
      </c>
      <c r="G248" s="0">
        <f>IF(ISBLANK(F248),IF(E248&gt;21.0,"Atrativo",IF(E248&lt;21.0,"Pouco atrativo","-")),IF(F248&lt;246.91,"Atrativo",IF(F248&gt;246.91,"Pouco atrativo","-")))</f>
      </c>
      <c r="H248" s="102">
        <f>IF(ISBLANK(F248),IF(E248=21,"$ 186.45","-"),IF(F248=246.91,"$ 186.45","-"))</f>
      </c>
      <c r="I248" s="103"/>
      <c r="J248" s="103"/>
      <c r="L248" s="104" t="s">
        <v>180</v>
      </c>
      <c r="M248" s="105" t="s">
        <v>181</v>
      </c>
      <c r="N248" s="106"/>
    </row>
    <row r="249">
      <c r="A249" s="101" t="s">
        <v>448</v>
      </c>
      <c r="B249" s="100" t="s">
        <v>1004</v>
      </c>
      <c r="C249" s="100" t="s">
        <v>449</v>
      </c>
      <c r="D249" s="102" t="n">
        <v>34.05</v>
      </c>
      <c r="E249" s="103" t="n">
        <v>23.0</v>
      </c>
      <c r="F249" s="103" t="n">
        <v>26.5</v>
      </c>
      <c r="G249" s="0">
        <f>IF(ISBLANK(F249),IF(E249&gt;23.0,"Atrativo",IF(E249&lt;23.0,"Pouco atrativo","-")),IF(F249&lt;26.5,"Atrativo",IF(F249&gt;26.5,"Pouco atrativo","-")))</f>
      </c>
      <c r="H249" s="102">
        <f>IF(ISBLANK(F249),IF(E249=23,"$ 16.70","-"),IF(F249=26.5,"$ 16.70","-"))</f>
      </c>
      <c r="I249" s="103"/>
      <c r="J249" s="103"/>
      <c r="L249" s="104" t="s">
        <v>180</v>
      </c>
      <c r="M249" s="105" t="s">
        <v>181</v>
      </c>
      <c r="N249" s="106"/>
    </row>
    <row r="250">
      <c r="A250" s="101" t="s">
        <v>1007</v>
      </c>
      <c r="B250" s="100" t="s">
        <v>1006</v>
      </c>
      <c r="C250" s="100" t="s">
        <v>449</v>
      </c>
      <c r="D250" s="102" t="n">
        <v>34.05</v>
      </c>
      <c r="E250" s="103" t="n">
        <v>22.0</v>
      </c>
      <c r="F250" s="103" t="n">
        <v>26.73</v>
      </c>
      <c r="G250" s="0">
        <f>IF(ISBLANK(F250),IF(E250&gt;22.0,"Atrativo",IF(E250&lt;22.0,"Pouco atrativo","-")),IF(F250&lt;26.73,"Atrativo",IF(F250&gt;26.73,"Pouco atrativo","-")))</f>
      </c>
      <c r="H250" s="102">
        <f>IF(ISBLANK(F250),IF(E250=22,"$ 17.11","-"),IF(F250=26.73,"$ 17.11","-"))</f>
      </c>
      <c r="I250" s="103"/>
      <c r="J250" s="103"/>
      <c r="L250" s="104" t="s">
        <v>180</v>
      </c>
      <c r="M250" s="105" t="s">
        <v>181</v>
      </c>
      <c r="N250" s="106"/>
    </row>
    <row r="251">
      <c r="A251" s="101" t="s">
        <v>1010</v>
      </c>
      <c r="B251" s="100" t="s">
        <v>1009</v>
      </c>
      <c r="C251" s="100" t="s">
        <v>1011</v>
      </c>
      <c r="D251" s="102" t="n">
        <v>41.14</v>
      </c>
      <c r="E251" s="103" t="n">
        <v>22.0</v>
      </c>
      <c r="F251" s="103" t="n">
        <v>32.5</v>
      </c>
      <c r="G251" s="0">
        <f>IF(ISBLANK(F251),IF(E251&gt;22.0,"Atrativo",IF(E251&lt;22.0,"Pouco atrativo","-")),IF(F251&lt;32.5,"Atrativo",IF(F251&gt;32.5,"Pouco atrativo","-")))</f>
      </c>
      <c r="H251" s="102">
        <f>IF(ISBLANK(F251),IF(E251=22,"$ 22.21","-"),IF(F251=32.5,"$ 22.21","-"))</f>
      </c>
      <c r="I251" s="103"/>
      <c r="J251" s="103"/>
      <c r="L251" s="104" t="s">
        <v>180</v>
      </c>
      <c r="M251" s="105" t="s">
        <v>181</v>
      </c>
      <c r="N251" s="106"/>
    </row>
    <row r="252">
      <c r="A252" s="101" t="s">
        <v>1010</v>
      </c>
      <c r="B252" s="100" t="s">
        <v>1013</v>
      </c>
      <c r="C252" s="100" t="s">
        <v>1011</v>
      </c>
      <c r="D252" s="102" t="n">
        <v>66.96</v>
      </c>
      <c r="E252" s="103" t="n">
        <v>21.0</v>
      </c>
      <c r="F252" s="103" t="n">
        <v>52.9</v>
      </c>
      <c r="G252" s="0">
        <f>IF(ISBLANK(F252),IF(E252&gt;21.0,"Atrativo",IF(E252&lt;21.0,"Pouco atrativo","-")),IF(F252&lt;52.9,"Atrativo",IF(F252&gt;52.9,"Pouco atrativo","-")))</f>
      </c>
      <c r="H252" s="102">
        <f>IF(ISBLANK(F252),IF(E252=21,"$ 39.07","-"),IF(F252=52.9,"$ 39.07","-"))</f>
      </c>
      <c r="I252" s="103"/>
      <c r="J252" s="103"/>
      <c r="L252" s="104" t="s">
        <v>180</v>
      </c>
      <c r="M252" s="105" t="s">
        <v>181</v>
      </c>
      <c r="N252" s="106"/>
    </row>
    <row r="253">
      <c r="A253" s="101" t="s">
        <v>1016</v>
      </c>
      <c r="B253" s="100" t="s">
        <v>1015</v>
      </c>
      <c r="C253" s="100" t="s">
        <v>506</v>
      </c>
      <c r="D253" s="102" t="n">
        <v>53.04</v>
      </c>
      <c r="E253" s="103" t="n">
        <v>22.0</v>
      </c>
      <c r="F253" s="103" t="n">
        <v>41.9</v>
      </c>
      <c r="G253" s="0">
        <f>IF(ISBLANK(F253),IF(E253&gt;22.0,"Atrativo",IF(E253&lt;22.0,"Pouco atrativo","-")),IF(F253&lt;41.9,"Atrativo",IF(F253&gt;41.9,"Pouco atrativo","-")))</f>
      </c>
      <c r="H253" s="102">
        <f>IF(ISBLANK(F253),IF(E253=22,"$ 30.32","-"),IF(F253=41.9,"$ 30.32","-"))</f>
      </c>
      <c r="I253" s="103"/>
      <c r="J253" s="103"/>
      <c r="L253" s="104" t="s">
        <v>180</v>
      </c>
      <c r="M253" s="105" t="s">
        <v>181</v>
      </c>
      <c r="N253" s="106"/>
    </row>
    <row r="254">
      <c r="A254" s="101" t="s">
        <v>1019</v>
      </c>
      <c r="B254" s="100" t="s">
        <v>1018</v>
      </c>
      <c r="C254" s="100" t="s">
        <v>483</v>
      </c>
      <c r="D254" s="102" t="n">
        <v>37.99</v>
      </c>
      <c r="E254" s="103" t="n">
        <v>5.0</v>
      </c>
      <c r="F254" s="103" t="n">
        <v>36.09</v>
      </c>
      <c r="G254" s="107" t="s">
        <v>294</v>
      </c>
      <c r="H254" s="102">
        <f>IF(ISBLANK(F254),IF(E254=5,"$ 25.21","-"),IF(F254=36.09,"$ 25.21","-"))</f>
      </c>
      <c r="I254" s="103"/>
      <c r="J254" s="103"/>
      <c r="L254" s="104" t="s">
        <v>295</v>
      </c>
      <c r="M254" s="105" t="s">
        <v>181</v>
      </c>
      <c r="N254" s="101" t="s">
        <v>296</v>
      </c>
    </row>
    <row r="255">
      <c r="A255" s="101" t="s">
        <v>1022</v>
      </c>
      <c r="B255" s="100" t="s">
        <v>1021</v>
      </c>
      <c r="C255" s="100" t="s">
        <v>413</v>
      </c>
      <c r="D255" s="102" t="n">
        <v>178.36</v>
      </c>
      <c r="E255" s="103" t="n">
        <v>22.0</v>
      </c>
      <c r="F255" s="103" t="n">
        <v>140.9</v>
      </c>
      <c r="G255" s="0">
        <f>IF(ISBLANK(F255),IF(E255&gt;22.0,"Atrativo",IF(E255&lt;22.0,"Pouco atrativo","-")),IF(F255&lt;140.9,"Atrativo",IF(F255&gt;140.9,"Pouco atrativo","-")))</f>
      </c>
      <c r="H255" s="102">
        <f>IF(ISBLANK(F255),IF(E255=22,"$ 100.50","-"),IF(F255=140.9,"$ 100.50","-"))</f>
      </c>
      <c r="I255" s="103"/>
      <c r="J255" s="103"/>
      <c r="L255" s="104" t="s">
        <v>180</v>
      </c>
      <c r="M255" s="105" t="s">
        <v>181</v>
      </c>
      <c r="N255" s="106"/>
    </row>
    <row r="256">
      <c r="A256" s="101" t="s">
        <v>1025</v>
      </c>
      <c r="B256" s="100" t="s">
        <v>1024</v>
      </c>
      <c r="C256" s="100" t="s">
        <v>557</v>
      </c>
      <c r="D256" s="102" t="n">
        <v>173.29</v>
      </c>
      <c r="E256" s="103" t="n">
        <v>21.0</v>
      </c>
      <c r="F256" s="103" t="n">
        <v>136.9</v>
      </c>
      <c r="G256" s="0">
        <f>IF(ISBLANK(F256),IF(E256&gt;21.0,"Atrativo",IF(E256&lt;21.0,"Pouco atrativo","-")),IF(F256&lt;136.9,"Atrativo",IF(F256&gt;136.9,"Pouco atrativo","-")))</f>
      </c>
      <c r="H256" s="102">
        <f>IF(ISBLANK(F256),IF(E256=21,"$ 97.18","-"),IF(F256=136.9,"$ 97.18","-"))</f>
      </c>
      <c r="I256" s="103"/>
      <c r="J256" s="103"/>
      <c r="L256" s="104" t="s">
        <v>180</v>
      </c>
      <c r="M256" s="105" t="s">
        <v>181</v>
      </c>
      <c r="N256" s="106"/>
    </row>
    <row r="257">
      <c r="A257" s="101" t="s">
        <v>1028</v>
      </c>
      <c r="B257" s="100" t="s">
        <v>1027</v>
      </c>
      <c r="C257" s="100" t="s">
        <v>557</v>
      </c>
      <c r="D257" s="102" t="n">
        <v>187.22</v>
      </c>
      <c r="E257" s="103" t="n">
        <v>22.0</v>
      </c>
      <c r="F257" s="103" t="n">
        <v>147.9</v>
      </c>
      <c r="G257" s="0">
        <f>IF(ISBLANK(F257),IF(E257&gt;22.0,"Atrativo",IF(E257&lt;22.0,"Pouco atrativo","-")),IF(F257&lt;147.9,"Atrativo",IF(F257&gt;147.9,"Pouco atrativo","-")))</f>
      </c>
      <c r="H257" s="102">
        <f>IF(ISBLANK(F257),IF(E257=22,"$ 106.31","-"),IF(F257=147.9,"$ 106.31","-"))</f>
      </c>
      <c r="I257" s="103"/>
      <c r="J257" s="103"/>
      <c r="L257" s="104" t="s">
        <v>180</v>
      </c>
      <c r="M257" s="105" t="s">
        <v>181</v>
      </c>
      <c r="N257" s="106"/>
    </row>
    <row r="258">
      <c r="A258" s="101" t="s">
        <v>1030</v>
      </c>
      <c r="B258" s="100" t="s">
        <v>1029</v>
      </c>
      <c r="C258" s="100" t="s">
        <v>367</v>
      </c>
      <c r="D258" s="102" t="n">
        <v>173.29</v>
      </c>
      <c r="E258" s="103" t="n">
        <v>21.0</v>
      </c>
      <c r="F258" s="103" t="n">
        <v>136.9</v>
      </c>
      <c r="G258" s="0">
        <f>IF(ISBLANK(F258),IF(E258&gt;21.0,"Atrativo",IF(E258&lt;21.0,"Pouco atrativo","-")),IF(F258&lt;136.9,"Atrativo",IF(F258&gt;136.9,"Pouco atrativo","-")))</f>
      </c>
      <c r="H258" s="102">
        <f>IF(ISBLANK(F258),IF(E258=21,"$ 97.18","-"),IF(F258=136.9,"$ 97.18","-"))</f>
      </c>
      <c r="I258" s="103"/>
      <c r="J258" s="103"/>
      <c r="L258" s="104" t="s">
        <v>180</v>
      </c>
      <c r="M258" s="105" t="s">
        <v>181</v>
      </c>
      <c r="N258" s="106"/>
    </row>
    <row r="259">
      <c r="A259" s="101" t="s">
        <v>1032</v>
      </c>
      <c r="B259" s="100" t="s">
        <v>1031</v>
      </c>
      <c r="C259" s="100" t="s">
        <v>377</v>
      </c>
      <c r="D259" s="102" t="n">
        <v>345.45</v>
      </c>
      <c r="E259" s="103" t="n">
        <v>21.0</v>
      </c>
      <c r="F259" s="103" t="n">
        <v>272.91</v>
      </c>
      <c r="G259" s="0">
        <f>IF(ISBLANK(F259),IF(E259&gt;21.0,"Atrativo",IF(E259&lt;21.0,"Pouco atrativo","-")),IF(F259&lt;272.91,"Atrativo",IF(F259&gt;272.91,"Pouco atrativo","-")))</f>
      </c>
      <c r="H259" s="102">
        <f>IF(ISBLANK(F259),IF(E259=21,"$ 215.51","-"),IF(F259=272.91,"$ 215.51","-"))</f>
      </c>
      <c r="I259" s="103"/>
      <c r="J259" s="103"/>
      <c r="L259" s="104" t="s">
        <v>180</v>
      </c>
      <c r="M259" s="105" t="s">
        <v>181</v>
      </c>
      <c r="N259" s="106"/>
    </row>
    <row r="260">
      <c r="A260" s="101" t="s">
        <v>1035</v>
      </c>
      <c r="B260" s="100" t="s">
        <v>1034</v>
      </c>
      <c r="C260" s="100" t="s">
        <v>610</v>
      </c>
      <c r="D260" s="102" t="n">
        <v>236.59</v>
      </c>
      <c r="E260" s="103" t="n">
        <v>21.0</v>
      </c>
      <c r="F260" s="103" t="n">
        <v>186.91</v>
      </c>
      <c r="G260" s="0">
        <f>IF(ISBLANK(F260),IF(E260&gt;21.0,"Atrativo",IF(E260&lt;21.0,"Pouco atrativo","-")),IF(F260&lt;186.91,"Atrativo",IF(F260&gt;186.91,"Pouco atrativo","-")))</f>
      </c>
      <c r="H260" s="102">
        <f>IF(ISBLANK(F260),IF(E260=21,"$ 136.69","-"),IF(F260=186.91,"$ 136.69","-"))</f>
      </c>
      <c r="I260" s="103"/>
      <c r="J260" s="103"/>
      <c r="L260" s="104" t="s">
        <v>180</v>
      </c>
      <c r="M260" s="105" t="s">
        <v>181</v>
      </c>
      <c r="N260" s="106"/>
    </row>
    <row r="261">
      <c r="A261" s="101" t="s">
        <v>1038</v>
      </c>
      <c r="B261" s="100" t="s">
        <v>1037</v>
      </c>
      <c r="C261" s="100" t="s">
        <v>610</v>
      </c>
      <c r="D261" s="102" t="n">
        <v>223.93</v>
      </c>
      <c r="E261" s="103" t="n">
        <v>22.0</v>
      </c>
      <c r="F261" s="103" t="n">
        <v>176.9</v>
      </c>
      <c r="G261" s="0">
        <f>IF(ISBLANK(F261),IF(E261&gt;22.0,"Atrativo",IF(E261&lt;22.0,"Pouco atrativo","-")),IF(F261&lt;176.9,"Atrativo",IF(F261&gt;176.9,"Pouco atrativo","-")))</f>
      </c>
      <c r="H261" s="102">
        <f>IF(ISBLANK(F261),IF(E261=22,"$ 128.38","-"),IF(F261=176.9,"$ 128.38","-"))</f>
      </c>
      <c r="I261" s="103"/>
      <c r="J261" s="103"/>
      <c r="L261" s="104" t="s">
        <v>180</v>
      </c>
      <c r="M261" s="105" t="s">
        <v>181</v>
      </c>
      <c r="N261" s="106"/>
    </row>
    <row r="262">
      <c r="A262" s="101" t="s">
        <v>1041</v>
      </c>
      <c r="B262" s="100" t="s">
        <v>1040</v>
      </c>
      <c r="C262" s="100" t="s">
        <v>526</v>
      </c>
      <c r="D262" s="102" t="n">
        <v>91.01</v>
      </c>
      <c r="E262" s="103" t="n">
        <v>21.0</v>
      </c>
      <c r="F262" s="103" t="n">
        <v>71.9</v>
      </c>
      <c r="G262" s="0">
        <f>IF(ISBLANK(F262),IF(E262&gt;21.0,"Atrativo",IF(E262&lt;21.0,"Pouco atrativo","-")),IF(F262&lt;71.9,"Atrativo",IF(F262&gt;71.9,"Pouco atrativo","-")))</f>
      </c>
      <c r="H262" s="102">
        <f>IF(ISBLANK(F262),IF(E262=21,"$ 51.93","-"),IF(F262=71.9,"$ 51.93","-"))</f>
      </c>
      <c r="I262" s="103"/>
      <c r="J262" s="103"/>
      <c r="L262" s="104" t="s">
        <v>180</v>
      </c>
      <c r="M262" s="105" t="s">
        <v>181</v>
      </c>
      <c r="N262" s="106"/>
    </row>
    <row r="263">
      <c r="A263" s="101" t="s">
        <v>1044</v>
      </c>
      <c r="B263" s="100" t="s">
        <v>1043</v>
      </c>
      <c r="C263" s="100" t="s">
        <v>1045</v>
      </c>
      <c r="D263" s="102" t="n">
        <v>303.67</v>
      </c>
      <c r="E263" s="103" t="n">
        <v>21.0</v>
      </c>
      <c r="F263" s="103" t="n">
        <v>239.9</v>
      </c>
      <c r="G263" s="0">
        <f>IF(ISBLANK(F263),IF(E263&gt;21.0,"Atrativo",IF(E263&lt;21.0,"Pouco atrativo","-")),IF(F263&lt;239.9,"Atrativo",IF(F263&gt;239.9,"Pouco atrativo","-")))</f>
      </c>
      <c r="H263" s="102">
        <f>IF(ISBLANK(F263),IF(E263=21,"$ 188.56","-"),IF(F263=239.9,"$ 188.56","-"))</f>
      </c>
      <c r="I263" s="103"/>
      <c r="J263" s="103"/>
      <c r="L263" s="104" t="s">
        <v>180</v>
      </c>
      <c r="M263" s="105" t="s">
        <v>181</v>
      </c>
      <c r="N263" s="106"/>
    </row>
    <row r="264">
      <c r="A264" s="101" t="s">
        <v>1048</v>
      </c>
      <c r="B264" s="100" t="s">
        <v>1047</v>
      </c>
      <c r="C264" s="100" t="s">
        <v>1049</v>
      </c>
      <c r="D264" s="102" t="n">
        <v>212.53</v>
      </c>
      <c r="E264" s="103" t="n">
        <v>21.0</v>
      </c>
      <c r="F264" s="103" t="n">
        <v>167.9</v>
      </c>
      <c r="G264" s="0">
        <f>IF(ISBLANK(F264),IF(E264&gt;21.0,"Atrativo",IF(E264&lt;21.0,"Pouco atrativo","-")),IF(F264&lt;167.9,"Atrativo",IF(F264&gt;167.9,"Pouco atrativo","-")))</f>
      </c>
      <c r="H264" s="102">
        <f>IF(ISBLANK(F264),IF(E264=21,"$ 118.61","-"),IF(F264=167.9,"$ 118.61","-"))</f>
      </c>
      <c r="I264" s="103"/>
      <c r="J264" s="103"/>
      <c r="L264" s="104" t="s">
        <v>180</v>
      </c>
      <c r="M264" s="105" t="s">
        <v>181</v>
      </c>
      <c r="N264" s="106"/>
    </row>
    <row r="265">
      <c r="A265" s="101" t="s">
        <v>1052</v>
      </c>
      <c r="B265" s="100" t="s">
        <v>1051</v>
      </c>
      <c r="C265" s="100" t="s">
        <v>1049</v>
      </c>
      <c r="D265" s="102" t="n">
        <v>141.9</v>
      </c>
      <c r="E265" s="103" t="n">
        <v>5.0</v>
      </c>
      <c r="F265" s="103" t="n">
        <v>134.8</v>
      </c>
      <c r="G265" s="107" t="s">
        <v>294</v>
      </c>
      <c r="H265" s="102">
        <f>IF(ISBLANK(F265),IF(E265=5,"$ 100.17","-"),IF(F265=134.8,"$ 100.17","-"))</f>
      </c>
      <c r="I265" s="103"/>
      <c r="J265" s="103"/>
      <c r="L265" s="104" t="s">
        <v>295</v>
      </c>
      <c r="M265" s="105" t="s">
        <v>181</v>
      </c>
      <c r="N265" s="101" t="s">
        <v>296</v>
      </c>
    </row>
    <row r="266">
      <c r="A266" s="101" t="s">
        <v>1055</v>
      </c>
      <c r="B266" s="100" t="s">
        <v>1054</v>
      </c>
      <c r="C266" s="100" t="s">
        <v>1049</v>
      </c>
      <c r="D266" s="102" t="n">
        <v>208.74</v>
      </c>
      <c r="E266" s="103" t="n">
        <v>22.0</v>
      </c>
      <c r="F266" s="103" t="n">
        <v>164.9</v>
      </c>
      <c r="G266" s="0">
        <f>IF(ISBLANK(F266),IF(E266&gt;22.0,"Atrativo",IF(E266&lt;22.0,"Pouco atrativo","-")),IF(F266&lt;164.9,"Atrativo",IF(F266&gt;164.9,"Pouco atrativo","-")))</f>
      </c>
      <c r="H266" s="102">
        <f>IF(ISBLANK(F266),IF(E266=22,"$ 117.02","-"),IF(F266=164.9,"$ 117.02","-"))</f>
      </c>
      <c r="I266" s="103"/>
      <c r="J266" s="103"/>
      <c r="L266" s="104" t="s">
        <v>180</v>
      </c>
      <c r="M266" s="105" t="s">
        <v>181</v>
      </c>
      <c r="N266" s="106"/>
    </row>
    <row r="267">
      <c r="A267" s="101" t="s">
        <v>1058</v>
      </c>
      <c r="B267" s="100" t="s">
        <v>1057</v>
      </c>
      <c r="C267" s="100" t="s">
        <v>129</v>
      </c>
      <c r="D267" s="102" t="n">
        <v>630.26</v>
      </c>
      <c r="E267" s="103" t="n">
        <v>21.0</v>
      </c>
      <c r="F267" s="103" t="n">
        <v>497.91</v>
      </c>
      <c r="G267" s="0">
        <f>IF(ISBLANK(F267),IF(E267&gt;21.0,"Atrativo",IF(E267&lt;21.0,"Pouco atrativo","-")),IF(F267&lt;497.91,"Atrativo",IF(F267&gt;497.91,"Pouco atrativo","-")))</f>
      </c>
      <c r="H267" s="102">
        <f>IF(ISBLANK(F267),IF(E267=21,"$ 414.79","-"),IF(F267=497.91,"$ 414.79","-"))</f>
      </c>
      <c r="I267" s="103"/>
      <c r="J267" s="103"/>
      <c r="L267" s="104" t="s">
        <v>180</v>
      </c>
      <c r="M267" s="105" t="s">
        <v>181</v>
      </c>
      <c r="N267" s="106"/>
    </row>
    <row r="268">
      <c r="A268" s="101" t="s">
        <v>1061</v>
      </c>
      <c r="B268" s="100" t="s">
        <v>1060</v>
      </c>
      <c r="C268" s="100" t="s">
        <v>653</v>
      </c>
      <c r="D268" s="102" t="n">
        <v>128.99</v>
      </c>
      <c r="E268" s="103" t="n">
        <v>22.0</v>
      </c>
      <c r="F268" s="103" t="n">
        <v>101.9</v>
      </c>
      <c r="G268" s="0">
        <f>IF(ISBLANK(F268),IF(E268&gt;22.0,"Atrativo",IF(E268&lt;22.0,"Pouco atrativo","-")),IF(F268&lt;101.9,"Atrativo",IF(F268&gt;101.9,"Pouco atrativo","-")))</f>
      </c>
      <c r="H268" s="102">
        <f>IF(ISBLANK(F268),IF(E268=22,"$ 75.32","-"),IF(F268=101.9,"$ 75.32","-"))</f>
      </c>
      <c r="I268" s="103"/>
      <c r="J268" s="103"/>
      <c r="L268" s="104" t="s">
        <v>180</v>
      </c>
      <c r="M268" s="105" t="s">
        <v>181</v>
      </c>
      <c r="N268" s="106"/>
    </row>
    <row r="269">
      <c r="A269" s="101" t="s">
        <v>1064</v>
      </c>
      <c r="B269" s="100" t="s">
        <v>1063</v>
      </c>
      <c r="C269" s="100" t="s">
        <v>129</v>
      </c>
      <c r="D269" s="102" t="n">
        <v>149.24</v>
      </c>
      <c r="E269" s="103" t="n">
        <v>5.0</v>
      </c>
      <c r="F269" s="103" t="n">
        <v>141.77</v>
      </c>
      <c r="G269" s="107" t="s">
        <v>294</v>
      </c>
      <c r="H269" s="102">
        <f>IF(ISBLANK(F269),IF(E269=5,"$ 107.11","-"),IF(F269=141.77,"$ 107.11","-"))</f>
      </c>
      <c r="I269" s="103"/>
      <c r="J269" s="103"/>
      <c r="L269" s="104" t="s">
        <v>295</v>
      </c>
      <c r="M269" s="105" t="s">
        <v>181</v>
      </c>
      <c r="N269" s="101" t="s">
        <v>296</v>
      </c>
    </row>
    <row r="270">
      <c r="A270" s="101" t="s">
        <v>1067</v>
      </c>
      <c r="B270" s="100" t="s">
        <v>1066</v>
      </c>
      <c r="C270" s="100" t="s">
        <v>438</v>
      </c>
      <c r="D270" s="102" t="n">
        <v>174.56</v>
      </c>
      <c r="E270" s="103" t="n">
        <v>22.0</v>
      </c>
      <c r="F270" s="103" t="n">
        <v>137.9</v>
      </c>
      <c r="G270" s="0">
        <f>IF(ISBLANK(F270),IF(E270&gt;22.0,"Atrativo",IF(E270&lt;22.0,"Pouco atrativo","-")),IF(F270&lt;137.9,"Atrativo",IF(F270&gt;137.9,"Pouco atrativo","-")))</f>
      </c>
      <c r="H270" s="102">
        <f>IF(ISBLANK(F270),IF(E270=22,"$ 98.01","-"),IF(F270=137.9,"$ 98.01","-"))</f>
      </c>
      <c r="I270" s="103"/>
      <c r="J270" s="103"/>
      <c r="L270" s="104" t="s">
        <v>180</v>
      </c>
      <c r="M270" s="105" t="s">
        <v>181</v>
      </c>
      <c r="N270" s="106"/>
    </row>
    <row r="271">
      <c r="A271" s="101" t="s">
        <v>1070</v>
      </c>
      <c r="B271" s="100" t="s">
        <v>1069</v>
      </c>
      <c r="C271" s="100" t="s">
        <v>438</v>
      </c>
      <c r="D271" s="102" t="n">
        <v>173.29</v>
      </c>
      <c r="E271" s="103" t="n">
        <v>21.0</v>
      </c>
      <c r="F271" s="103" t="n">
        <v>136.9</v>
      </c>
      <c r="G271" s="0">
        <f>IF(ISBLANK(F271),IF(E271&gt;21.0,"Atrativo",IF(E271&lt;21.0,"Pouco atrativo","-")),IF(F271&lt;136.9,"Atrativo",IF(F271&gt;136.9,"Pouco atrativo","-")))</f>
      </c>
      <c r="H271" s="102">
        <f>IF(ISBLANK(F271),IF(E271=21,"$ 104.02","-"),IF(F271=136.9,"$ 104.02","-"))</f>
      </c>
      <c r="I271" s="103"/>
      <c r="J271" s="103"/>
      <c r="L271" s="104" t="s">
        <v>180</v>
      </c>
      <c r="M271" s="105" t="s">
        <v>181</v>
      </c>
      <c r="N271" s="106"/>
    </row>
    <row r="272">
      <c r="A272" s="101" t="s">
        <v>1072</v>
      </c>
      <c r="B272" s="100" t="s">
        <v>1071</v>
      </c>
      <c r="C272" s="100" t="s">
        <v>438</v>
      </c>
      <c r="D272" s="102" t="n">
        <v>165.7</v>
      </c>
      <c r="E272" s="103" t="n">
        <v>22.0</v>
      </c>
      <c r="F272" s="103" t="n">
        <v>130.9</v>
      </c>
      <c r="G272" s="0">
        <f>IF(ISBLANK(F272),IF(E272&gt;22.0,"Atrativo",IF(E272&lt;22.0,"Pouco atrativo","-")),IF(F272&lt;130.9,"Atrativo",IF(F272&gt;130.9,"Pouco atrativo","-")))</f>
      </c>
      <c r="H272" s="102">
        <f>IF(ISBLANK(F272),IF(E272=22,"$ 98.74","-"),IF(F272=130.9,"$ 98.74","-"))</f>
      </c>
      <c r="I272" s="103"/>
      <c r="J272" s="103"/>
      <c r="L272" s="104" t="s">
        <v>180</v>
      </c>
      <c r="M272" s="105" t="s">
        <v>181</v>
      </c>
      <c r="N272" s="106"/>
    </row>
    <row r="273">
      <c r="A273" s="101" t="s">
        <v>1075</v>
      </c>
      <c r="B273" s="100" t="s">
        <v>1074</v>
      </c>
      <c r="C273" s="100" t="s">
        <v>438</v>
      </c>
      <c r="D273" s="102" t="n">
        <v>228.99</v>
      </c>
      <c r="E273" s="103" t="n">
        <v>21.0</v>
      </c>
      <c r="F273" s="103" t="n">
        <v>180.9</v>
      </c>
      <c r="G273" s="0">
        <f>IF(ISBLANK(F273),IF(E273&gt;21.0,"Atrativo",IF(E273&lt;21.0,"Pouco atrativo","-")),IF(F273&lt;180.9,"Atrativo",IF(F273&gt;180.9,"Pouco atrativo","-")))</f>
      </c>
      <c r="H273" s="102">
        <f>IF(ISBLANK(F273),IF(E273=21,"$ 130.30","-"),IF(F273=180.9,"$ 130.30","-"))</f>
      </c>
      <c r="I273" s="103"/>
      <c r="J273" s="103"/>
      <c r="L273" s="104" t="s">
        <v>180</v>
      </c>
      <c r="M273" s="105" t="s">
        <v>181</v>
      </c>
      <c r="N273" s="106"/>
    </row>
    <row r="274">
      <c r="A274" s="101" t="s">
        <v>1078</v>
      </c>
      <c r="B274" s="100" t="s">
        <v>1077</v>
      </c>
      <c r="C274" s="100" t="s">
        <v>1079</v>
      </c>
      <c r="D274" s="102" t="n">
        <v>258.1</v>
      </c>
      <c r="E274" s="103" t="n">
        <v>21.0</v>
      </c>
      <c r="F274" s="103" t="n">
        <v>203.9</v>
      </c>
      <c r="G274" s="0">
        <f>IF(ISBLANK(F274),IF(E274&gt;21.0,"Atrativo",IF(E274&lt;21.0,"Pouco atrativo","-")),IF(F274&lt;203.9,"Atrativo",IF(F274&gt;203.9,"Pouco atrativo","-")))</f>
      </c>
      <c r="H274" s="102">
        <f>IF(ISBLANK(F274),IF(E274=21,"$ 158.48","-"),IF(F274=203.9,"$ 158.48","-"))</f>
      </c>
      <c r="I274" s="103"/>
      <c r="J274" s="103"/>
      <c r="L274" s="104" t="s">
        <v>180</v>
      </c>
      <c r="M274" s="105" t="s">
        <v>181</v>
      </c>
      <c r="N274" s="106"/>
    </row>
    <row r="275">
      <c r="A275" s="101" t="s">
        <v>1082</v>
      </c>
      <c r="B275" s="100" t="s">
        <v>1081</v>
      </c>
      <c r="C275" s="100" t="s">
        <v>1079</v>
      </c>
      <c r="D275" s="102" t="n">
        <v>287.22</v>
      </c>
      <c r="E275" s="103" t="n">
        <v>22.0</v>
      </c>
      <c r="F275" s="103" t="n">
        <v>226.9</v>
      </c>
      <c r="G275" s="0">
        <f>IF(ISBLANK(F275),IF(E275&gt;22.0,"Atrativo",IF(E275&lt;22.0,"Pouco atrativo","-")),IF(F275&lt;226.9,"Atrativo",IF(F275&gt;226.9,"Pouco atrativo","-")))</f>
      </c>
      <c r="H275" s="102">
        <f>IF(ISBLANK(F275),IF(E275=22,"$ 167.38","-"),IF(F275=226.9,"$ 167.38","-"))</f>
      </c>
      <c r="I275" s="103"/>
      <c r="J275" s="103"/>
      <c r="L275" s="104" t="s">
        <v>180</v>
      </c>
      <c r="M275" s="105" t="s">
        <v>181</v>
      </c>
      <c r="N275" s="106"/>
    </row>
    <row r="276">
      <c r="A276" s="101" t="s">
        <v>1085</v>
      </c>
      <c r="B276" s="100" t="s">
        <v>1084</v>
      </c>
      <c r="C276" s="100" t="s">
        <v>129</v>
      </c>
      <c r="D276" s="102" t="n">
        <v>222.66</v>
      </c>
      <c r="E276" s="103" t="n">
        <v>21.0</v>
      </c>
      <c r="F276" s="103" t="n">
        <v>175.9</v>
      </c>
      <c r="G276" s="0">
        <f>IF(ISBLANK(F276),IF(E276&gt;21.0,"Atrativo",IF(E276&lt;21.0,"Pouco atrativo","-")),IF(F276&lt;175.9,"Atrativo",IF(F276&gt;175.9,"Pouco atrativo","-")))</f>
      </c>
      <c r="H276" s="102">
        <f>IF(ISBLANK(F276),IF(E276=21,"$ 135.82","-"),IF(F276=175.9,"$ 135.82","-"))</f>
      </c>
      <c r="I276" s="103"/>
      <c r="J276" s="103"/>
      <c r="L276" s="104" t="s">
        <v>180</v>
      </c>
      <c r="M276" s="105" t="s">
        <v>181</v>
      </c>
      <c r="N276" s="106"/>
    </row>
    <row r="277">
      <c r="A277" s="101" t="s">
        <v>1088</v>
      </c>
      <c r="B277" s="100" t="s">
        <v>1087</v>
      </c>
      <c r="C277" s="100" t="s">
        <v>129</v>
      </c>
      <c r="D277" s="102" t="n">
        <v>220.13</v>
      </c>
      <c r="E277" s="103" t="n">
        <v>22.0</v>
      </c>
      <c r="F277" s="103" t="n">
        <v>173.9</v>
      </c>
      <c r="G277" s="0">
        <f>IF(ISBLANK(F277),IF(E277&gt;22.0,"Atrativo",IF(E277&lt;22.0,"Pouco atrativo","-")),IF(F277&lt;173.9,"Atrativo",IF(F277&gt;173.9,"Pouco atrativo","-")))</f>
      </c>
      <c r="H277" s="102">
        <f>IF(ISBLANK(F277),IF(E277=22,"$ 135.45","-"),IF(F277=173.9,"$ 135.45","-"))</f>
      </c>
      <c r="I277" s="103"/>
      <c r="J277" s="103"/>
      <c r="L277" s="104" t="s">
        <v>180</v>
      </c>
      <c r="M277" s="105" t="s">
        <v>181</v>
      </c>
      <c r="N277" s="106"/>
    </row>
    <row r="278">
      <c r="A278" s="101" t="s">
        <v>1091</v>
      </c>
      <c r="B278" s="100" t="s">
        <v>1090</v>
      </c>
      <c r="C278" s="100" t="s">
        <v>129</v>
      </c>
      <c r="D278" s="102" t="n">
        <v>358.11</v>
      </c>
      <c r="E278" s="103" t="n">
        <v>21.0</v>
      </c>
      <c r="F278" s="103" t="n">
        <v>282.91</v>
      </c>
      <c r="G278" s="0">
        <f>IF(ISBLANK(F278),IF(E278&gt;21.0,"Atrativo",IF(E278&lt;21.0,"Pouco atrativo","-")),IF(F278&lt;282.91,"Atrativo",IF(F278&gt;282.91,"Pouco atrativo","-")))</f>
      </c>
      <c r="H278" s="102">
        <f>IF(ISBLANK(F278),IF(E278=21,"$ 212.58","-"),IF(F278=282.91,"$ 212.58","-"))</f>
      </c>
      <c r="I278" s="103"/>
      <c r="J278" s="103"/>
      <c r="L278" s="104" t="s">
        <v>180</v>
      </c>
      <c r="M278" s="105" t="s">
        <v>181</v>
      </c>
      <c r="N278" s="106"/>
    </row>
    <row r="279">
      <c r="A279" s="101" t="s">
        <v>1094</v>
      </c>
      <c r="B279" s="100" t="s">
        <v>1093</v>
      </c>
      <c r="C279" s="100" t="s">
        <v>129</v>
      </c>
      <c r="D279" s="102" t="n">
        <v>356.84</v>
      </c>
      <c r="E279" s="103" t="n">
        <v>22.0</v>
      </c>
      <c r="F279" s="103" t="n">
        <v>281.9</v>
      </c>
      <c r="G279" s="0">
        <f>IF(ISBLANK(F279),IF(E279&gt;22.0,"Atrativo",IF(E279&lt;22.0,"Pouco atrativo","-")),IF(F279&lt;281.9,"Atrativo",IF(F279&gt;281.9,"Pouco atrativo","-")))</f>
      </c>
      <c r="H279" s="102">
        <f>IF(ISBLANK(F279),IF(E279=22,"$ 212.84","-"),IF(F279=281.9,"$ 212.84","-"))</f>
      </c>
      <c r="I279" s="103"/>
      <c r="J279" s="103"/>
      <c r="L279" s="104" t="s">
        <v>180</v>
      </c>
      <c r="M279" s="105" t="s">
        <v>181</v>
      </c>
      <c r="N279" s="106"/>
    </row>
    <row r="280">
      <c r="A280" s="101" t="s">
        <v>1097</v>
      </c>
      <c r="B280" s="100" t="s">
        <v>1096</v>
      </c>
      <c r="C280" s="100" t="s">
        <v>479</v>
      </c>
      <c r="D280" s="102" t="n">
        <v>673.3</v>
      </c>
      <c r="E280" s="103" t="n">
        <v>21.0</v>
      </c>
      <c r="F280" s="103" t="n">
        <v>531.91</v>
      </c>
      <c r="G280" s="0">
        <f>IF(ISBLANK(F280),IF(E280&gt;21.0,"Atrativo",IF(E280&lt;21.0,"Pouco atrativo","-")),IF(F280&lt;531.91,"Atrativo",IF(F280&gt;531.91,"Pouco atrativo","-")))</f>
      </c>
      <c r="H280" s="102">
        <f>IF(ISBLANK(F280),IF(E280=21,"$ 418.94","-"),IF(F280=531.91,"$ 418.94","-"))</f>
      </c>
      <c r="I280" s="103"/>
      <c r="J280" s="103"/>
      <c r="L280" s="104" t="s">
        <v>180</v>
      </c>
      <c r="M280" s="105" t="s">
        <v>181</v>
      </c>
      <c r="N280" s="106"/>
    </row>
    <row r="281">
      <c r="A281" s="101" t="s">
        <v>1100</v>
      </c>
      <c r="B281" s="100" t="s">
        <v>1099</v>
      </c>
      <c r="C281" s="100" t="s">
        <v>129</v>
      </c>
      <c r="D281" s="102" t="n">
        <v>127.84</v>
      </c>
      <c r="E281" s="103" t="n">
        <v>22.0</v>
      </c>
      <c r="F281" s="103" t="n">
        <v>100.99</v>
      </c>
      <c r="G281" s="0">
        <f>IF(ISBLANK(F281),IF(E281&gt;22.0,"Atrativo",IF(E281&lt;22.0,"Pouco atrativo","-")),IF(F281&lt;100.99,"Atrativo",IF(F281&gt;100.99,"Pouco atrativo","-")))</f>
      </c>
      <c r="H281" s="102">
        <f>IF(ISBLANK(F281),IF(E281=22,"$ 74.52","-"),IF(F281=100.99,"$ 74.52","-"))</f>
      </c>
      <c r="I281" s="103"/>
      <c r="J281" s="103"/>
      <c r="L281" s="104" t="s">
        <v>180</v>
      </c>
      <c r="M281" s="105" t="s">
        <v>181</v>
      </c>
      <c r="N281" s="106"/>
    </row>
    <row r="282">
      <c r="A282" s="101" t="s">
        <v>1103</v>
      </c>
      <c r="B282" s="100" t="s">
        <v>1102</v>
      </c>
      <c r="C282" s="100" t="s">
        <v>129</v>
      </c>
      <c r="D282" s="102" t="n">
        <v>122.66</v>
      </c>
      <c r="E282" s="103" t="n">
        <v>35.0</v>
      </c>
      <c r="F282" s="103" t="n">
        <v>80.9</v>
      </c>
      <c r="G282" s="0">
        <f>IF(ISBLANK(F282),IF(E282&gt;35.0,"Atrativo",IF(E282&lt;35.0,"Pouco atrativo","-")),IF(F282&lt;80.9,"Atrativo",IF(F282&gt;80.9,"Pouco atrativo","-")))</f>
      </c>
      <c r="H282" s="102">
        <f>IF(ISBLANK(F282),IF(E282=35,"$ 53.90","-"),IF(F282=80.9,"$ 53.90","-"))</f>
      </c>
      <c r="I282" s="103"/>
      <c r="J282" s="103"/>
      <c r="L282" s="104" t="s">
        <v>180</v>
      </c>
      <c r="M282" s="105" t="s">
        <v>181</v>
      </c>
      <c r="N282" s="106"/>
    </row>
    <row r="283">
      <c r="A283" s="101" t="s">
        <v>1106</v>
      </c>
      <c r="B283" s="100" t="s">
        <v>1105</v>
      </c>
      <c r="C283" s="100" t="s">
        <v>129</v>
      </c>
      <c r="D283" s="102" t="n">
        <v>134.05</v>
      </c>
      <c r="E283" s="103" t="n">
        <v>21.0</v>
      </c>
      <c r="F283" s="103" t="n">
        <v>105.9</v>
      </c>
      <c r="G283" s="0">
        <f>IF(ISBLANK(F283),IF(E283&gt;21.0,"Atrativo",IF(E283&lt;21.0,"Pouco atrativo","-")),IF(F283&lt;105.9,"Atrativo",IF(F283&gt;105.9,"Pouco atrativo","-")))</f>
      </c>
      <c r="H283" s="102">
        <f>IF(ISBLANK(F283),IF(E283=21,"$ 73.55","-"),IF(F283=105.9,"$ 73.55","-"))</f>
      </c>
      <c r="I283" s="103"/>
      <c r="J283" s="103"/>
      <c r="L283" s="104" t="s">
        <v>180</v>
      </c>
      <c r="M283" s="105" t="s">
        <v>181</v>
      </c>
      <c r="N283" s="106"/>
    </row>
    <row r="284">
      <c r="A284" s="101" t="s">
        <v>1109</v>
      </c>
      <c r="B284" s="100" t="s">
        <v>1108</v>
      </c>
      <c r="C284" s="100" t="s">
        <v>627</v>
      </c>
      <c r="D284" s="102" t="n">
        <v>88.48</v>
      </c>
      <c r="E284" s="103" t="n">
        <v>5.0</v>
      </c>
      <c r="F284" s="103" t="n">
        <v>84.05</v>
      </c>
      <c r="G284" s="107" t="s">
        <v>294</v>
      </c>
      <c r="H284" s="102">
        <f>IF(ISBLANK(F284),IF(E284=5,"$ 60.23","-"),IF(F284=84.05,"$ 60.23","-"))</f>
      </c>
      <c r="I284" s="103"/>
      <c r="J284" s="103"/>
      <c r="L284" s="104" t="s">
        <v>295</v>
      </c>
      <c r="M284" s="105" t="s">
        <v>181</v>
      </c>
      <c r="N284" s="101" t="s">
        <v>296</v>
      </c>
    </row>
    <row r="285">
      <c r="A285" s="101" t="s">
        <v>1112</v>
      </c>
      <c r="B285" s="100" t="s">
        <v>1111</v>
      </c>
      <c r="C285" s="100" t="s">
        <v>519</v>
      </c>
      <c r="D285" s="102" t="n">
        <v>155.57</v>
      </c>
      <c r="E285" s="103" t="n">
        <v>21.0</v>
      </c>
      <c r="F285" s="103" t="n">
        <v>122.9</v>
      </c>
      <c r="G285" s="0">
        <f>IF(ISBLANK(F285),IF(E285&gt;21.0,"Atrativo",IF(E285&lt;21.0,"Pouco atrativo","-")),IF(F285&lt;122.9,"Atrativo",IF(F285&gt;122.9,"Pouco atrativo","-")))</f>
      </c>
      <c r="H285" s="102">
        <f>IF(ISBLANK(F285),IF(E285=21,"$ 91.70","-"),IF(F285=122.9,"$ 91.70","-"))</f>
      </c>
      <c r="I285" s="103"/>
      <c r="J285" s="103"/>
      <c r="L285" s="104" t="s">
        <v>180</v>
      </c>
      <c r="M285" s="105" t="s">
        <v>181</v>
      </c>
      <c r="N285" s="106"/>
    </row>
    <row r="286">
      <c r="A286" s="101" t="s">
        <v>230</v>
      </c>
      <c r="B286" s="100" t="s">
        <v>1114</v>
      </c>
      <c r="C286" s="100" t="s">
        <v>231</v>
      </c>
      <c r="D286" s="102" t="n">
        <v>183.42</v>
      </c>
      <c r="E286" s="103" t="n">
        <v>21.0</v>
      </c>
      <c r="F286" s="103" t="n">
        <v>144.9</v>
      </c>
      <c r="G286" s="0">
        <f>IF(ISBLANK(F286),IF(E286&gt;21.0,"Atrativo",IF(E286&lt;21.0,"Pouco atrativo","-")),IF(F286&lt;144.9,"Atrativo",IF(F286&gt;144.9,"Pouco atrativo","-")))</f>
      </c>
      <c r="H286" s="102">
        <f>IF(ISBLANK(F286),IF(E286=21,"$ 102.62","-"),IF(F286=144.9,"$ 102.62","-"))</f>
      </c>
      <c r="I286" s="103"/>
      <c r="J286" s="103"/>
      <c r="L286" s="104" t="s">
        <v>180</v>
      </c>
      <c r="M286" s="105" t="s">
        <v>181</v>
      </c>
      <c r="N286" s="106"/>
    </row>
    <row r="287">
      <c r="A287" s="101" t="s">
        <v>1117</v>
      </c>
      <c r="B287" s="100" t="s">
        <v>1116</v>
      </c>
      <c r="C287" s="100" t="s">
        <v>1118</v>
      </c>
      <c r="D287" s="102" t="n">
        <v>534.06</v>
      </c>
      <c r="E287" s="103" t="n">
        <v>21.0</v>
      </c>
      <c r="F287" s="103" t="n">
        <v>421.91</v>
      </c>
      <c r="G287" s="0">
        <f>IF(ISBLANK(F287),IF(E287&gt;21.0,"Atrativo",IF(E287&lt;21.0,"Pouco atrativo","-")),IF(F287&lt;421.91,"Atrativo",IF(F287&gt;421.91,"Pouco atrativo","-")))</f>
      </c>
      <c r="H287" s="102">
        <f>IF(ISBLANK(F287),IF(E287=21,"$ 310.44","-"),IF(F287=421.91,"$ 310.44","-"))</f>
      </c>
      <c r="I287" s="103"/>
      <c r="J287" s="103"/>
      <c r="L287" s="104" t="s">
        <v>180</v>
      </c>
      <c r="M287" s="105" t="s">
        <v>181</v>
      </c>
      <c r="N287" s="106"/>
    </row>
    <row r="288">
      <c r="A288" s="101" t="s">
        <v>1121</v>
      </c>
      <c r="B288" s="100" t="s">
        <v>1120</v>
      </c>
      <c r="C288" s="100" t="s">
        <v>1118</v>
      </c>
      <c r="D288" s="102" t="n">
        <v>406.21</v>
      </c>
      <c r="E288" s="103" t="n">
        <v>21.0</v>
      </c>
      <c r="F288" s="103" t="n">
        <v>320.91</v>
      </c>
      <c r="G288" s="0">
        <f>IF(ISBLANK(F288),IF(E288&gt;21.0,"Atrativo",IF(E288&lt;21.0,"Pouco atrativo","-")),IF(F288&lt;320.91,"Atrativo",IF(F288&gt;320.91,"Pouco atrativo","-")))</f>
      </c>
      <c r="H288" s="102">
        <f>IF(ISBLANK(F288),IF(E288=21,"$ 229.81","-"),IF(F288=320.91,"$ 229.81","-"))</f>
      </c>
      <c r="I288" s="103"/>
      <c r="J288" s="103"/>
      <c r="L288" s="104" t="s">
        <v>180</v>
      </c>
      <c r="M288" s="105" t="s">
        <v>181</v>
      </c>
      <c r="N288" s="106"/>
    </row>
    <row r="289">
      <c r="A289" s="101" t="s">
        <v>1124</v>
      </c>
      <c r="B289" s="100" t="s">
        <v>1123</v>
      </c>
      <c r="C289" s="100" t="s">
        <v>1118</v>
      </c>
      <c r="D289" s="102" t="n">
        <v>474.56</v>
      </c>
      <c r="E289" s="103" t="n">
        <v>21.0</v>
      </c>
      <c r="F289" s="103" t="n">
        <v>374.9</v>
      </c>
      <c r="G289" s="0">
        <f>IF(ISBLANK(F289),IF(E289&gt;21.0,"Atrativo",IF(E289&lt;21.0,"Pouco atrativo","-")),IF(F289&lt;374.9,"Atrativo",IF(F289&gt;374.9,"Pouco atrativo","-")))</f>
      </c>
      <c r="H289" s="102">
        <f>IF(ISBLANK(F289),IF(E289=21,"$ 288.67","-"),IF(F289=374.9,"$ 288.67","-"))</f>
      </c>
      <c r="I289" s="103"/>
      <c r="J289" s="103"/>
      <c r="L289" s="104" t="s">
        <v>180</v>
      </c>
      <c r="M289" s="105" t="s">
        <v>181</v>
      </c>
      <c r="N289" s="106"/>
    </row>
    <row r="290">
      <c r="A290" s="101" t="s">
        <v>205</v>
      </c>
      <c r="B290" s="100" t="s">
        <v>1126</v>
      </c>
      <c r="C290" s="100" t="s">
        <v>199</v>
      </c>
      <c r="D290" s="102" t="n">
        <v>353.04</v>
      </c>
      <c r="E290" s="103" t="n">
        <v>21.0</v>
      </c>
      <c r="F290" s="103" t="n">
        <v>278.9</v>
      </c>
      <c r="G290" s="0">
        <f>IF(ISBLANK(F290),IF(E290&gt;21.0,"Atrativo",IF(E290&lt;21.0,"Pouco atrativo","-")),IF(F290&lt;278.9,"Atrativo",IF(F290&gt;278.9,"Pouco atrativo","-")))</f>
      </c>
      <c r="H290" s="102">
        <f>IF(ISBLANK(F290),IF(E290=21,"$ 205.24","-"),IF(F290=278.9,"$ 205.24","-"))</f>
      </c>
      <c r="I290" s="103"/>
      <c r="J290" s="103"/>
      <c r="L290" s="104" t="s">
        <v>180</v>
      </c>
      <c r="M290" s="105" t="s">
        <v>181</v>
      </c>
      <c r="N290" s="106"/>
    </row>
    <row r="291">
      <c r="A291" s="101" t="s">
        <v>493</v>
      </c>
      <c r="B291" s="100" t="s">
        <v>1128</v>
      </c>
      <c r="C291" s="100" t="s">
        <v>199</v>
      </c>
      <c r="D291" s="102" t="n">
        <v>321.4</v>
      </c>
      <c r="E291" s="103" t="n">
        <v>21.0</v>
      </c>
      <c r="F291" s="103" t="n">
        <v>253.91</v>
      </c>
      <c r="G291" s="0">
        <f>IF(ISBLANK(F291),IF(E291&gt;21.0,"Atrativo",IF(E291&lt;21.0,"Pouco atrativo","-")),IF(F291&lt;253.91,"Atrativo",IF(F291&gt;253.91,"Pouco atrativo","-")))</f>
      </c>
      <c r="H291" s="102">
        <f>IF(ISBLANK(F291),IF(E291=21,"$ 197.19","-"),IF(F291=253.91,"$ 197.19","-"))</f>
      </c>
      <c r="I291" s="103"/>
      <c r="J291" s="103"/>
      <c r="L291" s="104" t="s">
        <v>180</v>
      </c>
      <c r="M291" s="105" t="s">
        <v>181</v>
      </c>
      <c r="N291" s="106"/>
    </row>
    <row r="292">
      <c r="A292" s="101" t="s">
        <v>241</v>
      </c>
      <c r="B292" s="100" t="s">
        <v>1130</v>
      </c>
      <c r="C292" s="100" t="s">
        <v>129</v>
      </c>
      <c r="D292" s="102" t="n">
        <v>256.9</v>
      </c>
      <c r="E292" s="103" t="n">
        <v>5.0</v>
      </c>
      <c r="F292" s="103" t="n">
        <v>244.05</v>
      </c>
      <c r="G292" s="107" t="s">
        <v>294</v>
      </c>
      <c r="H292" s="102">
        <f>IF(ISBLANK(F292),IF(E292=5,"$ 184.05","-"),IF(F292=244.05,"$ 184.05","-"))</f>
      </c>
      <c r="I292" s="103"/>
      <c r="J292" s="103"/>
      <c r="L292" s="104" t="s">
        <v>295</v>
      </c>
      <c r="M292" s="105" t="s">
        <v>181</v>
      </c>
      <c r="N292" s="101" t="s">
        <v>296</v>
      </c>
    </row>
    <row r="293">
      <c r="A293" s="101" t="s">
        <v>1133</v>
      </c>
      <c r="B293" s="100" t="s">
        <v>1132</v>
      </c>
      <c r="C293" s="100" t="s">
        <v>513</v>
      </c>
      <c r="D293" s="102" t="n">
        <v>89.75</v>
      </c>
      <c r="E293" s="103" t="n">
        <v>22.0</v>
      </c>
      <c r="F293" s="103" t="n">
        <v>70.9</v>
      </c>
      <c r="G293" s="0">
        <f>IF(ISBLANK(F293),IF(E293&gt;22.0,"Atrativo",IF(E293&lt;22.0,"Pouco atrativo","-")),IF(F293&lt;70.9,"Atrativo",IF(F293&gt;70.9,"Pouco atrativo","-")))</f>
      </c>
      <c r="H293" s="102">
        <f>IF(ISBLANK(F293),IF(E293=22,"$ 54.64","-"),IF(F293=70.9,"$ 54.64","-"))</f>
      </c>
      <c r="I293" s="103"/>
      <c r="J293" s="103"/>
      <c r="L293" s="104" t="s">
        <v>180</v>
      </c>
      <c r="M293" s="105" t="s">
        <v>181</v>
      </c>
      <c r="N293" s="106"/>
    </row>
    <row r="294">
      <c r="A294" s="101" t="s">
        <v>1136</v>
      </c>
      <c r="B294" s="100" t="s">
        <v>1135</v>
      </c>
      <c r="C294" s="100" t="s">
        <v>574</v>
      </c>
      <c r="D294" s="102" t="n">
        <v>113.8</v>
      </c>
      <c r="E294" s="103" t="n">
        <v>22.0</v>
      </c>
      <c r="F294" s="103" t="n">
        <v>89.9</v>
      </c>
      <c r="G294" s="0">
        <f>IF(ISBLANK(F294),IF(E294&gt;22.0,"Atrativo",IF(E294&lt;22.0,"Pouco atrativo","-")),IF(F294&lt;89.9,"Atrativo",IF(F294&gt;89.9,"Pouco atrativo","-")))</f>
      </c>
      <c r="H294" s="102">
        <f>IF(ISBLANK(F294),IF(E294=22,"$ 62.27","-"),IF(F294=89.9,"$ 62.27","-"))</f>
      </c>
      <c r="I294" s="103"/>
      <c r="J294" s="103"/>
      <c r="L294" s="104" t="s">
        <v>180</v>
      </c>
      <c r="M294" s="105" t="s">
        <v>181</v>
      </c>
      <c r="N294" s="106"/>
    </row>
    <row r="295">
      <c r="A295" s="101" t="s">
        <v>1139</v>
      </c>
      <c r="B295" s="100" t="s">
        <v>1138</v>
      </c>
      <c r="C295" s="100" t="s">
        <v>599</v>
      </c>
      <c r="D295" s="102" t="n">
        <v>168.23</v>
      </c>
      <c r="E295" s="103" t="n">
        <v>22.0</v>
      </c>
      <c r="F295" s="103" t="n">
        <v>132.9</v>
      </c>
      <c r="G295" s="0">
        <f>IF(ISBLANK(F295),IF(E295&gt;22.0,"Atrativo",IF(E295&lt;22.0,"Pouco atrativo","-")),IF(F295&lt;132.9,"Atrativo",IF(F295&gt;132.9,"Pouco atrativo","-")))</f>
      </c>
      <c r="H295" s="102">
        <f>IF(ISBLANK(F295),IF(E295=22,"$ 92.66","-"),IF(F295=132.9,"$ 92.66","-"))</f>
      </c>
      <c r="I295" s="103"/>
      <c r="J295" s="103"/>
      <c r="L295" s="104" t="s">
        <v>180</v>
      </c>
      <c r="M295" s="105" t="s">
        <v>181</v>
      </c>
      <c r="N295" s="106"/>
    </row>
    <row r="296">
      <c r="A296" s="101" t="s">
        <v>1139</v>
      </c>
      <c r="B296" s="100" t="s">
        <v>1140</v>
      </c>
      <c r="C296" s="100" t="s">
        <v>599</v>
      </c>
      <c r="D296" s="102" t="n">
        <v>159.37</v>
      </c>
      <c r="E296" s="103" t="n">
        <v>22.0</v>
      </c>
      <c r="F296" s="103" t="n">
        <v>125.9</v>
      </c>
      <c r="G296" s="0">
        <f>IF(ISBLANK(F296),IF(E296&gt;22.0,"Atrativo",IF(E296&lt;22.0,"Pouco atrativo","-")),IF(F296&lt;125.9,"Atrativo",IF(F296&gt;125.9,"Pouco atrativo","-")))</f>
      </c>
      <c r="H296" s="102">
        <f>IF(ISBLANK(F296),IF(E296=22,"$ 93.14","-"),IF(F296=125.9,"$ 93.14","-"))</f>
      </c>
      <c r="I296" s="103"/>
      <c r="J296" s="103"/>
      <c r="L296" s="104" t="s">
        <v>180</v>
      </c>
      <c r="M296" s="105" t="s">
        <v>181</v>
      </c>
      <c r="N296" s="106"/>
    </row>
    <row r="297">
      <c r="A297" s="101" t="s">
        <v>1142</v>
      </c>
      <c r="B297" s="100" t="s">
        <v>1141</v>
      </c>
      <c r="C297" s="100" t="s">
        <v>553</v>
      </c>
      <c r="D297" s="102" t="n">
        <v>63.0</v>
      </c>
      <c r="E297" s="103" t="n">
        <v>5.0</v>
      </c>
      <c r="F297" s="103" t="n">
        <v>59.85</v>
      </c>
      <c r="G297" s="107" t="s">
        <v>294</v>
      </c>
      <c r="H297" s="102">
        <f>IF(ISBLANK(F297),IF(E297=5,"$ 44.72","-"),IF(F297=59.85,"$ 44.72","-"))</f>
      </c>
      <c r="I297" s="103"/>
      <c r="J297" s="103"/>
      <c r="L297" s="104" t="s">
        <v>295</v>
      </c>
      <c r="M297" s="105" t="s">
        <v>181</v>
      </c>
      <c r="N297" s="101" t="s">
        <v>296</v>
      </c>
    </row>
    <row r="298">
      <c r="A298" s="101" t="s">
        <v>1145</v>
      </c>
      <c r="B298" s="100" t="s">
        <v>1144</v>
      </c>
      <c r="C298" s="100" t="s">
        <v>603</v>
      </c>
      <c r="D298" s="102" t="n">
        <v>107.47</v>
      </c>
      <c r="E298" s="103" t="n">
        <v>5.0</v>
      </c>
      <c r="F298" s="103" t="n">
        <v>102.09</v>
      </c>
      <c r="G298" s="107" t="s">
        <v>294</v>
      </c>
      <c r="H298" s="102">
        <f>IF(ISBLANK(F298),IF(E298=5,"$ 74.39","-"),IF(F298=102.09,"$ 74.39","-"))</f>
      </c>
      <c r="I298" s="103"/>
      <c r="J298" s="103"/>
      <c r="L298" s="104" t="s">
        <v>295</v>
      </c>
      <c r="M298" s="105" t="s">
        <v>181</v>
      </c>
      <c r="N298" s="101" t="s">
        <v>296</v>
      </c>
    </row>
    <row r="299">
      <c r="A299" s="101" t="s">
        <v>1148</v>
      </c>
      <c r="B299" s="100" t="s">
        <v>1147</v>
      </c>
      <c r="C299" s="100" t="s">
        <v>653</v>
      </c>
      <c r="D299" s="102" t="n">
        <v>115.06</v>
      </c>
      <c r="E299" s="103" t="n">
        <v>21.0</v>
      </c>
      <c r="F299" s="103" t="n">
        <v>90.9</v>
      </c>
      <c r="G299" s="0">
        <f>IF(ISBLANK(F299),IF(E299&gt;21.0,"Atrativo",IF(E299&lt;21.0,"Pouco atrativo","-")),IF(F299&lt;90.9,"Atrativo",IF(F299&gt;90.9,"Pouco atrativo","-")))</f>
      </c>
      <c r="H299" s="102">
        <f>IF(ISBLANK(F299),IF(E299=21,"$ 67.64","-"),IF(F299=90.9,"$ 67.64","-"))</f>
      </c>
      <c r="I299" s="103"/>
      <c r="J299" s="103"/>
      <c r="L299" s="104" t="s">
        <v>180</v>
      </c>
      <c r="M299" s="105" t="s">
        <v>181</v>
      </c>
      <c r="N299" s="106"/>
    </row>
    <row r="300">
      <c r="A300" s="101" t="s">
        <v>905</v>
      </c>
      <c r="B300" s="100" t="s">
        <v>1149</v>
      </c>
      <c r="C300" s="100" t="s">
        <v>899</v>
      </c>
      <c r="D300" s="102" t="n">
        <v>99.87</v>
      </c>
      <c r="E300" s="103" t="n">
        <v>5.0</v>
      </c>
      <c r="F300" s="103" t="n">
        <v>94.87</v>
      </c>
      <c r="G300" s="107" t="s">
        <v>294</v>
      </c>
      <c r="H300" s="102">
        <f>IF(ISBLANK(F300),IF(E300=5,"$ 69.64","-"),IF(F300=94.87,"$ 69.64","-"))</f>
      </c>
      <c r="I300" s="103"/>
      <c r="J300" s="103"/>
      <c r="L300" s="104" t="s">
        <v>295</v>
      </c>
      <c r="M300" s="105" t="s">
        <v>181</v>
      </c>
      <c r="N300" s="101" t="s">
        <v>296</v>
      </c>
    </row>
    <row r="301">
      <c r="A301" s="101" t="s">
        <v>1152</v>
      </c>
      <c r="B301" s="100" t="s">
        <v>1151</v>
      </c>
      <c r="C301" s="100" t="s">
        <v>899</v>
      </c>
      <c r="D301" s="102" t="n">
        <v>159.37</v>
      </c>
      <c r="E301" s="103" t="n">
        <v>22.0</v>
      </c>
      <c r="F301" s="103" t="n">
        <v>125.9</v>
      </c>
      <c r="G301" s="0">
        <f>IF(ISBLANK(F301),IF(E301&gt;22.0,"Atrativo",IF(E301&lt;22.0,"Pouco atrativo","-")),IF(F301&lt;125.9,"Atrativo",IF(F301&gt;125.9,"Pouco atrativo","-")))</f>
      </c>
      <c r="H301" s="102">
        <f>IF(ISBLANK(F301),IF(E301=22,"$ 92.34","-"),IF(F301=125.9,"$ 92.34","-"))</f>
      </c>
      <c r="I301" s="103"/>
      <c r="J301" s="103"/>
      <c r="L301" s="104" t="s">
        <v>180</v>
      </c>
      <c r="M301" s="105" t="s">
        <v>181</v>
      </c>
      <c r="N301" s="106"/>
    </row>
    <row r="302">
      <c r="A302" s="101" t="s">
        <v>1154</v>
      </c>
      <c r="B302" s="100" t="s">
        <v>1153</v>
      </c>
      <c r="C302" s="100" t="s">
        <v>1118</v>
      </c>
      <c r="D302" s="102" t="n">
        <v>504.94</v>
      </c>
      <c r="E302" s="103" t="n">
        <v>21.0</v>
      </c>
      <c r="F302" s="103" t="n">
        <v>398.9</v>
      </c>
      <c r="G302" s="0">
        <f>IF(ISBLANK(F302),IF(E302&gt;21.0,"Atrativo",IF(E302&lt;21.0,"Pouco atrativo","-")),IF(F302&lt;398.9,"Atrativo",IF(F302&gt;398.9,"Pouco atrativo","-")))</f>
      </c>
      <c r="H302" s="102">
        <f>IF(ISBLANK(F302),IF(E302=21,"$ 291.03","-"),IF(F302=398.9,"$ 291.03","-"))</f>
      </c>
      <c r="I302" s="103"/>
      <c r="J302" s="103"/>
      <c r="L302" s="104" t="s">
        <v>180</v>
      </c>
      <c r="M302" s="105" t="s">
        <v>181</v>
      </c>
      <c r="N302" s="106"/>
    </row>
    <row r="303">
      <c r="A303" s="101" t="s">
        <v>1157</v>
      </c>
      <c r="B303" s="100" t="s">
        <v>1156</v>
      </c>
      <c r="C303" s="100" t="s">
        <v>688</v>
      </c>
      <c r="D303" s="102" t="n">
        <v>199.99</v>
      </c>
      <c r="E303" s="103" t="n">
        <v>22.0</v>
      </c>
      <c r="F303" s="103" t="n">
        <v>157.99</v>
      </c>
      <c r="G303" s="0">
        <f>IF(ISBLANK(F303),IF(E303&gt;22.0,"Atrativo",IF(E303&lt;22.0,"Pouco atrativo","-")),IF(F303&lt;157.99,"Atrativo",IF(F303&gt;157.99,"Pouco atrativo","-")))</f>
      </c>
      <c r="H303" s="102">
        <f>IF(ISBLANK(F303),IF(E303=22,"$ 119.18","-"),IF(F303=157.99,"$ 119.18","-"))</f>
      </c>
      <c r="I303" s="103"/>
      <c r="J303" s="103"/>
      <c r="L303" s="104" t="s">
        <v>180</v>
      </c>
      <c r="M303" s="105" t="s">
        <v>181</v>
      </c>
      <c r="N303" s="106"/>
    </row>
    <row r="304">
      <c r="A304" s="101" t="s">
        <v>1160</v>
      </c>
      <c r="B304" s="100" t="s">
        <v>1159</v>
      </c>
      <c r="C304" s="100" t="s">
        <v>688</v>
      </c>
      <c r="D304" s="102" t="n">
        <v>269.5</v>
      </c>
      <c r="E304" s="103" t="n">
        <v>21.0</v>
      </c>
      <c r="F304" s="103" t="n">
        <v>212.91</v>
      </c>
      <c r="G304" s="0">
        <f>IF(ISBLANK(F304),IF(E304&gt;21.0,"Atrativo",IF(E304&lt;21.0,"Pouco atrativo","-")),IF(F304&lt;212.91,"Atrativo",IF(F304&gt;212.91,"Pouco atrativo","-")))</f>
      </c>
      <c r="H304" s="102">
        <f>IF(ISBLANK(F304),IF(E304=21,"$ 153.07","-"),IF(F304=212.91,"$ 153.07","-"))</f>
      </c>
      <c r="I304" s="103"/>
      <c r="J304" s="103"/>
      <c r="L304" s="104" t="s">
        <v>180</v>
      </c>
      <c r="M304" s="105" t="s">
        <v>181</v>
      </c>
      <c r="N304" s="106"/>
    </row>
    <row r="305">
      <c r="A305" s="101" t="s">
        <v>1163</v>
      </c>
      <c r="B305" s="100" t="s">
        <v>1162</v>
      </c>
      <c r="C305" s="100" t="s">
        <v>702</v>
      </c>
      <c r="D305" s="102" t="n">
        <v>212.53</v>
      </c>
      <c r="E305" s="103" t="n">
        <v>21.0</v>
      </c>
      <c r="F305" s="103" t="n">
        <v>167.9</v>
      </c>
      <c r="G305" s="0">
        <f>IF(ISBLANK(F305),IF(E305&gt;21.0,"Atrativo",IF(E305&lt;21.0,"Pouco atrativo","-")),IF(F305&lt;167.9,"Atrativo",IF(F305&gt;167.9,"Pouco atrativo","-")))</f>
      </c>
      <c r="H305" s="102">
        <f>IF(ISBLANK(F305),IF(E305=21,"$ 120.91","-"),IF(F305=167.9,"$ 120.91","-"))</f>
      </c>
      <c r="I305" s="103"/>
      <c r="J305" s="103"/>
      <c r="L305" s="104" t="s">
        <v>180</v>
      </c>
      <c r="M305" s="105" t="s">
        <v>181</v>
      </c>
      <c r="N305" s="106"/>
    </row>
    <row r="306">
      <c r="A306" s="101" t="s">
        <v>1163</v>
      </c>
      <c r="B306" s="100" t="s">
        <v>1165</v>
      </c>
      <c r="C306" s="100" t="s">
        <v>702</v>
      </c>
      <c r="D306" s="102" t="n">
        <v>213.9</v>
      </c>
      <c r="E306" s="103" t="n">
        <v>5.0</v>
      </c>
      <c r="F306" s="103" t="n">
        <v>203.2</v>
      </c>
      <c r="G306" s="107" t="s">
        <v>294</v>
      </c>
      <c r="H306" s="102">
        <f>IF(ISBLANK(F306),IF(E306=5,"$ 149.74","-"),IF(F306=203.2,"$ 149.74","-"))</f>
      </c>
      <c r="I306" s="103"/>
      <c r="J306" s="103"/>
      <c r="L306" s="104" t="s">
        <v>295</v>
      </c>
      <c r="M306" s="105" t="s">
        <v>181</v>
      </c>
      <c r="N306" s="101" t="s">
        <v>296</v>
      </c>
    </row>
    <row r="307">
      <c r="A307" s="101" t="s">
        <v>1168</v>
      </c>
      <c r="B307" s="100" t="s">
        <v>1167</v>
      </c>
      <c r="C307" s="100" t="s">
        <v>468</v>
      </c>
      <c r="D307" s="102" t="n">
        <v>387.9</v>
      </c>
      <c r="E307" s="103" t="n">
        <v>5.0</v>
      </c>
      <c r="F307" s="103" t="n">
        <v>368.5</v>
      </c>
      <c r="G307" s="107" t="s">
        <v>294</v>
      </c>
      <c r="H307" s="102">
        <f>IF(ISBLANK(F307),IF(E307=5,"$ 283.31","-"),IF(F307=368.5,"$ 283.31","-"))</f>
      </c>
      <c r="I307" s="103"/>
      <c r="J307" s="103"/>
      <c r="L307" s="104" t="s">
        <v>295</v>
      </c>
      <c r="M307" s="105" t="s">
        <v>181</v>
      </c>
      <c r="N307" s="101" t="s">
        <v>296</v>
      </c>
    </row>
    <row r="308">
      <c r="A308" s="101" t="s">
        <v>1171</v>
      </c>
      <c r="B308" s="100" t="s">
        <v>1170</v>
      </c>
      <c r="C308" s="100" t="s">
        <v>553</v>
      </c>
      <c r="D308" s="102" t="n">
        <v>81.0</v>
      </c>
      <c r="E308" s="103" t="n">
        <v>21.0</v>
      </c>
      <c r="F308" s="103" t="n">
        <v>63.99</v>
      </c>
      <c r="G308" s="0">
        <f>IF(ISBLANK(F308),IF(E308&gt;21.0,"Atrativo",IF(E308&lt;21.0,"Pouco atrativo","-")),IF(F308&lt;63.99,"Atrativo",IF(F308&gt;63.99,"Pouco atrativo","-")))</f>
      </c>
      <c r="H308" s="102">
        <f>IF(ISBLANK(F308),IF(E308=21,"$ 48.68","-"),IF(F308=63.99,"$ 48.68","-"))</f>
      </c>
      <c r="I308" s="103"/>
      <c r="J308" s="103"/>
      <c r="L308" s="104" t="s">
        <v>180</v>
      </c>
      <c r="M308" s="105" t="s">
        <v>181</v>
      </c>
      <c r="N308" s="106"/>
    </row>
    <row r="309">
      <c r="A309" s="101" t="s">
        <v>1174</v>
      </c>
      <c r="B309" s="100" t="s">
        <v>1173</v>
      </c>
      <c r="C309" s="100" t="s">
        <v>553</v>
      </c>
      <c r="D309" s="102" t="n">
        <v>78.47</v>
      </c>
      <c r="E309" s="103" t="n">
        <v>22.0</v>
      </c>
      <c r="F309" s="103" t="n">
        <v>61.99</v>
      </c>
      <c r="G309" s="0">
        <f>IF(ISBLANK(F309),IF(E309&gt;22.0,"Atrativo",IF(E309&lt;22.0,"Pouco atrativo","-")),IF(F309&lt;61.99,"Atrativo",IF(F309&gt;61.99,"Pouco atrativo","-")))</f>
      </c>
      <c r="H309" s="102">
        <f>IF(ISBLANK(F309),IF(E309=22,"$ 46.91","-"),IF(F309=61.99,"$ 46.91","-"))</f>
      </c>
      <c r="I309" s="103"/>
      <c r="J309" s="103"/>
      <c r="L309" s="104" t="s">
        <v>180</v>
      </c>
      <c r="M309" s="105" t="s">
        <v>181</v>
      </c>
      <c r="N309" s="106"/>
    </row>
    <row r="310">
      <c r="A310" s="101" t="s">
        <v>1177</v>
      </c>
      <c r="B310" s="100" t="s">
        <v>1176</v>
      </c>
      <c r="C310" s="100" t="s">
        <v>1178</v>
      </c>
      <c r="D310" s="102" t="n">
        <v>222.66</v>
      </c>
      <c r="E310" s="103" t="n">
        <v>14.0</v>
      </c>
      <c r="F310" s="103" t="n">
        <v>192.9</v>
      </c>
      <c r="G310" s="0">
        <f>IF(ISBLANK(F310),IF(E310&gt;14.0,"Atrativo",IF(E310&lt;14.0,"Pouco atrativo","-")),IF(F310&lt;192.9,"Atrativo",IF(F310&gt;192.9,"Pouco atrativo","-")))</f>
      </c>
      <c r="H310" s="102">
        <f>IF(ISBLANK(F310),IF(E310=14,"$ 139.36","-"),IF(F310=192.9,"$ 139.36","-"))</f>
      </c>
      <c r="I310" s="103"/>
      <c r="J310" s="103"/>
      <c r="L310" s="104" t="s">
        <v>180</v>
      </c>
      <c r="M310" s="105" t="s">
        <v>181</v>
      </c>
      <c r="N310" s="106"/>
    </row>
    <row r="311">
      <c r="A311" s="101" t="s">
        <v>1181</v>
      </c>
      <c r="B311" s="100" t="s">
        <v>1180</v>
      </c>
      <c r="C311" s="100" t="s">
        <v>1178</v>
      </c>
      <c r="D311" s="102" t="n">
        <v>236.59</v>
      </c>
      <c r="E311" s="103" t="n">
        <v>21.0</v>
      </c>
      <c r="F311" s="103" t="n">
        <v>186.91</v>
      </c>
      <c r="G311" s="0">
        <f>IF(ISBLANK(F311),IF(E311&gt;21.0,"Atrativo",IF(E311&lt;21.0,"Pouco atrativo","-")),IF(F311&lt;186.91,"Atrativo",IF(F311&gt;186.91,"Pouco atrativo","-")))</f>
      </c>
      <c r="H311" s="102">
        <f>IF(ISBLANK(F311),IF(E311=21,"$ 146.03","-"),IF(F311=186.91,"$ 146.03","-"))</f>
      </c>
      <c r="I311" s="103"/>
      <c r="J311" s="103"/>
      <c r="L311" s="104" t="s">
        <v>180</v>
      </c>
      <c r="M311" s="105" t="s">
        <v>181</v>
      </c>
      <c r="N311" s="106"/>
    </row>
    <row r="312">
      <c r="A312" s="101" t="s">
        <v>1183</v>
      </c>
      <c r="B312" s="100" t="s">
        <v>1182</v>
      </c>
      <c r="C312" s="100" t="s">
        <v>872</v>
      </c>
      <c r="D312" s="102" t="n">
        <v>378.36</v>
      </c>
      <c r="E312" s="103" t="n">
        <v>22.0</v>
      </c>
      <c r="F312" s="103" t="n">
        <v>298.9</v>
      </c>
      <c r="G312" s="0">
        <f>IF(ISBLANK(F312),IF(E312&gt;22.0,"Atrativo",IF(E312&lt;22.0,"Pouco atrativo","-")),IF(F312&lt;298.9,"Atrativo",IF(F312&gt;298.9,"Pouco atrativo","-")))</f>
      </c>
      <c r="H312" s="102">
        <f>IF(ISBLANK(F312),IF(E312=22,"$ 239.77","-"),IF(F312=298.9,"$ 239.77","-"))</f>
      </c>
      <c r="I312" s="103"/>
      <c r="J312" s="103"/>
      <c r="L312" s="104" t="s">
        <v>180</v>
      </c>
      <c r="M312" s="105" t="s">
        <v>181</v>
      </c>
      <c r="N312" s="106"/>
    </row>
    <row r="313">
      <c r="A313" s="101" t="s">
        <v>1186</v>
      </c>
      <c r="B313" s="100" t="s">
        <v>1185</v>
      </c>
      <c r="C313" s="100" t="s">
        <v>1187</v>
      </c>
      <c r="D313" s="102" t="n">
        <v>77.09</v>
      </c>
      <c r="E313" s="103" t="n">
        <v>22.0</v>
      </c>
      <c r="F313" s="103" t="n">
        <v>60.9</v>
      </c>
      <c r="G313" s="0">
        <f>IF(ISBLANK(F313),IF(E313&gt;22.0,"Atrativo",IF(E313&lt;22.0,"Pouco atrativo","-")),IF(F313&lt;60.9,"Atrativo",IF(F313&gt;60.9,"Pouco atrativo","-")))</f>
      </c>
      <c r="H313" s="102">
        <f>IF(ISBLANK(F313),IF(E313=22,"$ 45.84","-"),IF(F313=60.9,"$ 45.84","-"))</f>
      </c>
      <c r="I313" s="103"/>
      <c r="J313" s="103"/>
      <c r="L313" s="104" t="s">
        <v>180</v>
      </c>
      <c r="M313" s="105" t="s">
        <v>181</v>
      </c>
      <c r="N313" s="106"/>
    </row>
    <row r="314">
      <c r="A314" s="101" t="s">
        <v>1190</v>
      </c>
      <c r="B314" s="100" t="s">
        <v>1189</v>
      </c>
      <c r="C314" s="100" t="s">
        <v>1187</v>
      </c>
      <c r="D314" s="102" t="n">
        <v>83.42</v>
      </c>
      <c r="E314" s="103" t="n">
        <v>22.0</v>
      </c>
      <c r="F314" s="103" t="n">
        <v>65.9</v>
      </c>
      <c r="G314" s="0">
        <f>IF(ISBLANK(F314),IF(E314&gt;22.0,"Atrativo",IF(E314&lt;22.0,"Pouco atrativo","-")),IF(F314&lt;65.9,"Atrativo",IF(F314&gt;65.9,"Pouco atrativo","-")))</f>
      </c>
      <c r="H314" s="102">
        <f>IF(ISBLANK(F314),IF(E314=22,"$ 46.95","-"),IF(F314=65.9,"$ 46.95","-"))</f>
      </c>
      <c r="I314" s="103"/>
      <c r="J314" s="103"/>
      <c r="L314" s="104" t="s">
        <v>180</v>
      </c>
      <c r="M314" s="105" t="s">
        <v>181</v>
      </c>
      <c r="N314" s="106"/>
    </row>
    <row r="315">
      <c r="A315" s="101" t="s">
        <v>1192</v>
      </c>
      <c r="B315" s="100" t="s">
        <v>1191</v>
      </c>
      <c r="C315" s="100" t="s">
        <v>1187</v>
      </c>
      <c r="D315" s="102" t="n">
        <v>97.34</v>
      </c>
      <c r="E315" s="103" t="n">
        <v>21.0</v>
      </c>
      <c r="F315" s="103" t="n">
        <v>76.9</v>
      </c>
      <c r="G315" s="0">
        <f>IF(ISBLANK(F315),IF(E315&gt;21.0,"Atrativo",IF(E315&lt;21.0,"Pouco atrativo","-")),IF(F315&lt;76.9,"Atrativo",IF(F315&gt;76.9,"Pouco atrativo","-")))</f>
      </c>
      <c r="H315" s="102">
        <f>IF(ISBLANK(F315),IF(E315=21,"$ 59.92","-"),IF(F315=76.9,"$ 59.92","-"))</f>
      </c>
      <c r="I315" s="103"/>
      <c r="J315" s="103"/>
      <c r="L315" s="104" t="s">
        <v>180</v>
      </c>
      <c r="M315" s="105" t="s">
        <v>181</v>
      </c>
      <c r="N315" s="106"/>
    </row>
    <row r="316">
      <c r="A316" s="101" t="s">
        <v>1194</v>
      </c>
      <c r="B316" s="100" t="s">
        <v>1193</v>
      </c>
      <c r="C316" s="100" t="s">
        <v>1187</v>
      </c>
      <c r="D316" s="102" t="n">
        <v>102.41</v>
      </c>
      <c r="E316" s="103" t="n">
        <v>22.0</v>
      </c>
      <c r="F316" s="103" t="n">
        <v>80.9</v>
      </c>
      <c r="G316" s="0">
        <f>IF(ISBLANK(F316),IF(E316&gt;22.0,"Atrativo",IF(E316&lt;22.0,"Pouco atrativo","-")),IF(F316&lt;80.9,"Atrativo",IF(F316&gt;80.9,"Pouco atrativo","-")))</f>
      </c>
      <c r="H316" s="102">
        <f>IF(ISBLANK(F316),IF(E316=22,"$ 54.80","-"),IF(F316=80.9,"$ 54.80","-"))</f>
      </c>
      <c r="I316" s="103"/>
      <c r="J316" s="103"/>
      <c r="L316" s="104" t="s">
        <v>180</v>
      </c>
      <c r="M316" s="105" t="s">
        <v>181</v>
      </c>
      <c r="N316" s="106"/>
    </row>
    <row r="317">
      <c r="A317" s="101" t="s">
        <v>1197</v>
      </c>
      <c r="B317" s="100" t="s">
        <v>1196</v>
      </c>
      <c r="C317" s="100" t="s">
        <v>623</v>
      </c>
      <c r="D317" s="102" t="n">
        <v>301.14</v>
      </c>
      <c r="E317" s="103" t="n">
        <v>21.0</v>
      </c>
      <c r="F317" s="103" t="n">
        <v>237.9</v>
      </c>
      <c r="G317" s="0">
        <f>IF(ISBLANK(F317),IF(E317&gt;21.0,"Atrativo",IF(E317&lt;21.0,"Pouco atrativo","-")),IF(F317&lt;237.9,"Atrativo",IF(F317&gt;237.9,"Pouco atrativo","-")))</f>
      </c>
      <c r="H317" s="102">
        <f>IF(ISBLANK(F317),IF(E317=21,"$ 176.51","-"),IF(F317=237.9,"$ 176.51","-"))</f>
      </c>
      <c r="I317" s="103"/>
      <c r="J317" s="103"/>
      <c r="L317" s="104" t="s">
        <v>180</v>
      </c>
      <c r="M317" s="105" t="s">
        <v>181</v>
      </c>
      <c r="N317" s="106"/>
    </row>
    <row r="318">
      <c r="A318" s="101" t="s">
        <v>1200</v>
      </c>
      <c r="B318" s="100" t="s">
        <v>1199</v>
      </c>
      <c r="C318" s="100" t="s">
        <v>623</v>
      </c>
      <c r="D318" s="102" t="n">
        <v>437.35</v>
      </c>
      <c r="E318" s="103" t="n">
        <v>21.0</v>
      </c>
      <c r="F318" s="103" t="n">
        <v>345.51</v>
      </c>
      <c r="G318" s="0">
        <f>IF(ISBLANK(F318),IF(E318&gt;21.0,"Atrativo",IF(E318&lt;21.0,"Pouco atrativo","-")),IF(F318&lt;345.51,"Atrativo",IF(F318&gt;345.51,"Pouco atrativo","-")))</f>
      </c>
      <c r="H318" s="102">
        <f>IF(ISBLANK(F318),IF(E318=21,"$ 265.82","-"),IF(F318=345.51,"$ 265.82","-"))</f>
      </c>
      <c r="I318" s="103"/>
      <c r="J318" s="103"/>
      <c r="L318" s="104" t="s">
        <v>180</v>
      </c>
      <c r="M318" s="105" t="s">
        <v>181</v>
      </c>
      <c r="N318" s="106"/>
    </row>
    <row r="319">
      <c r="A319" s="101" t="s">
        <v>1203</v>
      </c>
      <c r="B319" s="100" t="s">
        <v>1202</v>
      </c>
      <c r="C319" s="100" t="s">
        <v>623</v>
      </c>
      <c r="D319" s="102" t="n">
        <v>249.9</v>
      </c>
      <c r="E319" s="103" t="n">
        <v>5.0</v>
      </c>
      <c r="F319" s="103" t="n">
        <v>237.4</v>
      </c>
      <c r="G319" s="107" t="s">
        <v>294</v>
      </c>
      <c r="H319" s="102">
        <f>IF(ISBLANK(F319),IF(E319=5,"$ 174.49","-"),IF(F319=237.4,"$ 174.49","-"))</f>
      </c>
      <c r="I319" s="103"/>
      <c r="J319" s="103"/>
      <c r="L319" s="104" t="s">
        <v>295</v>
      </c>
      <c r="M319" s="105" t="s">
        <v>181</v>
      </c>
      <c r="N319" s="101" t="s">
        <v>296</v>
      </c>
    </row>
    <row r="320">
      <c r="A320" s="101" t="s">
        <v>1206</v>
      </c>
      <c r="B320" s="100" t="s">
        <v>1205</v>
      </c>
      <c r="C320" s="100" t="s">
        <v>472</v>
      </c>
      <c r="D320" s="102" t="n">
        <v>249.24</v>
      </c>
      <c r="E320" s="103" t="n">
        <v>21.0</v>
      </c>
      <c r="F320" s="103" t="n">
        <v>196.9</v>
      </c>
      <c r="G320" s="0">
        <f>IF(ISBLANK(F320),IF(E320&gt;21.0,"Atrativo",IF(E320&lt;21.0,"Pouco atrativo","-")),IF(F320&lt;196.9,"Atrativo",IF(F320&gt;196.9,"Pouco atrativo","-")))</f>
      </c>
      <c r="H320" s="102">
        <f>IF(ISBLANK(F320),IF(E320=21,"$ 152.52","-"),IF(F320=196.9,"$ 152.52","-"))</f>
      </c>
      <c r="I320" s="103"/>
      <c r="J320" s="103"/>
      <c r="L320" s="104" t="s">
        <v>180</v>
      </c>
      <c r="M320" s="105" t="s">
        <v>181</v>
      </c>
      <c r="N320" s="106"/>
    </row>
    <row r="321">
      <c r="A321" s="101" t="s">
        <v>1209</v>
      </c>
      <c r="B321" s="100" t="s">
        <v>1208</v>
      </c>
      <c r="C321" s="100" t="s">
        <v>396</v>
      </c>
      <c r="D321" s="102" t="n">
        <v>206.21</v>
      </c>
      <c r="E321" s="103" t="n">
        <v>22.0</v>
      </c>
      <c r="F321" s="103" t="n">
        <v>162.9</v>
      </c>
      <c r="G321" s="0">
        <f>IF(ISBLANK(F321),IF(E321&gt;22.0,"Atrativo",IF(E321&lt;22.0,"Pouco atrativo","-")),IF(F321&lt;162.9,"Atrativo",IF(F321&gt;162.9,"Pouco atrativo","-")))</f>
      </c>
      <c r="H321" s="102">
        <f>IF(ISBLANK(F321),IF(E321=22,"$ 115.36","-"),IF(F321=162.9,"$ 115.36","-"))</f>
      </c>
      <c r="I321" s="103"/>
      <c r="J321" s="103"/>
      <c r="L321" s="104" t="s">
        <v>180</v>
      </c>
      <c r="M321" s="105" t="s">
        <v>181</v>
      </c>
      <c r="N321" s="106"/>
    </row>
    <row r="322">
      <c r="A322" s="101" t="s">
        <v>1212</v>
      </c>
      <c r="B322" s="100" t="s">
        <v>1211</v>
      </c>
      <c r="C322" s="100" t="s">
        <v>674</v>
      </c>
      <c r="D322" s="102" t="n">
        <v>503.68</v>
      </c>
      <c r="E322" s="103" t="n">
        <v>21.0</v>
      </c>
      <c r="F322" s="103" t="n">
        <v>397.91</v>
      </c>
      <c r="G322" s="0">
        <f>IF(ISBLANK(F322),IF(E322&gt;21.0,"Atrativo",IF(E322&lt;21.0,"Pouco atrativo","-")),IF(F322&lt;397.91,"Atrativo",IF(F322&gt;397.91,"Pouco atrativo","-")))</f>
      </c>
      <c r="H322" s="102">
        <f>IF(ISBLANK(F322),IF(E322=21,"$ 329.49","-"),IF(F322=397.91,"$ 329.49","-"))</f>
      </c>
      <c r="I322" s="103"/>
      <c r="J322" s="103"/>
      <c r="L322" s="104" t="s">
        <v>180</v>
      </c>
      <c r="M322" s="105" t="s">
        <v>181</v>
      </c>
      <c r="N322" s="106"/>
    </row>
    <row r="323">
      <c r="A323" s="101" t="s">
        <v>1215</v>
      </c>
      <c r="B323" s="100" t="s">
        <v>1214</v>
      </c>
      <c r="C323" s="100" t="s">
        <v>674</v>
      </c>
      <c r="D323" s="102" t="n">
        <v>591.02</v>
      </c>
      <c r="E323" s="103" t="n">
        <v>21.0</v>
      </c>
      <c r="F323" s="103" t="n">
        <v>466.91</v>
      </c>
      <c r="G323" s="0">
        <f>IF(ISBLANK(F323),IF(E323&gt;21.0,"Atrativo",IF(E323&lt;21.0,"Pouco atrativo","-")),IF(F323&lt;466.91,"Atrativo",IF(F323&gt;466.91,"Pouco atrativo","-")))</f>
      </c>
      <c r="H323" s="102">
        <f>IF(ISBLANK(F323),IF(E323=21,"$ 390.90","-"),IF(F323=466.91,"$ 390.90","-"))</f>
      </c>
      <c r="I323" s="103"/>
      <c r="J323" s="103"/>
      <c r="L323" s="104" t="s">
        <v>180</v>
      </c>
      <c r="M323" s="105" t="s">
        <v>181</v>
      </c>
      <c r="N323" s="106"/>
    </row>
    <row r="324">
      <c r="A324" s="101" t="s">
        <v>1218</v>
      </c>
      <c r="B324" s="100" t="s">
        <v>1217</v>
      </c>
      <c r="C324" s="100" t="s">
        <v>1219</v>
      </c>
      <c r="D324" s="102" t="n">
        <v>577.1</v>
      </c>
      <c r="E324" s="103" t="n">
        <v>21.0</v>
      </c>
      <c r="F324" s="103" t="n">
        <v>455.91</v>
      </c>
      <c r="G324" s="0">
        <f>IF(ISBLANK(F324),IF(E324&gt;21.0,"Atrativo",IF(E324&lt;21.0,"Pouco atrativo","-")),IF(F324&lt;455.91,"Atrativo",IF(F324&gt;455.91,"Pouco atrativo","-")))</f>
      </c>
      <c r="H324" s="102">
        <f>IF(ISBLANK(F324),IF(E324=21,"$ 357.71","-"),IF(F324=455.91,"$ 357.71","-"))</f>
      </c>
      <c r="I324" s="103"/>
      <c r="J324" s="103"/>
      <c r="L324" s="104" t="s">
        <v>180</v>
      </c>
      <c r="M324" s="105" t="s">
        <v>181</v>
      </c>
      <c r="N324" s="106"/>
    </row>
    <row r="325">
      <c r="A325" s="101" t="s">
        <v>1222</v>
      </c>
      <c r="B325" s="100" t="s">
        <v>1221</v>
      </c>
      <c r="C325" s="100" t="s">
        <v>343</v>
      </c>
      <c r="D325" s="102" t="n">
        <v>880.9</v>
      </c>
      <c r="E325" s="103" t="n">
        <v>21.0</v>
      </c>
      <c r="F325" s="103" t="n">
        <v>695.91</v>
      </c>
      <c r="G325" s="0">
        <f>IF(ISBLANK(F325),IF(E325&gt;21.0,"Atrativo",IF(E325&lt;21.0,"Pouco atrativo","-")),IF(F325&lt;695.91,"Atrativo",IF(F325&gt;695.91,"Pouco atrativo","-")))</f>
      </c>
      <c r="H325" s="102">
        <f>IF(ISBLANK(F325),IF(E325=21,"$ 560.91","-"),IF(F325=695.91,"$ 560.91","-"))</f>
      </c>
      <c r="I325" s="103"/>
      <c r="J325" s="103"/>
      <c r="L325" s="104" t="s">
        <v>180</v>
      </c>
      <c r="M325" s="105" t="s">
        <v>181</v>
      </c>
      <c r="N325" s="106"/>
    </row>
    <row r="326">
      <c r="A326" s="101" t="s">
        <v>1225</v>
      </c>
      <c r="B326" s="100" t="s">
        <v>1224</v>
      </c>
      <c r="C326" s="100" t="s">
        <v>1219</v>
      </c>
      <c r="D326" s="102" t="n">
        <v>627.73</v>
      </c>
      <c r="E326" s="103" t="n">
        <v>21.0</v>
      </c>
      <c r="F326" s="103" t="n">
        <v>495.91</v>
      </c>
      <c r="G326" s="0">
        <f>IF(ISBLANK(F326),IF(E326&gt;21.0,"Atrativo",IF(E326&lt;21.0,"Pouco atrativo","-")),IF(F326&lt;495.91,"Atrativo",IF(F326&gt;495.91,"Pouco atrativo","-")))</f>
      </c>
      <c r="H326" s="102">
        <f>IF(ISBLANK(F326),IF(E326=21,"$ 387.05","-"),IF(F326=495.91,"$ 387.05","-"))</f>
      </c>
      <c r="I326" s="103"/>
      <c r="J326" s="103"/>
      <c r="L326" s="104" t="s">
        <v>180</v>
      </c>
      <c r="M326" s="105" t="s">
        <v>181</v>
      </c>
      <c r="N326" s="106"/>
    </row>
    <row r="327">
      <c r="A327" s="101" t="s">
        <v>1228</v>
      </c>
      <c r="B327" s="100" t="s">
        <v>1227</v>
      </c>
      <c r="C327" s="100" t="s">
        <v>1219</v>
      </c>
      <c r="D327" s="102" t="n">
        <v>627.73</v>
      </c>
      <c r="E327" s="103" t="n">
        <v>21.0</v>
      </c>
      <c r="F327" s="103" t="n">
        <v>495.91</v>
      </c>
      <c r="G327" s="0">
        <f>IF(ISBLANK(F327),IF(E327&gt;21.0,"Atrativo",IF(E327&lt;21.0,"Pouco atrativo","-")),IF(F327&lt;495.91,"Atrativo",IF(F327&gt;495.91,"Pouco atrativo","-")))</f>
      </c>
      <c r="H327" s="102">
        <f>IF(ISBLANK(F327),IF(E327=21,"$ 363.56","-"),IF(F327=495.91,"$ 363.56","-"))</f>
      </c>
      <c r="I327" s="103"/>
      <c r="J327" s="103"/>
      <c r="L327" s="104" t="s">
        <v>180</v>
      </c>
      <c r="M327" s="105" t="s">
        <v>181</v>
      </c>
      <c r="N327" s="106"/>
    </row>
    <row r="328">
      <c r="A328" s="101" t="s">
        <v>1231</v>
      </c>
      <c r="B328" s="100" t="s">
        <v>1230</v>
      </c>
      <c r="C328" s="100" t="s">
        <v>427</v>
      </c>
      <c r="D328" s="102" t="n">
        <v>45.9</v>
      </c>
      <c r="E328" s="103" t="n">
        <v>5.0</v>
      </c>
      <c r="F328" s="103" t="n">
        <v>43.6</v>
      </c>
      <c r="G328" s="107" t="s">
        <v>294</v>
      </c>
      <c r="H328" s="102">
        <f>IF(ISBLANK(F328),IF(E328=5,"$ 31.82","-"),IF(F328=43.6,"$ 31.82","-"))</f>
      </c>
      <c r="I328" s="103"/>
      <c r="J328" s="103"/>
      <c r="L328" s="104" t="s">
        <v>295</v>
      </c>
      <c r="M328" s="105" t="s">
        <v>181</v>
      </c>
      <c r="N328" s="101" t="s">
        <v>296</v>
      </c>
    </row>
    <row r="329">
      <c r="A329" s="101" t="s">
        <v>1234</v>
      </c>
      <c r="B329" s="100" t="s">
        <v>1233</v>
      </c>
      <c r="C329" s="100" t="s">
        <v>712</v>
      </c>
      <c r="D329" s="102" t="n">
        <v>427.73</v>
      </c>
      <c r="E329" s="103" t="n">
        <v>21.0</v>
      </c>
      <c r="F329" s="103" t="n">
        <v>337.91</v>
      </c>
      <c r="G329" s="0">
        <f>IF(ISBLANK(F329),IF(E329&gt;21.0,"Atrativo",IF(E329&lt;21.0,"Pouco atrativo","-")),IF(F329&lt;337.91,"Atrativo",IF(F329&gt;337.91,"Pouco atrativo","-")))</f>
      </c>
      <c r="H329" s="102">
        <f>IF(ISBLANK(F329),IF(E329=21,"$ 257.92","-"),IF(F329=337.91,"$ 257.92","-"))</f>
      </c>
      <c r="I329" s="103"/>
      <c r="J329" s="103"/>
      <c r="L329" s="104" t="s">
        <v>180</v>
      </c>
      <c r="M329" s="105" t="s">
        <v>181</v>
      </c>
      <c r="N329" s="106"/>
    </row>
    <row r="330">
      <c r="A330" s="101" t="s">
        <v>1237</v>
      </c>
      <c r="B330" s="100" t="s">
        <v>1236</v>
      </c>
      <c r="C330" s="100" t="s">
        <v>631</v>
      </c>
      <c r="D330" s="102" t="n">
        <v>97.34</v>
      </c>
      <c r="E330" s="103" t="n">
        <v>21.0</v>
      </c>
      <c r="F330" s="103" t="n">
        <v>76.9</v>
      </c>
      <c r="G330" s="0">
        <f>IF(ISBLANK(F330),IF(E330&gt;21.0,"Atrativo",IF(E330&lt;21.0,"Pouco atrativo","-")),IF(F330&lt;76.9,"Atrativo",IF(F330&gt;76.9,"Pouco atrativo","-")))</f>
      </c>
      <c r="H330" s="102">
        <f>IF(ISBLANK(F330),IF(E330=21,"$ 56.08","-"),IF(F330=76.9,"$ 56.08","-"))</f>
      </c>
      <c r="I330" s="103"/>
      <c r="J330" s="103"/>
      <c r="L330" s="104" t="s">
        <v>180</v>
      </c>
      <c r="M330" s="105" t="s">
        <v>181</v>
      </c>
      <c r="N330" s="106"/>
    </row>
    <row r="331">
      <c r="A331" s="101" t="s">
        <v>815</v>
      </c>
      <c r="B331" s="100" t="s">
        <v>1238</v>
      </c>
      <c r="C331" s="100" t="s">
        <v>129</v>
      </c>
      <c r="D331" s="102" t="n">
        <v>254.31</v>
      </c>
      <c r="E331" s="103" t="n">
        <v>22.0</v>
      </c>
      <c r="F331" s="103" t="n">
        <v>200.9</v>
      </c>
      <c r="G331" s="0">
        <f>IF(ISBLANK(F331),IF(E331&gt;22.0,"Atrativo",IF(E331&lt;22.0,"Pouco atrativo","-")),IF(F331&lt;200.9,"Atrativo",IF(F331&gt;200.9,"Pouco atrativo","-")))</f>
      </c>
      <c r="H331" s="102">
        <f>IF(ISBLANK(F331),IF(E331=22,"$ 144.20","-"),IF(F331=200.9,"$ 144.20","-"))</f>
      </c>
      <c r="I331" s="103"/>
      <c r="J331" s="103"/>
      <c r="L331" s="104" t="s">
        <v>180</v>
      </c>
      <c r="M331" s="105" t="s">
        <v>181</v>
      </c>
      <c r="N331" s="106"/>
    </row>
    <row r="332">
      <c r="A332" s="101" t="s">
        <v>815</v>
      </c>
      <c r="B332" s="100" t="s">
        <v>1240</v>
      </c>
      <c r="C332" s="100" t="s">
        <v>129</v>
      </c>
      <c r="D332" s="102" t="n">
        <v>241.65</v>
      </c>
      <c r="E332" s="103" t="n">
        <v>22.0</v>
      </c>
      <c r="F332" s="103" t="n">
        <v>190.9</v>
      </c>
      <c r="G332" s="0">
        <f>IF(ISBLANK(F332),IF(E332&gt;22.0,"Atrativo",IF(E332&lt;22.0,"Pouco atrativo","-")),IF(F332&lt;190.9,"Atrativo",IF(F332&gt;190.9,"Pouco atrativo","-")))</f>
      </c>
      <c r="H332" s="102">
        <f>IF(ISBLANK(F332),IF(E332=22,"$ 148.14","-"),IF(F332=190.9,"$ 148.14","-"))</f>
      </c>
      <c r="I332" s="103"/>
      <c r="J332" s="103"/>
      <c r="L332" s="104" t="s">
        <v>180</v>
      </c>
      <c r="M332" s="105" t="s">
        <v>181</v>
      </c>
      <c r="N332" s="106"/>
    </row>
    <row r="333">
      <c r="A333" s="101" t="s">
        <v>1243</v>
      </c>
      <c r="B333" s="100" t="s">
        <v>1242</v>
      </c>
      <c r="C333" s="100" t="s">
        <v>1244</v>
      </c>
      <c r="D333" s="102" t="n">
        <v>853.16</v>
      </c>
      <c r="E333" s="103" t="n">
        <v>5.0</v>
      </c>
      <c r="F333" s="103" t="n">
        <v>810.5</v>
      </c>
      <c r="G333" s="107" t="s">
        <v>294</v>
      </c>
      <c r="H333" s="102">
        <f>IF(ISBLANK(F333),IF(E333=5,"$ 649.07","-"),IF(F333=810.5,"$ 649.07","-"))</f>
      </c>
      <c r="I333" s="103"/>
      <c r="J333" s="103"/>
      <c r="L333" s="104" t="s">
        <v>295</v>
      </c>
      <c r="M333" s="105" t="s">
        <v>181</v>
      </c>
      <c r="N333" s="101" t="s">
        <v>296</v>
      </c>
    </row>
    <row r="334">
      <c r="A334" s="101" t="s">
        <v>1247</v>
      </c>
      <c r="B334" s="100" t="s">
        <v>1246</v>
      </c>
      <c r="C334" s="100" t="s">
        <v>763</v>
      </c>
      <c r="D334" s="102" t="n">
        <v>301.14</v>
      </c>
      <c r="E334" s="103" t="n">
        <v>21.0</v>
      </c>
      <c r="F334" s="103" t="n">
        <v>237.9</v>
      </c>
      <c r="G334" s="0">
        <f>IF(ISBLANK(F334),IF(E334&gt;21.0,"Atrativo",IF(E334&lt;21.0,"Pouco atrativo","-")),IF(F334&lt;237.9,"Atrativo",IF(F334&gt;237.9,"Pouco atrativo","-")))</f>
      </c>
      <c r="H334" s="102">
        <f>IF(ISBLANK(F334),IF(E334=21,"$ 186.02","-"),IF(F334=237.9,"$ 186.02","-"))</f>
      </c>
      <c r="I334" s="103"/>
      <c r="J334" s="103"/>
      <c r="L334" s="104" t="s">
        <v>180</v>
      </c>
      <c r="M334" s="105" t="s">
        <v>181</v>
      </c>
      <c r="N334" s="106"/>
    </row>
    <row r="335">
      <c r="A335" s="101" t="s">
        <v>594</v>
      </c>
      <c r="B335" s="100" t="s">
        <v>1248</v>
      </c>
      <c r="C335" s="100" t="s">
        <v>595</v>
      </c>
      <c r="D335" s="102" t="n">
        <v>341.65</v>
      </c>
      <c r="E335" s="103" t="n">
        <v>22.0</v>
      </c>
      <c r="F335" s="103" t="n">
        <v>269.9</v>
      </c>
      <c r="G335" s="0">
        <f>IF(ISBLANK(F335),IF(E335&gt;22.0,"Atrativo",IF(E335&lt;22.0,"Pouco atrativo","-")),IF(F335&lt;269.9,"Atrativo",IF(F335&gt;269.9,"Pouco atrativo","-")))</f>
      </c>
      <c r="H335" s="102">
        <f>IF(ISBLANK(F335),IF(E335=22,"$ 216.56","-"),IF(F335=269.9,"$ 216.56","-"))</f>
      </c>
      <c r="I335" s="103"/>
      <c r="J335" s="103"/>
      <c r="L335" s="104" t="s">
        <v>180</v>
      </c>
      <c r="M335" s="105" t="s">
        <v>181</v>
      </c>
      <c r="N335" s="106"/>
    </row>
    <row r="336">
      <c r="A336" s="101" t="s">
        <v>1251</v>
      </c>
      <c r="B336" s="100" t="s">
        <v>1250</v>
      </c>
      <c r="C336" s="100" t="s">
        <v>227</v>
      </c>
      <c r="D336" s="102" t="n">
        <v>616.34</v>
      </c>
      <c r="E336" s="103" t="n">
        <v>21.0</v>
      </c>
      <c r="F336" s="103" t="n">
        <v>486.91</v>
      </c>
      <c r="G336" s="0">
        <f>IF(ISBLANK(F336),IF(E336&gt;21.0,"Atrativo",IF(E336&lt;21.0,"Pouco atrativo","-")),IF(F336&lt;486.91,"Atrativo",IF(F336&gt;486.91,"Pouco atrativo","-")))</f>
      </c>
      <c r="H336" s="102">
        <f>IF(ISBLANK(F336),IF(E336=21,"$ 381.59","-"),IF(F336=486.91,"$ 381.59","-"))</f>
      </c>
      <c r="I336" s="103"/>
      <c r="J336" s="103"/>
      <c r="L336" s="104" t="s">
        <v>180</v>
      </c>
      <c r="M336" s="105" t="s">
        <v>181</v>
      </c>
      <c r="N336" s="106"/>
    </row>
    <row r="337">
      <c r="A337" s="101" t="s">
        <v>1254</v>
      </c>
      <c r="B337" s="100" t="s">
        <v>1253</v>
      </c>
      <c r="C337" s="100" t="s">
        <v>1255</v>
      </c>
      <c r="D337" s="102" t="n">
        <v>1091.03</v>
      </c>
      <c r="E337" s="103" t="n">
        <v>21.0</v>
      </c>
      <c r="F337" s="103" t="n">
        <v>861.91</v>
      </c>
      <c r="G337" s="0">
        <f>IF(ISBLANK(F337),IF(E337&gt;21.0,"Atrativo",IF(E337&lt;21.0,"Pouco atrativo","-")),IF(F337&lt;861.91,"Atrativo",IF(F337&gt;861.91,"Pouco atrativo","-")))</f>
      </c>
      <c r="H337" s="102">
        <f>IF(ISBLANK(F337),IF(E337=21,"$ 694.44","-"),IF(F337=861.91,"$ 694.44","-"))</f>
      </c>
      <c r="I337" s="103"/>
      <c r="J337" s="103"/>
      <c r="L337" s="104" t="s">
        <v>180</v>
      </c>
      <c r="M337" s="105" t="s">
        <v>181</v>
      </c>
      <c r="N337" s="106"/>
    </row>
    <row r="338">
      <c r="A338" s="101" t="s">
        <v>1258</v>
      </c>
      <c r="B338" s="100" t="s">
        <v>1257</v>
      </c>
      <c r="C338" s="100" t="s">
        <v>1255</v>
      </c>
      <c r="D338" s="102" t="n">
        <v>831.53</v>
      </c>
      <c r="E338" s="103" t="n">
        <v>21.0</v>
      </c>
      <c r="F338" s="103" t="n">
        <v>656.91</v>
      </c>
      <c r="G338" s="0">
        <f>IF(ISBLANK(F338),IF(E338&gt;21.0,"Atrativo",IF(E338&lt;21.0,"Pouco atrativo","-")),IF(F338&lt;656.91,"Atrativo",IF(F338&gt;656.91,"Pouco atrativo","-")))</f>
      </c>
      <c r="H338" s="102">
        <f>IF(ISBLANK(F338),IF(E338=21,"$ 557.13","-"),IF(F338=656.91,"$ 557.13","-"))</f>
      </c>
      <c r="I338" s="103"/>
      <c r="J338" s="103"/>
      <c r="L338" s="104" t="s">
        <v>180</v>
      </c>
      <c r="M338" s="105" t="s">
        <v>181</v>
      </c>
      <c r="N338" s="106"/>
    </row>
    <row r="339">
      <c r="A339" s="101" t="s">
        <v>1258</v>
      </c>
      <c r="B339" s="100" t="s">
        <v>1260</v>
      </c>
      <c r="C339" s="100" t="s">
        <v>1255</v>
      </c>
      <c r="D339" s="102" t="n">
        <v>1092.29</v>
      </c>
      <c r="E339" s="103" t="n">
        <v>21.0</v>
      </c>
      <c r="F339" s="103" t="n">
        <v>862.91</v>
      </c>
      <c r="G339" s="0">
        <f>IF(ISBLANK(F339),IF(E339&gt;21.0,"Atrativo",IF(E339&lt;21.0,"Pouco atrativo","-")),IF(F339&lt;862.91,"Atrativo",IF(F339&gt;862.91,"Pouco atrativo","-")))</f>
      </c>
      <c r="H339" s="102">
        <f>IF(ISBLANK(F339),IF(E339=21,"$ 736.81","-"),IF(F339=862.91,"$ 736.81","-"))</f>
      </c>
      <c r="I339" s="103"/>
      <c r="J339" s="103"/>
      <c r="L339" s="104" t="s">
        <v>180</v>
      </c>
      <c r="M339" s="105" t="s">
        <v>181</v>
      </c>
      <c r="N339" s="106"/>
    </row>
    <row r="340">
      <c r="A340" s="101" t="s">
        <v>1263</v>
      </c>
      <c r="B340" s="100" t="s">
        <v>1262</v>
      </c>
      <c r="C340" s="100" t="s">
        <v>129</v>
      </c>
      <c r="D340" s="102" t="n">
        <v>121.51</v>
      </c>
      <c r="E340" s="103" t="n">
        <v>22.0</v>
      </c>
      <c r="F340" s="103" t="n">
        <v>95.99</v>
      </c>
      <c r="G340" s="0">
        <f>IF(ISBLANK(F340),IF(E340&gt;22.0,"Atrativo",IF(E340&lt;22.0,"Pouco atrativo","-")),IF(F340&lt;95.99,"Atrativo",IF(F340&gt;95.99,"Pouco atrativo","-")))</f>
      </c>
      <c r="H340" s="102">
        <f>IF(ISBLANK(F340),IF(E340=22,"$ 67.32","-"),IF(F340=95.99,"$ 67.32","-"))</f>
      </c>
      <c r="I340" s="103"/>
      <c r="J340" s="103"/>
      <c r="L340" s="104" t="s">
        <v>180</v>
      </c>
      <c r="M340" s="105" t="s">
        <v>181</v>
      </c>
      <c r="N340" s="106"/>
    </row>
    <row r="341">
      <c r="A341" s="101" t="s">
        <v>1266</v>
      </c>
      <c r="B341" s="100" t="s">
        <v>1265</v>
      </c>
      <c r="C341" s="100" t="s">
        <v>129</v>
      </c>
      <c r="D341" s="102" t="n">
        <v>120.13</v>
      </c>
      <c r="E341" s="103" t="n">
        <v>22.0</v>
      </c>
      <c r="F341" s="103" t="n">
        <v>94.9</v>
      </c>
      <c r="G341" s="0">
        <f>IF(ISBLANK(F341),IF(E341&gt;22.0,"Atrativo",IF(E341&lt;22.0,"Pouco atrativo","-")),IF(F341&lt;94.9,"Atrativo",IF(F341&gt;94.9,"Pouco atrativo","-")))</f>
      </c>
      <c r="H341" s="102">
        <f>IF(ISBLANK(F341),IF(E341=22,"$ 65.52","-"),IF(F341=94.9,"$ 65.52","-"))</f>
      </c>
      <c r="I341" s="103"/>
      <c r="J341" s="103"/>
      <c r="L341" s="104" t="s">
        <v>180</v>
      </c>
      <c r="M341" s="105" t="s">
        <v>181</v>
      </c>
      <c r="N341" s="106"/>
    </row>
    <row r="342">
      <c r="A342" s="101" t="s">
        <v>1269</v>
      </c>
      <c r="B342" s="100" t="s">
        <v>1268</v>
      </c>
      <c r="C342" s="100" t="s">
        <v>619</v>
      </c>
      <c r="D342" s="102" t="n">
        <v>137.85</v>
      </c>
      <c r="E342" s="103" t="n">
        <v>22.0</v>
      </c>
      <c r="F342" s="103" t="n">
        <v>108.9</v>
      </c>
      <c r="G342" s="0">
        <f>IF(ISBLANK(F342),IF(E342&gt;22.0,"Atrativo",IF(E342&lt;22.0,"Pouco atrativo","-")),IF(F342&lt;108.9,"Atrativo",IF(F342&gt;108.9,"Pouco atrativo","-")))</f>
      </c>
      <c r="H342" s="102">
        <f>IF(ISBLANK(F342),IF(E342=22,"$ 79.68","-"),IF(F342=108.9,"$ 79.68","-"))</f>
      </c>
      <c r="I342" s="103"/>
      <c r="J342" s="103"/>
      <c r="L342" s="104" t="s">
        <v>180</v>
      </c>
      <c r="M342" s="105" t="s">
        <v>181</v>
      </c>
      <c r="N342" s="106"/>
    </row>
    <row r="343">
      <c r="A343" s="101" t="s">
        <v>1272</v>
      </c>
      <c r="B343" s="100" t="s">
        <v>1271</v>
      </c>
      <c r="C343" s="100" t="s">
        <v>420</v>
      </c>
      <c r="D343" s="102" t="n">
        <v>89.75</v>
      </c>
      <c r="E343" s="103" t="n">
        <v>22.0</v>
      </c>
      <c r="F343" s="103" t="n">
        <v>70.9</v>
      </c>
      <c r="G343" s="0">
        <f>IF(ISBLANK(F343),IF(E343&gt;22.0,"Atrativo",IF(E343&lt;22.0,"Pouco atrativo","-")),IF(F343&lt;70.9,"Atrativo",IF(F343&gt;70.9,"Pouco atrativo","-")))</f>
      </c>
      <c r="H343" s="102">
        <f>IF(ISBLANK(F343),IF(E343=22,"$ 54.44","-"),IF(F343=70.9,"$ 54.44","-"))</f>
      </c>
      <c r="I343" s="103"/>
      <c r="J343" s="103"/>
      <c r="L343" s="104" t="s">
        <v>180</v>
      </c>
      <c r="M343" s="105" t="s">
        <v>181</v>
      </c>
      <c r="N343" s="106"/>
    </row>
    <row r="344">
      <c r="A344" s="101" t="s">
        <v>1275</v>
      </c>
      <c r="B344" s="100" t="s">
        <v>1274</v>
      </c>
      <c r="C344" s="100" t="s">
        <v>773</v>
      </c>
      <c r="D344" s="102" t="n">
        <v>151.89</v>
      </c>
      <c r="E344" s="103" t="n">
        <v>22.0</v>
      </c>
      <c r="F344" s="103" t="n">
        <v>119.99</v>
      </c>
      <c r="G344" s="0">
        <f>IF(ISBLANK(F344),IF(E344&gt;22.0,"Atrativo",IF(E344&lt;22.0,"Pouco atrativo","-")),IF(F344&lt;119.99,"Atrativo",IF(F344&gt;119.99,"Pouco atrativo","-")))</f>
      </c>
      <c r="H344" s="102">
        <f>IF(ISBLANK(F344),IF(E344=22,"$ 90.04","-"),IF(F344=119.99,"$ 90.04","-"))</f>
      </c>
      <c r="I344" s="103"/>
      <c r="J344" s="103"/>
      <c r="L344" s="104" t="s">
        <v>180</v>
      </c>
      <c r="M344" s="105" t="s">
        <v>181</v>
      </c>
      <c r="N344" s="106"/>
    </row>
    <row r="345">
      <c r="A345" s="101" t="s">
        <v>1278</v>
      </c>
      <c r="B345" s="100" t="s">
        <v>1277</v>
      </c>
      <c r="C345" s="100" t="s">
        <v>1279</v>
      </c>
      <c r="D345" s="102" t="n">
        <v>223.93</v>
      </c>
      <c r="E345" s="103" t="n">
        <v>22.0</v>
      </c>
      <c r="F345" s="103" t="n">
        <v>176.9</v>
      </c>
      <c r="G345" s="0">
        <f>IF(ISBLANK(F345),IF(E345&gt;22.0,"Atrativo",IF(E345&lt;22.0,"Pouco atrativo","-")),IF(F345&lt;176.9,"Atrativo",IF(F345&gt;176.9,"Pouco atrativo","-")))</f>
      </c>
      <c r="H345" s="102">
        <f>IF(ISBLANK(F345),IF(E345=22,"$ 139.36","-"),IF(F345=176.9,"$ 139.36","-"))</f>
      </c>
      <c r="I345" s="103"/>
      <c r="J345" s="103"/>
      <c r="L345" s="104" t="s">
        <v>180</v>
      </c>
      <c r="M345" s="105" t="s">
        <v>181</v>
      </c>
      <c r="N345" s="106"/>
    </row>
    <row r="346">
      <c r="A346" s="101" t="s">
        <v>1281</v>
      </c>
      <c r="B346" s="100" t="s">
        <v>1280</v>
      </c>
      <c r="C346" s="100" t="s">
        <v>1279</v>
      </c>
      <c r="D346" s="102" t="n">
        <v>242.91</v>
      </c>
      <c r="E346" s="103" t="n">
        <v>21.0</v>
      </c>
      <c r="F346" s="103" t="n">
        <v>191.9</v>
      </c>
      <c r="G346" s="0">
        <f>IF(ISBLANK(F346),IF(E346&gt;21.0,"Atrativo",IF(E346&lt;21.0,"Pouco atrativo","-")),IF(F346&lt;191.9,"Atrativo",IF(F346&gt;191.9,"Pouco atrativo","-")))</f>
      </c>
      <c r="H346" s="102">
        <f>IF(ISBLANK(F346),IF(E346=21,"$ 142.37","-"),IF(F346=191.9,"$ 142.37","-"))</f>
      </c>
      <c r="I346" s="103"/>
      <c r="J346" s="103"/>
      <c r="L346" s="104" t="s">
        <v>180</v>
      </c>
      <c r="M346" s="105" t="s">
        <v>181</v>
      </c>
      <c r="N346" s="106"/>
    </row>
    <row r="347">
      <c r="A347" s="101" t="s">
        <v>1284</v>
      </c>
      <c r="B347" s="100" t="s">
        <v>1283</v>
      </c>
      <c r="C347" s="100" t="s">
        <v>343</v>
      </c>
      <c r="D347" s="102" t="n">
        <v>792.29</v>
      </c>
      <c r="E347" s="103" t="n">
        <v>21.0</v>
      </c>
      <c r="F347" s="103" t="n">
        <v>625.91</v>
      </c>
      <c r="G347" s="0">
        <f>IF(ISBLANK(F347),IF(E347&gt;21.0,"Atrativo",IF(E347&lt;21.0,"Pouco atrativo","-")),IF(F347&lt;625.91,"Atrativo",IF(F347&gt;625.91,"Pouco atrativo","-")))</f>
      </c>
      <c r="H347" s="102">
        <f>IF(ISBLANK(F347),IF(E347=21,"$ 495.86","-"),IF(F347=625.91,"$ 495.86","-"))</f>
      </c>
      <c r="I347" s="103"/>
      <c r="J347" s="103"/>
      <c r="L347" s="104" t="s">
        <v>180</v>
      </c>
      <c r="M347" s="105" t="s">
        <v>181</v>
      </c>
      <c r="N347" s="106"/>
    </row>
    <row r="348">
      <c r="A348" s="101" t="s">
        <v>1287</v>
      </c>
      <c r="B348" s="100" t="s">
        <v>1286</v>
      </c>
      <c r="C348" s="100" t="s">
        <v>826</v>
      </c>
      <c r="D348" s="102" t="n">
        <v>259.37</v>
      </c>
      <c r="E348" s="103" t="n">
        <v>21.0</v>
      </c>
      <c r="F348" s="103" t="n">
        <v>204.9</v>
      </c>
      <c r="G348" s="0">
        <f>IF(ISBLANK(F348),IF(E348&gt;21.0,"Atrativo",IF(E348&lt;21.0,"Pouco atrativo","-")),IF(F348&lt;204.9,"Atrativo",IF(F348&gt;204.9,"Pouco atrativo","-")))</f>
      </c>
      <c r="H348" s="102">
        <f>IF(ISBLANK(F348),IF(E348=21,"$ 149.12","-"),IF(F348=204.9,"$ 149.12","-"))</f>
      </c>
      <c r="I348" s="103"/>
      <c r="J348" s="103"/>
      <c r="L348" s="104" t="s">
        <v>180</v>
      </c>
      <c r="M348" s="105" t="s">
        <v>181</v>
      </c>
      <c r="N348" s="106"/>
    </row>
    <row r="349">
      <c r="A349" s="101" t="s">
        <v>1290</v>
      </c>
      <c r="B349" s="100" t="s">
        <v>1289</v>
      </c>
      <c r="C349" s="100" t="s">
        <v>854</v>
      </c>
      <c r="D349" s="102" t="n">
        <v>375.83</v>
      </c>
      <c r="E349" s="103" t="n">
        <v>21.0</v>
      </c>
      <c r="F349" s="103" t="n">
        <v>296.91</v>
      </c>
      <c r="G349" s="0">
        <f>IF(ISBLANK(F349),IF(E349&gt;21.0,"Atrativo",IF(E349&lt;21.0,"Pouco atrativo","-")),IF(F349&lt;296.91,"Atrativo",IF(F349&gt;296.91,"Pouco atrativo","-")))</f>
      </c>
      <c r="H349" s="102">
        <f>IF(ISBLANK(F349),IF(E349=21,"$ 223.89","-"),IF(F349=296.91,"$ 223.89","-"))</f>
      </c>
      <c r="I349" s="103"/>
      <c r="J349" s="103"/>
      <c r="L349" s="104" t="s">
        <v>180</v>
      </c>
      <c r="M349" s="105" t="s">
        <v>181</v>
      </c>
      <c r="N349" s="106"/>
    </row>
    <row r="350">
      <c r="A350" s="101" t="s">
        <v>1292</v>
      </c>
      <c r="B350" s="100" t="s">
        <v>1291</v>
      </c>
      <c r="C350" s="100" t="s">
        <v>1255</v>
      </c>
      <c r="D350" s="102" t="n">
        <v>1093.56</v>
      </c>
      <c r="E350" s="103" t="n">
        <v>21.0</v>
      </c>
      <c r="F350" s="103" t="n">
        <v>863.91</v>
      </c>
      <c r="G350" s="0">
        <f>IF(ISBLANK(F350),IF(E350&gt;21.0,"Atrativo",IF(E350&lt;21.0,"Pouco atrativo","-")),IF(F350&lt;863.91,"Atrativo",IF(F350&gt;863.91,"Pouco atrativo","-")))</f>
      </c>
      <c r="H350" s="102">
        <f>IF(ISBLANK(F350),IF(E350=21,"$ 747.93","-"),IF(F350=863.91,"$ 747.93","-"))</f>
      </c>
      <c r="I350" s="103"/>
      <c r="J350" s="103"/>
      <c r="L350" s="104" t="s">
        <v>180</v>
      </c>
      <c r="M350" s="105" t="s">
        <v>181</v>
      </c>
      <c r="N350" s="106"/>
    </row>
    <row r="351">
      <c r="A351" s="101" t="s">
        <v>1295</v>
      </c>
      <c r="B351" s="100" t="s">
        <v>1294</v>
      </c>
      <c r="C351" s="100" t="s">
        <v>1296</v>
      </c>
      <c r="D351" s="102" t="n">
        <v>446.71</v>
      </c>
      <c r="E351" s="103" t="n">
        <v>21.0</v>
      </c>
      <c r="F351" s="103" t="n">
        <v>352.9</v>
      </c>
      <c r="G351" s="0">
        <f>IF(ISBLANK(F351),IF(E351&gt;21.0,"Atrativo",IF(E351&lt;21.0,"Pouco atrativo","-")),IF(F351&lt;352.9,"Atrativo",IF(F351&gt;352.9,"Pouco atrativo","-")))</f>
      </c>
      <c r="H351" s="102">
        <f>IF(ISBLANK(F351),IF(E351=21,"$ 270.36","-"),IF(F351=352.9,"$ 270.36","-"))</f>
      </c>
      <c r="I351" s="103"/>
      <c r="J351" s="103"/>
      <c r="L351" s="104" t="s">
        <v>180</v>
      </c>
      <c r="M351" s="105" t="s">
        <v>181</v>
      </c>
      <c r="N351" s="106"/>
    </row>
    <row r="352">
      <c r="A352" s="101" t="s">
        <v>1299</v>
      </c>
      <c r="B352" s="100" t="s">
        <v>1298</v>
      </c>
      <c r="C352" s="100" t="s">
        <v>457</v>
      </c>
      <c r="D352" s="102" t="n">
        <v>66.96</v>
      </c>
      <c r="E352" s="103" t="n">
        <v>21.0</v>
      </c>
      <c r="F352" s="103" t="n">
        <v>52.9</v>
      </c>
      <c r="G352" s="0">
        <f>IF(ISBLANK(F352),IF(E352&gt;21.0,"Atrativo",IF(E352&lt;21.0,"Pouco atrativo","-")),IF(F352&lt;52.9,"Atrativo",IF(F352&gt;52.9,"Pouco atrativo","-")))</f>
      </c>
      <c r="H352" s="102">
        <f>IF(ISBLANK(F352),IF(E352=21,"$ 38.80","-"),IF(F352=52.9,"$ 38.80","-"))</f>
      </c>
      <c r="I352" s="103"/>
      <c r="J352" s="103"/>
      <c r="L352" s="104" t="s">
        <v>180</v>
      </c>
      <c r="M352" s="105" t="s">
        <v>181</v>
      </c>
      <c r="N352" s="106"/>
    </row>
    <row r="353">
      <c r="A353" s="101" t="s">
        <v>1302</v>
      </c>
      <c r="B353" s="100" t="s">
        <v>1301</v>
      </c>
      <c r="C353" s="100" t="s">
        <v>427</v>
      </c>
      <c r="D353" s="102" t="n">
        <v>82.15</v>
      </c>
      <c r="E353" s="103" t="n">
        <v>21.0</v>
      </c>
      <c r="F353" s="103" t="n">
        <v>64.9</v>
      </c>
      <c r="G353" s="0">
        <f>IF(ISBLANK(F353),IF(E353&gt;21.0,"Atrativo",IF(E353&lt;21.0,"Pouco atrativo","-")),IF(F353&lt;64.9,"Atrativo",IF(F353&gt;64.9,"Pouco atrativo","-")))</f>
      </c>
      <c r="H353" s="102">
        <f>IF(ISBLANK(F353),IF(E353=21,"$ 46.12","-"),IF(F353=64.9,"$ 46.12","-"))</f>
      </c>
      <c r="I353" s="103"/>
      <c r="J353" s="103"/>
      <c r="L353" s="104" t="s">
        <v>180</v>
      </c>
      <c r="M353" s="105" t="s">
        <v>181</v>
      </c>
      <c r="N353" s="106"/>
    </row>
    <row r="354">
      <c r="A354" s="101" t="s">
        <v>801</v>
      </c>
      <c r="B354" s="100" t="s">
        <v>1304</v>
      </c>
      <c r="C354" s="100" t="s">
        <v>802</v>
      </c>
      <c r="D354" s="102" t="n">
        <v>278.22</v>
      </c>
      <c r="E354" s="103" t="n">
        <v>22.0</v>
      </c>
      <c r="F354" s="103" t="n">
        <v>219.79</v>
      </c>
      <c r="G354" s="0">
        <f>IF(ISBLANK(F354),IF(E354&gt;22.0,"Atrativo",IF(E354&lt;22.0,"Pouco atrativo","-")),IF(F354&lt;219.79,"Atrativo",IF(F354&gt;219.79,"Pouco atrativo","-")))</f>
      </c>
      <c r="H354" s="102">
        <f>IF(ISBLANK(F354),IF(E354=22,"$ 170.87","-"),IF(F354=219.79,"$ 170.87","-"))</f>
      </c>
      <c r="I354" s="103"/>
      <c r="J354" s="103"/>
      <c r="L354" s="104" t="s">
        <v>180</v>
      </c>
      <c r="M354" s="105" t="s">
        <v>181</v>
      </c>
      <c r="N354" s="106"/>
    </row>
    <row r="355">
      <c r="A355" s="101" t="s">
        <v>1307</v>
      </c>
      <c r="B355" s="100" t="s">
        <v>1306</v>
      </c>
      <c r="C355" s="100" t="s">
        <v>553</v>
      </c>
      <c r="D355" s="102" t="n">
        <v>88.48</v>
      </c>
      <c r="E355" s="103" t="n">
        <v>21.0</v>
      </c>
      <c r="F355" s="103" t="n">
        <v>69.9</v>
      </c>
      <c r="G355" s="0">
        <f>IF(ISBLANK(F355),IF(E355&gt;21.0,"Atrativo",IF(E355&lt;21.0,"Pouco atrativo","-")),IF(F355&lt;69.9,"Atrativo",IF(F355&gt;69.9,"Pouco atrativo","-")))</f>
      </c>
      <c r="H355" s="102">
        <f>IF(ISBLANK(F355),IF(E355=21,"$ 49.97","-"),IF(F355=69.9,"$ 49.97","-"))</f>
      </c>
      <c r="I355" s="103"/>
      <c r="J355" s="103"/>
      <c r="L355" s="104" t="s">
        <v>180</v>
      </c>
      <c r="M355" s="105" t="s">
        <v>181</v>
      </c>
      <c r="N355" s="106"/>
    </row>
    <row r="356">
      <c r="A356" s="101" t="s">
        <v>1309</v>
      </c>
      <c r="B356" s="100" t="s">
        <v>1308</v>
      </c>
      <c r="C356" s="100" t="s">
        <v>627</v>
      </c>
      <c r="D356" s="102" t="n">
        <v>151.77</v>
      </c>
      <c r="E356" s="103" t="n">
        <v>21.0</v>
      </c>
      <c r="F356" s="103" t="n">
        <v>119.9</v>
      </c>
      <c r="G356" s="0">
        <f>IF(ISBLANK(F356),IF(E356&gt;21.0,"Atrativo",IF(E356&lt;21.0,"Pouco atrativo","-")),IF(F356&lt;119.9,"Atrativo",IF(F356&gt;119.9,"Pouco atrativo","-")))</f>
      </c>
      <c r="H356" s="102">
        <f>IF(ISBLANK(F356),IF(E356=21,"$ 91.76","-"),IF(F356=119.9,"$ 91.76","-"))</f>
      </c>
      <c r="I356" s="103"/>
      <c r="J356" s="103"/>
      <c r="L356" s="104" t="s">
        <v>180</v>
      </c>
      <c r="M356" s="105" t="s">
        <v>181</v>
      </c>
      <c r="N356" s="106"/>
    </row>
    <row r="357">
      <c r="A357" s="101" t="s">
        <v>1312</v>
      </c>
      <c r="B357" s="100" t="s">
        <v>1311</v>
      </c>
      <c r="C357" s="100" t="s">
        <v>841</v>
      </c>
      <c r="D357" s="102" t="n">
        <v>193.55</v>
      </c>
      <c r="E357" s="103" t="n">
        <v>22.0</v>
      </c>
      <c r="F357" s="103" t="n">
        <v>152.9</v>
      </c>
      <c r="G357" s="0">
        <f>IF(ISBLANK(F357),IF(E357&gt;22.0,"Atrativo",IF(E357&lt;22.0,"Pouco atrativo","-")),IF(F357&lt;152.9,"Atrativo",IF(F357&gt;152.9,"Pouco atrativo","-")))</f>
      </c>
      <c r="H357" s="102">
        <f>IF(ISBLANK(F357),IF(E357=22,"$ 114.70","-"),IF(F357=152.9,"$ 114.70","-"))</f>
      </c>
      <c r="I357" s="103"/>
      <c r="J357" s="103"/>
      <c r="L357" s="104" t="s">
        <v>180</v>
      </c>
      <c r="M357" s="105" t="s">
        <v>181</v>
      </c>
      <c r="N357" s="106"/>
    </row>
    <row r="358">
      <c r="A358" s="101" t="s">
        <v>1315</v>
      </c>
      <c r="B358" s="100" t="s">
        <v>1314</v>
      </c>
      <c r="C358" s="100" t="s">
        <v>367</v>
      </c>
      <c r="D358" s="102" t="n">
        <v>154.31</v>
      </c>
      <c r="E358" s="103" t="n">
        <v>22.0</v>
      </c>
      <c r="F358" s="103" t="n">
        <v>121.9</v>
      </c>
      <c r="G358" s="0">
        <f>IF(ISBLANK(F358),IF(E358&gt;22.0,"Atrativo",IF(E358&lt;22.0,"Pouco atrativo","-")),IF(F358&lt;121.9,"Atrativo",IF(F358&gt;121.9,"Pouco atrativo","-")))</f>
      </c>
      <c r="H358" s="102">
        <f>IF(ISBLANK(F358),IF(E358=22,"$ 84.73","-"),IF(F358=121.9,"$ 84.73","-"))</f>
      </c>
      <c r="I358" s="103"/>
      <c r="J358" s="103"/>
      <c r="L358" s="104" t="s">
        <v>180</v>
      </c>
      <c r="M358" s="105" t="s">
        <v>181</v>
      </c>
      <c r="N358" s="106"/>
    </row>
    <row r="359">
      <c r="A359" s="101" t="s">
        <v>1317</v>
      </c>
      <c r="B359" s="100" t="s">
        <v>1316</v>
      </c>
      <c r="C359" s="100" t="s">
        <v>553</v>
      </c>
      <c r="D359" s="102" t="n">
        <v>99.87</v>
      </c>
      <c r="E359" s="103" t="n">
        <v>21.0</v>
      </c>
      <c r="F359" s="103" t="n">
        <v>78.9</v>
      </c>
      <c r="G359" s="0">
        <f>IF(ISBLANK(F359),IF(E359&gt;21.0,"Atrativo",IF(E359&lt;21.0,"Pouco atrativo","-")),IF(F359&lt;78.9,"Atrativo",IF(F359&gt;78.9,"Pouco atrativo","-")))</f>
      </c>
      <c r="H359" s="102">
        <f>IF(ISBLANK(F359),IF(E359=21,"$ 61.48","-"),IF(F359=78.9,"$ 61.48","-"))</f>
      </c>
      <c r="I359" s="103"/>
      <c r="J359" s="103"/>
      <c r="L359" s="104" t="s">
        <v>180</v>
      </c>
      <c r="M359" s="105" t="s">
        <v>181</v>
      </c>
      <c r="N359" s="106"/>
    </row>
    <row r="360">
      <c r="A360" s="101" t="s">
        <v>1320</v>
      </c>
      <c r="B360" s="100" t="s">
        <v>1319</v>
      </c>
      <c r="C360" s="100" t="s">
        <v>712</v>
      </c>
      <c r="D360" s="102" t="n">
        <v>346.71</v>
      </c>
      <c r="E360" s="103" t="n">
        <v>21.0</v>
      </c>
      <c r="F360" s="103" t="n">
        <v>273.9</v>
      </c>
      <c r="G360" s="0">
        <f>IF(ISBLANK(F360),IF(E360&gt;21.0,"Atrativo",IF(E360&lt;21.0,"Pouco atrativo","-")),IF(F360&lt;273.9,"Atrativo",IF(F360&gt;273.9,"Pouco atrativo","-")))</f>
      </c>
      <c r="H360" s="102">
        <f>IF(ISBLANK(F360),IF(E360=21,"$ 220.08","-"),IF(F360=273.9,"$ 220.08","-"))</f>
      </c>
      <c r="I360" s="103"/>
      <c r="J360" s="103"/>
      <c r="L360" s="104" t="s">
        <v>180</v>
      </c>
      <c r="M360" s="105" t="s">
        <v>181</v>
      </c>
      <c r="N360" s="106"/>
    </row>
    <row r="361">
      <c r="A361" s="101" t="s">
        <v>1323</v>
      </c>
      <c r="B361" s="100" t="s">
        <v>1322</v>
      </c>
      <c r="C361" s="100" t="s">
        <v>777</v>
      </c>
      <c r="D361" s="102" t="n">
        <v>61.9</v>
      </c>
      <c r="E361" s="103" t="n">
        <v>22.0</v>
      </c>
      <c r="F361" s="103" t="n">
        <v>48.9</v>
      </c>
      <c r="G361" s="0">
        <f>IF(ISBLANK(F361),IF(E361&gt;22.0,"Atrativo",IF(E361&lt;22.0,"Pouco atrativo","-")),IF(F361&lt;48.9,"Atrativo",IF(F361&gt;48.9,"Pouco atrativo","-")))</f>
      </c>
      <c r="H361" s="102">
        <f>IF(ISBLANK(F361),IF(E361=22,"$ 34.04","-"),IF(F361=48.9,"$ 34.04","-"))</f>
      </c>
      <c r="I361" s="103"/>
      <c r="J361" s="103"/>
      <c r="L361" s="104" t="s">
        <v>180</v>
      </c>
      <c r="M361" s="105" t="s">
        <v>181</v>
      </c>
      <c r="N361" s="106"/>
    </row>
    <row r="362">
      <c r="A362" s="101" t="s">
        <v>1326</v>
      </c>
      <c r="B362" s="100" t="s">
        <v>1325</v>
      </c>
      <c r="C362" s="100" t="s">
        <v>1327</v>
      </c>
      <c r="D362" s="102" t="n">
        <v>96.08</v>
      </c>
      <c r="E362" s="103" t="n">
        <v>22.0</v>
      </c>
      <c r="F362" s="103" t="n">
        <v>75.9</v>
      </c>
      <c r="G362" s="0">
        <f>IF(ISBLANK(F362),IF(E362&gt;22.0,"Atrativo",IF(E362&lt;22.0,"Pouco atrativo","-")),IF(F362&lt;75.9,"Atrativo",IF(F362&gt;75.9,"Pouco atrativo","-")))</f>
      </c>
      <c r="H362" s="102">
        <f>IF(ISBLANK(F362),IF(E362=22,"$ 58.18","-"),IF(F362=75.9,"$ 58.18","-"))</f>
      </c>
      <c r="I362" s="103"/>
      <c r="J362" s="103"/>
      <c r="L362" s="104" t="s">
        <v>180</v>
      </c>
      <c r="M362" s="105" t="s">
        <v>181</v>
      </c>
      <c r="N362" s="106"/>
    </row>
    <row r="363">
      <c r="A363" s="101" t="s">
        <v>1330</v>
      </c>
      <c r="B363" s="100" t="s">
        <v>1329</v>
      </c>
      <c r="C363" s="100" t="s">
        <v>631</v>
      </c>
      <c r="D363" s="102" t="n">
        <v>137.85</v>
      </c>
      <c r="E363" s="103" t="n">
        <v>22.0</v>
      </c>
      <c r="F363" s="103" t="n">
        <v>108.9</v>
      </c>
      <c r="G363" s="0">
        <f>IF(ISBLANK(F363),IF(E363&gt;22.0,"Atrativo",IF(E363&lt;22.0,"Pouco atrativo","-")),IF(F363&lt;108.9,"Atrativo",IF(F363&gt;108.9,"Pouco atrativo","-")))</f>
      </c>
      <c r="H363" s="102">
        <f>IF(ISBLANK(F363),IF(E363=22,"$ 81.48","-"),IF(F363=108.9,"$ 81.48","-"))</f>
      </c>
      <c r="I363" s="103"/>
      <c r="J363" s="103"/>
      <c r="L363" s="104" t="s">
        <v>180</v>
      </c>
      <c r="M363" s="105" t="s">
        <v>181</v>
      </c>
      <c r="N363" s="106"/>
    </row>
    <row r="364">
      <c r="A364" s="101" t="s">
        <v>1333</v>
      </c>
      <c r="B364" s="100" t="s">
        <v>1332</v>
      </c>
      <c r="C364" s="100" t="s">
        <v>343</v>
      </c>
      <c r="D364" s="102" t="n">
        <v>717.6</v>
      </c>
      <c r="E364" s="103" t="n">
        <v>21.0</v>
      </c>
      <c r="F364" s="103" t="n">
        <v>566.9</v>
      </c>
      <c r="G364" s="0">
        <f>IF(ISBLANK(F364),IF(E364&gt;21.0,"Atrativo",IF(E364&lt;21.0,"Pouco atrativo","-")),IF(F364&lt;566.9,"Atrativo",IF(F364&gt;566.9,"Pouco atrativo","-")))</f>
      </c>
      <c r="H364" s="102">
        <f>IF(ISBLANK(F364),IF(E364=21,"$ 480.89","-"),IF(F364=566.9,"$ 480.89","-"))</f>
      </c>
      <c r="I364" s="103"/>
      <c r="J364" s="103"/>
      <c r="L364" s="104" t="s">
        <v>180</v>
      </c>
      <c r="M364" s="105" t="s">
        <v>181</v>
      </c>
      <c r="N364" s="106"/>
    </row>
    <row r="365">
      <c r="A365" s="101" t="s">
        <v>1336</v>
      </c>
      <c r="B365" s="100" t="s">
        <v>1335</v>
      </c>
      <c r="C365" s="100" t="s">
        <v>357</v>
      </c>
      <c r="D365" s="102" t="n">
        <v>92.39</v>
      </c>
      <c r="E365" s="103" t="n">
        <v>21.0</v>
      </c>
      <c r="F365" s="103" t="n">
        <v>72.99</v>
      </c>
      <c r="G365" s="0">
        <f>IF(ISBLANK(F365),IF(E365&gt;21.0,"Atrativo",IF(E365&lt;21.0,"Pouco atrativo","-")),IF(F365&lt;72.99,"Atrativo",IF(F365&gt;72.99,"Pouco atrativo","-")))</f>
      </c>
      <c r="H365" s="102">
        <f>IF(ISBLANK(F365),IF(E365=21,"$ 56.48","-"),IF(F365=72.99,"$ 56.48","-"))</f>
      </c>
      <c r="I365" s="103"/>
      <c r="J365" s="103"/>
      <c r="L365" s="104" t="s">
        <v>180</v>
      </c>
      <c r="M365" s="105" t="s">
        <v>181</v>
      </c>
      <c r="N365" s="106"/>
    </row>
    <row r="366">
      <c r="A366" s="101" t="s">
        <v>1339</v>
      </c>
      <c r="B366" s="100" t="s">
        <v>1338</v>
      </c>
      <c r="C366" s="100" t="s">
        <v>595</v>
      </c>
      <c r="D366" s="102" t="n">
        <v>122.66</v>
      </c>
      <c r="E366" s="103" t="n">
        <v>22.0</v>
      </c>
      <c r="F366" s="103" t="n">
        <v>96.9</v>
      </c>
      <c r="G366" s="0">
        <f>IF(ISBLANK(F366),IF(E366&gt;22.0,"Atrativo",IF(E366&lt;22.0,"Pouco atrativo","-")),IF(F366&lt;96.9,"Atrativo",IF(F366&gt;96.9,"Pouco atrativo","-")))</f>
      </c>
      <c r="H366" s="102">
        <f>IF(ISBLANK(F366),IF(E366=22,"$ 68.08","-"),IF(F366=96.9,"$ 68.08","-"))</f>
      </c>
      <c r="I366" s="103"/>
      <c r="J366" s="103"/>
      <c r="L366" s="104" t="s">
        <v>180</v>
      </c>
      <c r="M366" s="105" t="s">
        <v>181</v>
      </c>
      <c r="N366" s="106"/>
    </row>
    <row r="367">
      <c r="A367" s="101" t="s">
        <v>1342</v>
      </c>
      <c r="B367" s="100" t="s">
        <v>1341</v>
      </c>
      <c r="C367" s="100" t="s">
        <v>1343</v>
      </c>
      <c r="D367" s="102" t="n">
        <v>217.6</v>
      </c>
      <c r="E367" s="103" t="n">
        <v>22.0</v>
      </c>
      <c r="F367" s="103" t="n">
        <v>171.9</v>
      </c>
      <c r="G367" s="0">
        <f>IF(ISBLANK(F367),IF(E367&gt;22.0,"Atrativo",IF(E367&lt;22.0,"Pouco atrativo","-")),IF(F367&lt;171.9,"Atrativo",IF(F367&gt;171.9,"Pouco atrativo","-")))</f>
      </c>
      <c r="H367" s="102">
        <f>IF(ISBLANK(F367),IF(E367=22,"$ 122.83","-"),IF(F367=171.9,"$ 122.83","-"))</f>
      </c>
      <c r="I367" s="103"/>
      <c r="J367" s="103"/>
      <c r="L367" s="104" t="s">
        <v>180</v>
      </c>
      <c r="M367" s="105" t="s">
        <v>181</v>
      </c>
      <c r="N367" s="106"/>
    </row>
    <row r="368">
      <c r="A368" s="101" t="s">
        <v>1346</v>
      </c>
      <c r="B368" s="100" t="s">
        <v>1345</v>
      </c>
      <c r="C368" s="100" t="s">
        <v>1343</v>
      </c>
      <c r="D368" s="102" t="n">
        <v>250.51</v>
      </c>
      <c r="E368" s="103" t="n">
        <v>22.0</v>
      </c>
      <c r="F368" s="103" t="n">
        <v>197.9</v>
      </c>
      <c r="G368" s="0">
        <f>IF(ISBLANK(F368),IF(E368&gt;22.0,"Atrativo",IF(E368&lt;22.0,"Pouco atrativo","-")),IF(F368&lt;197.9,"Atrativo",IF(F368&gt;197.9,"Pouco atrativo","-")))</f>
      </c>
      <c r="H368" s="102">
        <f>IF(ISBLANK(F368),IF(E368=22,"$ 144.41","-"),IF(F368=197.9,"$ 144.41","-"))</f>
      </c>
      <c r="I368" s="103"/>
      <c r="J368" s="103"/>
      <c r="L368" s="104" t="s">
        <v>180</v>
      </c>
      <c r="M368" s="105" t="s">
        <v>181</v>
      </c>
      <c r="N368" s="106"/>
    </row>
    <row r="369">
      <c r="A369" s="101" t="s">
        <v>1349</v>
      </c>
      <c r="B369" s="100" t="s">
        <v>1348</v>
      </c>
      <c r="C369" s="100" t="s">
        <v>1350</v>
      </c>
      <c r="D369" s="102" t="n">
        <v>91.01</v>
      </c>
      <c r="E369" s="103" t="n">
        <v>24.0</v>
      </c>
      <c r="F369" s="103" t="n">
        <v>69.9</v>
      </c>
      <c r="G369" s="0">
        <f>IF(ISBLANK(F369),IF(E369&gt;24.0,"Atrativo",IF(E369&lt;24.0,"Pouco atrativo","-")),IF(F369&lt;69.9,"Atrativo",IF(F369&gt;69.9,"Pouco atrativo","-")))</f>
      </c>
      <c r="H369" s="102">
        <f>IF(ISBLANK(F369),IF(E369=24,"$ 53.76","-"),IF(F369=69.9,"$ 53.76","-"))</f>
      </c>
      <c r="I369" s="103"/>
      <c r="J369" s="103"/>
      <c r="L369" s="104" t="s">
        <v>180</v>
      </c>
      <c r="M369" s="105" t="s">
        <v>181</v>
      </c>
      <c r="N369" s="106"/>
    </row>
    <row r="370">
      <c r="A370" s="101" t="s">
        <v>1353</v>
      </c>
      <c r="B370" s="100" t="s">
        <v>1352</v>
      </c>
      <c r="C370" s="100" t="s">
        <v>1350</v>
      </c>
      <c r="D370" s="102" t="n">
        <v>92.28</v>
      </c>
      <c r="E370" s="103" t="n">
        <v>22.0</v>
      </c>
      <c r="F370" s="103" t="n">
        <v>72.9</v>
      </c>
      <c r="G370" s="0">
        <f>IF(ISBLANK(F370),IF(E370&gt;22.0,"Atrativo",IF(E370&lt;22.0,"Pouco atrativo","-")),IF(F370&lt;72.9,"Atrativo",IF(F370&gt;72.9,"Pouco atrativo","-")))</f>
      </c>
      <c r="H370" s="102">
        <f>IF(ISBLANK(F370),IF(E370=22,"$ 56.30","-"),IF(F370=72.9,"$ 56.30","-"))</f>
      </c>
      <c r="I370" s="103"/>
      <c r="J370" s="103"/>
      <c r="L370" s="104" t="s">
        <v>180</v>
      </c>
      <c r="M370" s="105" t="s">
        <v>181</v>
      </c>
      <c r="N370" s="106"/>
    </row>
    <row r="371">
      <c r="A371" s="101" t="s">
        <v>1356</v>
      </c>
      <c r="B371" s="100" t="s">
        <v>1355</v>
      </c>
      <c r="C371" s="100" t="s">
        <v>1357</v>
      </c>
      <c r="D371" s="102" t="n">
        <v>355.66</v>
      </c>
      <c r="E371" s="103" t="n">
        <v>21.0</v>
      </c>
      <c r="F371" s="103" t="n">
        <v>280.97</v>
      </c>
      <c r="G371" s="0">
        <f>IF(ISBLANK(F371),IF(E371&gt;21.0,"Atrativo",IF(E371&lt;21.0,"Pouco atrativo","-")),IF(F371&lt;280.97,"Atrativo",IF(F371&gt;280.97,"Pouco atrativo","-")))</f>
      </c>
      <c r="H371" s="102">
        <f>IF(ISBLANK(F371),IF(E371=21,"$ 193.46","-"),IF(F371=280.97,"$ 193.46","-"))</f>
      </c>
      <c r="I371" s="103"/>
      <c r="J371" s="103"/>
      <c r="L371" s="104" t="s">
        <v>180</v>
      </c>
      <c r="M371" s="105" t="s">
        <v>181</v>
      </c>
      <c r="N371" s="106"/>
    </row>
    <row r="372">
      <c r="A372" s="101" t="s">
        <v>1356</v>
      </c>
      <c r="B372" s="100" t="s">
        <v>1359</v>
      </c>
      <c r="C372" s="100" t="s">
        <v>1357</v>
      </c>
      <c r="D372" s="102" t="n">
        <v>377.09</v>
      </c>
      <c r="E372" s="103" t="n">
        <v>21.0</v>
      </c>
      <c r="F372" s="103" t="n">
        <v>297.9</v>
      </c>
      <c r="G372" s="0">
        <f>IF(ISBLANK(F372),IF(E372&gt;21.0,"Atrativo",IF(E372&lt;21.0,"Pouco atrativo","-")),IF(F372&lt;297.9,"Atrativo",IF(F372&gt;297.9,"Pouco atrativo","-")))</f>
      </c>
      <c r="H372" s="102">
        <f>IF(ISBLANK(F372),IF(E372=21,"$ 222.40","-"),IF(F372=297.9,"$ 222.40","-"))</f>
      </c>
      <c r="I372" s="103"/>
      <c r="J372" s="103"/>
      <c r="L372" s="104" t="s">
        <v>180</v>
      </c>
      <c r="M372" s="105" t="s">
        <v>181</v>
      </c>
      <c r="N372" s="106"/>
    </row>
    <row r="373">
      <c r="A373" s="101" t="s">
        <v>1362</v>
      </c>
      <c r="B373" s="100" t="s">
        <v>1361</v>
      </c>
      <c r="C373" s="100" t="s">
        <v>1357</v>
      </c>
      <c r="D373" s="102" t="n">
        <v>377.22</v>
      </c>
      <c r="E373" s="103" t="n">
        <v>22.0</v>
      </c>
      <c r="F373" s="103" t="n">
        <v>298.0</v>
      </c>
      <c r="G373" s="0">
        <f>IF(ISBLANK(F373),IF(E373&gt;22.0,"Atrativo",IF(E373&lt;22.0,"Pouco atrativo","-")),IF(F373&lt;298.0,"Atrativo",IF(F373&gt;298.0,"Pouco atrativo","-")))</f>
      </c>
      <c r="H373" s="102">
        <f>IF(ISBLANK(F373),IF(E373=22,"$ 214.19","-"),IF(F373=298,"$ 214.19","-"))</f>
      </c>
      <c r="I373" s="103"/>
      <c r="J373" s="103"/>
      <c r="L373" s="104" t="s">
        <v>180</v>
      </c>
      <c r="M373" s="105" t="s">
        <v>181</v>
      </c>
      <c r="N373" s="106"/>
    </row>
    <row r="374">
      <c r="A374" s="101" t="s">
        <v>1365</v>
      </c>
      <c r="B374" s="100" t="s">
        <v>1364</v>
      </c>
      <c r="C374" s="100" t="s">
        <v>819</v>
      </c>
      <c r="D374" s="102" t="n">
        <v>268.34</v>
      </c>
      <c r="E374" s="103" t="n">
        <v>21.0</v>
      </c>
      <c r="F374" s="103" t="n">
        <v>211.99</v>
      </c>
      <c r="G374" s="0">
        <f>IF(ISBLANK(F374),IF(E374&gt;21.0,"Atrativo",IF(E374&lt;21.0,"Pouco atrativo","-")),IF(F374&lt;211.99,"Atrativo",IF(F374&gt;211.99,"Pouco atrativo","-")))</f>
      </c>
      <c r="H374" s="102">
        <f>IF(ISBLANK(F374),IF(E374=21,"$ 161.90","-"),IF(F374=211.99,"$ 161.90","-"))</f>
      </c>
      <c r="I374" s="103"/>
      <c r="J374" s="103"/>
      <c r="L374" s="104" t="s">
        <v>180</v>
      </c>
      <c r="M374" s="105" t="s">
        <v>181</v>
      </c>
      <c r="N374" s="106"/>
    </row>
    <row r="375">
      <c r="A375" s="101" t="s">
        <v>1367</v>
      </c>
      <c r="B375" s="100" t="s">
        <v>1366</v>
      </c>
      <c r="C375" s="100" t="s">
        <v>1368</v>
      </c>
      <c r="D375" s="102" t="n">
        <v>250.51</v>
      </c>
      <c r="E375" s="103" t="n">
        <v>22.0</v>
      </c>
      <c r="F375" s="103" t="n">
        <v>197.9</v>
      </c>
      <c r="G375" s="0">
        <f>IF(ISBLANK(F375),IF(E375&gt;22.0,"Atrativo",IF(E375&lt;22.0,"Pouco atrativo","-")),IF(F375&lt;197.9,"Atrativo",IF(F375&gt;197.9,"Pouco atrativo","-")))</f>
      </c>
      <c r="H375" s="102">
        <f>IF(ISBLANK(F375),IF(E375=22,"$ 143.11","-"),IF(F375=197.9,"$ 143.11","-"))</f>
      </c>
      <c r="I375" s="103"/>
      <c r="J375" s="103"/>
      <c r="L375" s="104" t="s">
        <v>180</v>
      </c>
      <c r="M375" s="105" t="s">
        <v>181</v>
      </c>
      <c r="N375" s="106"/>
    </row>
    <row r="376">
      <c r="A376" s="101" t="s">
        <v>1258</v>
      </c>
      <c r="B376" s="100" t="s">
        <v>1369</v>
      </c>
      <c r="C376" s="100" t="s">
        <v>1255</v>
      </c>
      <c r="D376" s="102" t="n">
        <v>1092.29</v>
      </c>
      <c r="E376" s="103" t="n">
        <v>21.0</v>
      </c>
      <c r="F376" s="103" t="n">
        <v>862.91</v>
      </c>
      <c r="G376" s="0">
        <f>IF(ISBLANK(F376),IF(E376&gt;21.0,"Atrativo",IF(E376&lt;21.0,"Pouco atrativo","-")),IF(F376&lt;862.91,"Atrativo",IF(F376&gt;862.91,"Pouco atrativo","-")))</f>
      </c>
      <c r="H376" s="102">
        <f>IF(ISBLANK(F376),IF(E376=21,"$ 693.67","-"),IF(F376=862.91,"$ 693.67","-"))</f>
      </c>
      <c r="I376" s="103"/>
      <c r="J376" s="103"/>
      <c r="L376" s="104" t="s">
        <v>180</v>
      </c>
      <c r="M376" s="105" t="s">
        <v>181</v>
      </c>
      <c r="N376" s="106"/>
    </row>
    <row r="377">
      <c r="A377" s="101" t="s">
        <v>1372</v>
      </c>
      <c r="B377" s="100" t="s">
        <v>1371</v>
      </c>
      <c r="C377" s="100" t="s">
        <v>882</v>
      </c>
      <c r="D377" s="102" t="n">
        <v>173.29</v>
      </c>
      <c r="E377" s="103" t="n">
        <v>21.0</v>
      </c>
      <c r="F377" s="103" t="n">
        <v>136.9</v>
      </c>
      <c r="G377" s="0">
        <f>IF(ISBLANK(F377),IF(E377&gt;21.0,"Atrativo",IF(E377&lt;21.0,"Pouco atrativo","-")),IF(F377&lt;136.9,"Atrativo",IF(F377&gt;136.9,"Pouco atrativo","-")))</f>
      </c>
      <c r="H377" s="102">
        <f>IF(ISBLANK(F377),IF(E377=21,"$ 95.18","-"),IF(F377=136.9,"$ 95.18","-"))</f>
      </c>
      <c r="I377" s="103"/>
      <c r="J377" s="103"/>
      <c r="L377" s="104" t="s">
        <v>180</v>
      </c>
      <c r="M377" s="105" t="s">
        <v>181</v>
      </c>
      <c r="N377" s="106"/>
    </row>
    <row r="378">
      <c r="A378" s="101" t="s">
        <v>1148</v>
      </c>
      <c r="B378" s="100" t="s">
        <v>1374</v>
      </c>
      <c r="C378" s="100" t="s">
        <v>653</v>
      </c>
      <c r="D378" s="102" t="n">
        <v>113.55</v>
      </c>
      <c r="E378" s="103" t="n">
        <v>22.0</v>
      </c>
      <c r="F378" s="103" t="n">
        <v>89.7</v>
      </c>
      <c r="G378" s="0">
        <f>IF(ISBLANK(F378),IF(E378&gt;22.0,"Atrativo",IF(E378&lt;22.0,"Pouco atrativo","-")),IF(F378&lt;89.7,"Atrativo",IF(F378&gt;89.7,"Pouco atrativo","-")))</f>
      </c>
      <c r="H378" s="102">
        <f>IF(ISBLANK(F378),IF(E378=22,"$ 66.59","-"),IF(F378=89.7,"$ 66.59","-"))</f>
      </c>
      <c r="I378" s="103"/>
      <c r="J378" s="103"/>
      <c r="L378" s="104" t="s">
        <v>180</v>
      </c>
      <c r="M378" s="105" t="s">
        <v>181</v>
      </c>
      <c r="N378" s="106"/>
    </row>
    <row r="379">
      <c r="A379" s="101" t="s">
        <v>1377</v>
      </c>
      <c r="B379" s="100" t="s">
        <v>1376</v>
      </c>
      <c r="C379" s="100" t="s">
        <v>129</v>
      </c>
      <c r="D379" s="102" t="n">
        <v>192.28</v>
      </c>
      <c r="E379" s="103" t="n">
        <v>21.0</v>
      </c>
      <c r="F379" s="103" t="n">
        <v>151.9</v>
      </c>
      <c r="G379" s="0">
        <f>IF(ISBLANK(F379),IF(E379&gt;21.0,"Atrativo",IF(E379&lt;21.0,"Pouco atrativo","-")),IF(F379&lt;151.9,"Atrativo",IF(F379&gt;151.9,"Pouco atrativo","-")))</f>
      </c>
      <c r="H379" s="102">
        <f>IF(ISBLANK(F379),IF(E379=21,"$ 108.39","-"),IF(F379=151.9,"$ 108.39","-"))</f>
      </c>
      <c r="I379" s="103"/>
      <c r="J379" s="103"/>
      <c r="L379" s="104" t="s">
        <v>180</v>
      </c>
      <c r="M379" s="105" t="s">
        <v>181</v>
      </c>
      <c r="N379" s="106"/>
    </row>
    <row r="380">
      <c r="A380" s="101" t="s">
        <v>1380</v>
      </c>
      <c r="B380" s="100" t="s">
        <v>1379</v>
      </c>
      <c r="C380" s="100" t="s">
        <v>385</v>
      </c>
      <c r="D380" s="102" t="n">
        <v>1055.58</v>
      </c>
      <c r="E380" s="103" t="n">
        <v>21.0</v>
      </c>
      <c r="F380" s="103" t="n">
        <v>833.91</v>
      </c>
      <c r="G380" s="0">
        <f>IF(ISBLANK(F380),IF(E380&gt;21.0,"Atrativo",IF(E380&lt;21.0,"Pouco atrativo","-")),IF(F380&lt;833.91,"Atrativo",IF(F380&gt;833.91,"Pouco atrativo","-")))</f>
      </c>
      <c r="H380" s="102">
        <f>IF(ISBLANK(F380),IF(E380=21,"$ 709.19","-"),IF(F380=833.91,"$ 709.19","-"))</f>
      </c>
      <c r="I380" s="103"/>
      <c r="J380" s="103"/>
      <c r="L380" s="104" t="s">
        <v>180</v>
      </c>
      <c r="M380" s="105" t="s">
        <v>181</v>
      </c>
      <c r="N380" s="106"/>
    </row>
    <row r="381">
      <c r="A381" s="101" t="s">
        <v>1383</v>
      </c>
      <c r="B381" s="100" t="s">
        <v>1382</v>
      </c>
      <c r="C381" s="100" t="s">
        <v>623</v>
      </c>
      <c r="D381" s="102" t="n">
        <v>299.88</v>
      </c>
      <c r="E381" s="103" t="n">
        <v>21.0</v>
      </c>
      <c r="F381" s="103" t="n">
        <v>236.91</v>
      </c>
      <c r="G381" s="0">
        <f>IF(ISBLANK(F381),IF(E381&gt;21.0,"Atrativo",IF(E381&lt;21.0,"Pouco atrativo","-")),IF(F381&lt;236.91,"Atrativo",IF(F381&gt;236.91,"Pouco atrativo","-")))</f>
      </c>
      <c r="H381" s="102">
        <f>IF(ISBLANK(F381),IF(E381=21,"$ 178.05","-"),IF(F381=236.91,"$ 178.05","-"))</f>
      </c>
      <c r="I381" s="103"/>
      <c r="J381" s="103"/>
      <c r="L381" s="104" t="s">
        <v>180</v>
      </c>
      <c r="M381" s="105" t="s">
        <v>181</v>
      </c>
      <c r="N381" s="106"/>
    </row>
    <row r="382">
      <c r="A382" s="101" t="s">
        <v>1386</v>
      </c>
      <c r="B382" s="100" t="s">
        <v>1385</v>
      </c>
      <c r="C382" s="100" t="s">
        <v>453</v>
      </c>
      <c r="D382" s="102" t="n">
        <v>147.98</v>
      </c>
      <c r="E382" s="103" t="n">
        <v>22.0</v>
      </c>
      <c r="F382" s="103" t="n">
        <v>116.9</v>
      </c>
      <c r="G382" s="0">
        <f>IF(ISBLANK(F382),IF(E382&gt;22.0,"Atrativo",IF(E382&lt;22.0,"Pouco atrativo","-")),IF(F382&lt;116.9,"Atrativo",IF(F382&gt;116.9,"Pouco atrativo","-")))</f>
      </c>
      <c r="H382" s="102">
        <f>IF(ISBLANK(F382),IF(E382=22,"$ 88.52","-"),IF(F382=116.9,"$ 88.52","-"))</f>
      </c>
      <c r="I382" s="103"/>
      <c r="J382" s="103"/>
      <c r="L382" s="104" t="s">
        <v>180</v>
      </c>
      <c r="M382" s="105" t="s">
        <v>181</v>
      </c>
      <c r="N382" s="106"/>
    </row>
    <row r="383">
      <c r="A383" s="101" t="s">
        <v>1389</v>
      </c>
      <c r="B383" s="100" t="s">
        <v>1388</v>
      </c>
      <c r="C383" s="100" t="s">
        <v>453</v>
      </c>
      <c r="D383" s="102" t="n">
        <v>127.72</v>
      </c>
      <c r="E383" s="103" t="n">
        <v>21.0</v>
      </c>
      <c r="F383" s="103" t="n">
        <v>100.9</v>
      </c>
      <c r="G383" s="0">
        <f>IF(ISBLANK(F383),IF(E383&gt;21.0,"Atrativo",IF(E383&lt;21.0,"Pouco atrativo","-")),IF(F383&lt;100.9,"Atrativo",IF(F383&gt;100.9,"Pouco atrativo","-")))</f>
      </c>
      <c r="H383" s="102">
        <f>IF(ISBLANK(F383),IF(E383=21,"$ 74.44","-"),IF(F383=100.9,"$ 74.44","-"))</f>
      </c>
      <c r="I383" s="103"/>
      <c r="J383" s="103"/>
      <c r="L383" s="104" t="s">
        <v>180</v>
      </c>
      <c r="M383" s="105" t="s">
        <v>181</v>
      </c>
      <c r="N383" s="106"/>
    </row>
    <row r="384">
      <c r="A384" s="101" t="s">
        <v>1392</v>
      </c>
      <c r="B384" s="100" t="s">
        <v>1391</v>
      </c>
      <c r="C384" s="100" t="s">
        <v>457</v>
      </c>
      <c r="D384" s="102" t="n">
        <v>58.1</v>
      </c>
      <c r="E384" s="103" t="n">
        <v>21.0</v>
      </c>
      <c r="F384" s="103" t="n">
        <v>45.9</v>
      </c>
      <c r="G384" s="0">
        <f>IF(ISBLANK(F384),IF(E384&gt;21.0,"Atrativo",IF(E384&lt;21.0,"Pouco atrativo","-")),IF(F384&lt;45.9,"Atrativo",IF(F384&gt;45.9,"Pouco atrativo","-")))</f>
      </c>
      <c r="H384" s="102">
        <f>IF(ISBLANK(F384),IF(E384=21,"$ 33.84","-"),IF(F384=45.9,"$ 33.84","-"))</f>
      </c>
      <c r="I384" s="103"/>
      <c r="J384" s="103"/>
      <c r="L384" s="104" t="s">
        <v>180</v>
      </c>
      <c r="M384" s="105" t="s">
        <v>181</v>
      </c>
      <c r="N384" s="106"/>
    </row>
    <row r="385">
      <c r="A385" s="101" t="s">
        <v>1394</v>
      </c>
      <c r="B385" s="100" t="s">
        <v>1393</v>
      </c>
      <c r="C385" s="100" t="s">
        <v>526</v>
      </c>
      <c r="D385" s="102" t="n">
        <v>113.8</v>
      </c>
      <c r="E385" s="103" t="n">
        <v>22.0</v>
      </c>
      <c r="F385" s="103" t="n">
        <v>89.9</v>
      </c>
      <c r="G385" s="0">
        <f>IF(ISBLANK(F385),IF(E385&gt;22.0,"Atrativo",IF(E385&lt;22.0,"Pouco atrativo","-")),IF(F385&lt;89.9,"Atrativo",IF(F385&gt;89.9,"Pouco atrativo","-")))</f>
      </c>
      <c r="H385" s="102">
        <f>IF(ISBLANK(F385),IF(E385=22,"$ 62.27","-"),IF(F385=89.9,"$ 62.27","-"))</f>
      </c>
      <c r="I385" s="103"/>
      <c r="J385" s="103"/>
      <c r="L385" s="104" t="s">
        <v>180</v>
      </c>
      <c r="M385" s="105" t="s">
        <v>181</v>
      </c>
      <c r="N385" s="106"/>
    </row>
    <row r="386">
      <c r="A386" s="101" t="s">
        <v>1396</v>
      </c>
      <c r="B386" s="100" t="s">
        <v>1395</v>
      </c>
      <c r="C386" s="100" t="s">
        <v>392</v>
      </c>
      <c r="D386" s="102" t="n">
        <v>57.98</v>
      </c>
      <c r="E386" s="103" t="n">
        <v>21.0</v>
      </c>
      <c r="F386" s="103" t="n">
        <v>45.99</v>
      </c>
      <c r="G386" s="0">
        <f>IF(ISBLANK(F386),IF(E386&gt;21.0,"Atrativo",IF(E386&lt;21.0,"Pouco atrativo","-")),IF(F386&lt;45.99,"Atrativo",IF(F386&gt;45.99,"Pouco atrativo","-")))</f>
      </c>
      <c r="H386" s="102">
        <f>IF(ISBLANK(F386),IF(E386=21,"$ 34.38","-"),IF(F386=45.99,"$ 34.38","-"))</f>
      </c>
      <c r="I386" s="103"/>
      <c r="J386" s="103"/>
      <c r="L386" s="104" t="s">
        <v>180</v>
      </c>
      <c r="M386" s="105" t="s">
        <v>181</v>
      </c>
      <c r="N386" s="106"/>
    </row>
    <row r="387">
      <c r="A387" s="101" t="s">
        <v>1399</v>
      </c>
      <c r="B387" s="100" t="s">
        <v>1398</v>
      </c>
      <c r="C387" s="100" t="s">
        <v>392</v>
      </c>
      <c r="D387" s="102" t="n">
        <v>46.9</v>
      </c>
      <c r="E387" s="103" t="n">
        <v>18.0</v>
      </c>
      <c r="F387" s="103" t="n">
        <v>38.45</v>
      </c>
      <c r="G387" s="107" t="s">
        <v>294</v>
      </c>
      <c r="H387" s="102">
        <f>IF(ISBLANK(F387),IF(E387=18,"$ 26.95","-"),IF(F387=38.45,"$ 26.95","-"))</f>
      </c>
      <c r="I387" s="103"/>
      <c r="J387" s="103"/>
      <c r="L387" s="104" t="s">
        <v>295</v>
      </c>
      <c r="M387" s="105" t="s">
        <v>181</v>
      </c>
      <c r="N387" s="101" t="s">
        <v>296</v>
      </c>
    </row>
    <row r="388">
      <c r="A388" s="101" t="s">
        <v>1402</v>
      </c>
      <c r="B388" s="100" t="s">
        <v>1401</v>
      </c>
      <c r="C388" s="100" t="s">
        <v>639</v>
      </c>
      <c r="D388" s="102" t="n">
        <v>56.23</v>
      </c>
      <c r="E388" s="103" t="n">
        <v>22.0</v>
      </c>
      <c r="F388" s="103" t="n">
        <v>44.42</v>
      </c>
      <c r="G388" s="0">
        <f>IF(ISBLANK(F388),IF(E388&gt;22.0,"Atrativo",IF(E388&lt;22.0,"Pouco atrativo","-")),IF(F388&lt;44.42,"Atrativo",IF(F388&gt;44.42,"Pouco atrativo","-")))</f>
      </c>
      <c r="H388" s="102">
        <f>IF(ISBLANK(F388),IF(E388=22,"$ 30.24","-"),IF(F388=44.42,"$ 30.24","-"))</f>
      </c>
      <c r="I388" s="103"/>
      <c r="J388" s="103"/>
      <c r="L388" s="104" t="s">
        <v>180</v>
      </c>
      <c r="M388" s="105" t="s">
        <v>181</v>
      </c>
      <c r="N388" s="106"/>
    </row>
    <row r="389">
      <c r="A389" s="101" t="s">
        <v>1405</v>
      </c>
      <c r="B389" s="100" t="s">
        <v>1404</v>
      </c>
      <c r="C389" s="100" t="s">
        <v>420</v>
      </c>
      <c r="D389" s="102" t="n">
        <v>163.67</v>
      </c>
      <c r="E389" s="103" t="n">
        <v>21.0</v>
      </c>
      <c r="F389" s="103" t="n">
        <v>129.3</v>
      </c>
      <c r="G389" s="0">
        <f>IF(ISBLANK(F389),IF(E389&gt;21.0,"Atrativo",IF(E389&lt;21.0,"Pouco atrativo","-")),IF(F389&lt;129.3,"Atrativo",IF(F389&gt;129.3,"Pouco atrativo","-")))</f>
      </c>
      <c r="H389" s="102">
        <f>IF(ISBLANK(F389),IF(E389=21,"$ 88.87","-"),IF(F389=129.3,"$ 88.87","-"))</f>
      </c>
      <c r="I389" s="103"/>
      <c r="J389" s="103"/>
      <c r="L389" s="104" t="s">
        <v>180</v>
      </c>
      <c r="M389" s="105" t="s">
        <v>181</v>
      </c>
      <c r="N389" s="106"/>
    </row>
    <row r="390">
      <c r="A390" s="101" t="s">
        <v>1408</v>
      </c>
      <c r="B390" s="100" t="s">
        <v>1407</v>
      </c>
      <c r="C390" s="100" t="s">
        <v>427</v>
      </c>
      <c r="D390" s="102" t="n">
        <v>79.62</v>
      </c>
      <c r="E390" s="103" t="n">
        <v>21.0</v>
      </c>
      <c r="F390" s="103" t="n">
        <v>62.9</v>
      </c>
      <c r="G390" s="0">
        <f>IF(ISBLANK(F390),IF(E390&gt;21.0,"Atrativo",IF(E390&lt;21.0,"Pouco atrativo","-")),IF(F390&lt;62.9,"Atrativo",IF(F390&gt;62.9,"Pouco atrativo","-")))</f>
      </c>
      <c r="H390" s="102">
        <f>IF(ISBLANK(F390),IF(E390=21,"$ 44.46","-"),IF(F390=62.9,"$ 44.46","-"))</f>
      </c>
      <c r="I390" s="103"/>
      <c r="J390" s="103"/>
      <c r="L390" s="104" t="s">
        <v>180</v>
      </c>
      <c r="M390" s="105" t="s">
        <v>181</v>
      </c>
      <c r="N390" s="106"/>
    </row>
    <row r="391">
      <c r="A391" s="101" t="s">
        <v>1411</v>
      </c>
      <c r="B391" s="100" t="s">
        <v>1410</v>
      </c>
      <c r="C391" s="100" t="s">
        <v>773</v>
      </c>
      <c r="D391" s="102" t="n">
        <v>145.9</v>
      </c>
      <c r="E391" s="103" t="n">
        <v>18.0</v>
      </c>
      <c r="F391" s="103" t="n">
        <v>119.63</v>
      </c>
      <c r="G391" s="0">
        <f>IF(ISBLANK(F391),IF(E391&gt;=18.0,"Atrativo","Pouco atrativo"),IF(F391&lt;=121.01,"Atrativo","Pouco atrativo"))</f>
      </c>
      <c r="H391" s="102">
        <f>IF(ISBLANK(F391),IF(E391=18,"$ 80.78","-"),IF(F391=119.63,"$ 80.78","-"))</f>
      </c>
      <c r="I391" s="103"/>
      <c r="J391" s="103"/>
      <c r="L391" s="104" t="s">
        <v>295</v>
      </c>
      <c r="M391" s="105" t="s">
        <v>181</v>
      </c>
      <c r="N391" s="106"/>
    </row>
    <row r="392">
      <c r="A392" s="101" t="s">
        <v>1414</v>
      </c>
      <c r="B392" s="100" t="s">
        <v>1413</v>
      </c>
      <c r="C392" s="100" t="s">
        <v>445</v>
      </c>
      <c r="D392" s="102" t="n">
        <v>374.56</v>
      </c>
      <c r="E392" s="103" t="n">
        <v>21.0</v>
      </c>
      <c r="F392" s="103" t="n">
        <v>295.9</v>
      </c>
      <c r="G392" s="0">
        <f>IF(ISBLANK(F392),IF(E392&gt;21.0,"Atrativo",IF(E392&lt;21.0,"Pouco atrativo","-")),IF(F392&lt;295.9,"Atrativo",IF(F392&gt;295.9,"Pouco atrativo","-")))</f>
      </c>
      <c r="H392" s="102">
        <f>IF(ISBLANK(F392),IF(E392=21,"$ 220.95","-"),IF(F392=295.9,"$ 220.95","-"))</f>
      </c>
      <c r="I392" s="103"/>
      <c r="J392" s="103"/>
      <c r="L392" s="104" t="s">
        <v>180</v>
      </c>
      <c r="M392" s="105" t="s">
        <v>181</v>
      </c>
      <c r="N392" s="106"/>
    </row>
    <row r="393">
      <c r="A393" s="101" t="s">
        <v>1417</v>
      </c>
      <c r="B393" s="100" t="s">
        <v>1416</v>
      </c>
      <c r="C393" s="100" t="s">
        <v>483</v>
      </c>
      <c r="D393" s="102" t="n">
        <v>43.67</v>
      </c>
      <c r="E393" s="103" t="n">
        <v>21.0</v>
      </c>
      <c r="F393" s="103" t="n">
        <v>34.5</v>
      </c>
      <c r="G393" s="0">
        <f>IF(ISBLANK(F393),IF(E393&gt;21.0,"Atrativo",IF(E393&lt;21.0,"Pouco atrativo","-")),IF(F393&lt;34.5,"Atrativo",IF(F393&gt;34.5,"Pouco atrativo","-")))</f>
      </c>
      <c r="H393" s="102">
        <f>IF(ISBLANK(F393),IF(E393=21,"$ 23.51","-"),IF(F393=34.5,"$ 23.51","-"))</f>
      </c>
      <c r="I393" s="103"/>
      <c r="J393" s="103"/>
      <c r="L393" s="104" t="s">
        <v>180</v>
      </c>
      <c r="M393" s="105" t="s">
        <v>181</v>
      </c>
      <c r="N393" s="106"/>
    </row>
    <row r="394">
      <c r="A394" s="101" t="s">
        <v>921</v>
      </c>
      <c r="B394" s="100" t="s">
        <v>1419</v>
      </c>
      <c r="C394" s="100" t="s">
        <v>267</v>
      </c>
      <c r="D394" s="102" t="n">
        <v>149.24</v>
      </c>
      <c r="E394" s="103" t="n">
        <v>42.0</v>
      </c>
      <c r="F394" s="103" t="n">
        <v>87.51</v>
      </c>
      <c r="G394" s="0">
        <f>IF(ISBLANK(F394),IF(E394&gt;42.0,"Atrativo",IF(E394&lt;42.0,"Pouco atrativo","-")),IF(F394&lt;87.51,"Atrativo",IF(F394&gt;87.51,"Pouco atrativo","-")))</f>
      </c>
      <c r="H394" s="102">
        <f>IF(ISBLANK(F394),IF(E394=42,"$ 60.28","-"),IF(F394=87.51,"$ 60.28","-"))</f>
      </c>
      <c r="I394" s="103"/>
      <c r="J394" s="103"/>
      <c r="L394" s="104" t="s">
        <v>180</v>
      </c>
      <c r="M394" s="105" t="s">
        <v>181</v>
      </c>
      <c r="N394" s="106"/>
    </row>
    <row r="395">
      <c r="A395" s="101" t="s">
        <v>1421</v>
      </c>
      <c r="B395" s="100" t="s">
        <v>1420</v>
      </c>
      <c r="C395" s="100" t="s">
        <v>886</v>
      </c>
      <c r="D395" s="102" t="n">
        <v>263.0</v>
      </c>
      <c r="E395" s="103" t="n">
        <v>5.0</v>
      </c>
      <c r="F395" s="103" t="n">
        <v>249.85</v>
      </c>
      <c r="G395" s="107" t="s">
        <v>294</v>
      </c>
      <c r="H395" s="102">
        <f>IF(ISBLANK(F395),IF(E395=5,"$ 198.92","-"),IF(F395=249.85,"$ 198.92","-"))</f>
      </c>
      <c r="I395" s="103"/>
      <c r="J395" s="103"/>
      <c r="L395" s="104" t="s">
        <v>295</v>
      </c>
      <c r="M395" s="105" t="s">
        <v>181</v>
      </c>
      <c r="N395" s="101" t="s">
        <v>296</v>
      </c>
    </row>
    <row r="396">
      <c r="A396" s="101" t="s">
        <v>1424</v>
      </c>
      <c r="B396" s="100" t="s">
        <v>1423</v>
      </c>
      <c r="C396" s="100" t="s">
        <v>252</v>
      </c>
      <c r="D396" s="102" t="n">
        <v>168.83</v>
      </c>
      <c r="E396" s="103" t="n">
        <v>21.0</v>
      </c>
      <c r="F396" s="103" t="n">
        <v>133.38</v>
      </c>
      <c r="G396" s="0">
        <f>IF(ISBLANK(F396),IF(E396&gt;21.0,"Atrativo",IF(E396&lt;21.0,"Pouco atrativo","-")),IF(F396&lt;133.38,"Atrativo",IF(F396&gt;133.38,"Pouco atrativo","-")))</f>
      </c>
      <c r="H396" s="102">
        <f>IF(ISBLANK(F396),IF(E396=21,"$ 100.92","-"),IF(F396=133.38,"$ 100.92","-"))</f>
      </c>
      <c r="I396" s="103"/>
      <c r="J396" s="103"/>
      <c r="L396" s="104" t="s">
        <v>180</v>
      </c>
      <c r="M396" s="105" t="s">
        <v>181</v>
      </c>
      <c r="N396" s="106"/>
    </row>
    <row r="397">
      <c r="A397" s="101" t="s">
        <v>1427</v>
      </c>
      <c r="B397" s="100" t="s">
        <v>1426</v>
      </c>
      <c r="C397" s="100" t="s">
        <v>509</v>
      </c>
      <c r="D397" s="102" t="n">
        <v>150.51</v>
      </c>
      <c r="E397" s="103" t="n">
        <v>22.0</v>
      </c>
      <c r="F397" s="103" t="n">
        <v>118.9</v>
      </c>
      <c r="G397" s="0">
        <f>IF(ISBLANK(F397),IF(E397&gt;22.0,"Atrativo",IF(E397&lt;22.0,"Pouco atrativo","-")),IF(F397&lt;118.9,"Atrativo",IF(F397&gt;118.9,"Pouco atrativo","-")))</f>
      </c>
      <c r="H397" s="102">
        <f>IF(ISBLANK(F397),IF(E397=22,"$ 84.34","-"),IF(F397=118.9,"$ 84.34","-"))</f>
      </c>
      <c r="I397" s="103"/>
      <c r="J397" s="103"/>
      <c r="L397" s="104" t="s">
        <v>180</v>
      </c>
      <c r="M397" s="105" t="s">
        <v>181</v>
      </c>
      <c r="N397" s="106"/>
    </row>
    <row r="398">
      <c r="A398" s="101" t="s">
        <v>570</v>
      </c>
      <c r="B398" s="100" t="s">
        <v>1429</v>
      </c>
      <c r="C398" s="100" t="s">
        <v>567</v>
      </c>
      <c r="D398" s="102" t="n">
        <v>237.85</v>
      </c>
      <c r="E398" s="103" t="n">
        <v>21.0</v>
      </c>
      <c r="F398" s="103" t="n">
        <v>187.9</v>
      </c>
      <c r="G398" s="0">
        <f>IF(ISBLANK(F398),IF(E398&gt;21.0,"Atrativo",IF(E398&lt;21.0,"Pouco atrativo","-")),IF(F398&lt;187.9,"Atrativo",IF(F398&gt;187.9,"Pouco atrativo","-")))</f>
      </c>
      <c r="H398" s="102">
        <f>IF(ISBLANK(F398),IF(E398=21,"$ 145.50","-"),IF(F398=187.9,"$ 145.50","-"))</f>
      </c>
      <c r="I398" s="103"/>
      <c r="J398" s="103"/>
      <c r="L398" s="104" t="s">
        <v>180</v>
      </c>
      <c r="M398" s="105" t="s">
        <v>181</v>
      </c>
      <c r="N398" s="106"/>
    </row>
    <row r="399">
      <c r="A399" s="101" t="s">
        <v>1432</v>
      </c>
      <c r="B399" s="100" t="s">
        <v>1431</v>
      </c>
      <c r="C399" s="100" t="s">
        <v>756</v>
      </c>
      <c r="D399" s="102" t="n">
        <v>139.12</v>
      </c>
      <c r="E399" s="103" t="n">
        <v>22.0</v>
      </c>
      <c r="F399" s="103" t="n">
        <v>109.9</v>
      </c>
      <c r="G399" s="0">
        <f>IF(ISBLANK(F399),IF(E399&gt;22.0,"Atrativo",IF(E399&lt;22.0,"Pouco atrativo","-")),IF(F399&lt;109.9,"Atrativo",IF(F399&gt;109.9,"Pouco atrativo","-")))</f>
      </c>
      <c r="H399" s="102">
        <f>IF(ISBLANK(F399),IF(E399=22,"$ 76.87","-"),IF(F399=109.9,"$ 76.87","-"))</f>
      </c>
      <c r="I399" s="103"/>
      <c r="J399" s="103"/>
      <c r="L399" s="104" t="s">
        <v>180</v>
      </c>
      <c r="M399" s="105" t="s">
        <v>181</v>
      </c>
      <c r="N399" s="106"/>
    </row>
    <row r="400">
      <c r="A400" s="101" t="s">
        <v>1435</v>
      </c>
      <c r="B400" s="100" t="s">
        <v>1434</v>
      </c>
      <c r="C400" s="100" t="s">
        <v>899</v>
      </c>
      <c r="D400" s="102" t="n">
        <v>99.87</v>
      </c>
      <c r="E400" s="103" t="n">
        <v>22.0</v>
      </c>
      <c r="F400" s="103" t="n">
        <v>78.5</v>
      </c>
      <c r="G400" s="0">
        <f>IF(ISBLANK(F400),IF(E400&gt;22.0,"Atrativo",IF(E400&lt;22.0,"Pouco atrativo","-")),IF(F400&lt;78.5,"Atrativo",IF(F400&gt;78.5,"Pouco atrativo","-")))</f>
      </c>
      <c r="H400" s="102">
        <f>IF(ISBLANK(F400),IF(E400=22,"$ 61.13","-"),IF(F400=78.5,"$ 61.13","-"))</f>
      </c>
      <c r="I400" s="103"/>
      <c r="J400" s="103"/>
      <c r="L400" s="104" t="s">
        <v>180</v>
      </c>
      <c r="M400" s="105" t="s">
        <v>181</v>
      </c>
      <c r="N400" s="106"/>
    </row>
    <row r="401">
      <c r="A401" s="101" t="s">
        <v>1438</v>
      </c>
      <c r="B401" s="100" t="s">
        <v>1437</v>
      </c>
      <c r="C401" s="100" t="s">
        <v>468</v>
      </c>
      <c r="D401" s="102" t="n">
        <v>396.9</v>
      </c>
      <c r="E401" s="103" t="n">
        <v>5.0</v>
      </c>
      <c r="F401" s="103" t="n">
        <v>377.05</v>
      </c>
      <c r="G401" s="107" t="s">
        <v>294</v>
      </c>
      <c r="H401" s="102">
        <f>IF(ISBLANK(F401),IF(E401=5,"$ 289.30","-"),IF(F401=377.05,"$ 289.30","-"))</f>
      </c>
      <c r="I401" s="103"/>
      <c r="J401" s="103"/>
      <c r="L401" s="104" t="s">
        <v>295</v>
      </c>
      <c r="M401" s="105" t="s">
        <v>181</v>
      </c>
      <c r="N401" s="101" t="s">
        <v>296</v>
      </c>
    </row>
    <row r="402">
      <c r="A402" s="101" t="s">
        <v>1441</v>
      </c>
      <c r="B402" s="100" t="s">
        <v>1440</v>
      </c>
      <c r="C402" s="100" t="s">
        <v>1296</v>
      </c>
      <c r="D402" s="102" t="n">
        <v>364.43</v>
      </c>
      <c r="E402" s="103" t="n">
        <v>21.0</v>
      </c>
      <c r="F402" s="103" t="n">
        <v>287.9</v>
      </c>
      <c r="G402" s="0">
        <f>IF(ISBLANK(F402),IF(E402&gt;21.0,"Atrativo",IF(E402&lt;21.0,"Pouco atrativo","-")),IF(F402&lt;287.9,"Atrativo",IF(F402&gt;287.9,"Pouco atrativo","-")))</f>
      </c>
      <c r="H402" s="102">
        <f>IF(ISBLANK(F402),IF(E402=21,"$ 230.80","-"),IF(F402=287.9,"$ 230.80","-"))</f>
      </c>
      <c r="I402" s="103"/>
      <c r="J402" s="103"/>
      <c r="L402" s="104" t="s">
        <v>180</v>
      </c>
      <c r="M402" s="105" t="s">
        <v>181</v>
      </c>
      <c r="N402" s="106"/>
    </row>
    <row r="403">
      <c r="A403" s="101" t="s">
        <v>1444</v>
      </c>
      <c r="B403" s="100" t="s">
        <v>1443</v>
      </c>
      <c r="C403" s="100" t="s">
        <v>1445</v>
      </c>
      <c r="D403" s="102" t="n">
        <v>312.54</v>
      </c>
      <c r="E403" s="103" t="n">
        <v>21.0</v>
      </c>
      <c r="F403" s="103" t="n">
        <v>246.91</v>
      </c>
      <c r="G403" s="0">
        <f>IF(ISBLANK(F403),IF(E403&gt;21.0,"Atrativo",IF(E403&lt;21.0,"Pouco atrativo","-")),IF(F403&lt;246.91,"Atrativo",IF(F403&gt;246.91,"Pouco atrativo","-")))</f>
      </c>
      <c r="H403" s="102">
        <f>IF(ISBLANK(F403),IF(E403=21,"$ 196.33","-"),IF(F403=246.91,"$ 196.33","-"))</f>
      </c>
      <c r="I403" s="103"/>
      <c r="J403" s="103"/>
      <c r="L403" s="104" t="s">
        <v>180</v>
      </c>
      <c r="M403" s="105" t="s">
        <v>181</v>
      </c>
      <c r="N403" s="106"/>
    </row>
    <row r="404">
      <c r="A404" s="101" t="s">
        <v>1448</v>
      </c>
      <c r="B404" s="100" t="s">
        <v>1447</v>
      </c>
      <c r="C404" s="100" t="s">
        <v>736</v>
      </c>
      <c r="D404" s="102" t="n">
        <v>72.03</v>
      </c>
      <c r="E404" s="103" t="n">
        <v>22.0</v>
      </c>
      <c r="F404" s="103" t="n">
        <v>56.9</v>
      </c>
      <c r="G404" s="0">
        <f>IF(ISBLANK(F404),IF(E404&gt;22.0,"Atrativo",IF(E404&lt;22.0,"Pouco atrativo","-")),IF(F404&lt;56.9,"Atrativo",IF(F404&gt;56.9,"Pouco atrativo","-")))</f>
      </c>
      <c r="H404" s="102">
        <f>IF(ISBLANK(F404),IF(E404=22,"$ 39.38","-"),IF(F404=56.9,"$ 39.38","-"))</f>
      </c>
      <c r="I404" s="103"/>
      <c r="J404" s="103"/>
      <c r="L404" s="104" t="s">
        <v>180</v>
      </c>
      <c r="M404" s="105" t="s">
        <v>181</v>
      </c>
      <c r="N404" s="106"/>
    </row>
    <row r="405">
      <c r="A405" s="101" t="s">
        <v>1451</v>
      </c>
      <c r="B405" s="100" t="s">
        <v>1450</v>
      </c>
      <c r="C405" s="100" t="s">
        <v>736</v>
      </c>
      <c r="D405" s="102" t="n">
        <v>106.2</v>
      </c>
      <c r="E405" s="103" t="n">
        <v>21.0</v>
      </c>
      <c r="F405" s="103" t="n">
        <v>83.9</v>
      </c>
      <c r="G405" s="0">
        <f>IF(ISBLANK(F405),IF(E405&gt;21.0,"Atrativo",IF(E405&lt;21.0,"Pouco atrativo","-")),IF(F405&lt;83.9,"Atrativo",IF(F405&gt;83.9,"Pouco atrativo","-")))</f>
      </c>
      <c r="H405" s="102">
        <f>IF(ISBLANK(F405),IF(E405=21,"$ 56.39","-"),IF(F405=83.9,"$ 56.39","-"))</f>
      </c>
      <c r="I405" s="103"/>
      <c r="J405" s="103"/>
      <c r="L405" s="104" t="s">
        <v>180</v>
      </c>
      <c r="M405" s="105" t="s">
        <v>181</v>
      </c>
      <c r="N405" s="106"/>
    </row>
    <row r="406">
      <c r="A406" s="101" t="s">
        <v>1454</v>
      </c>
      <c r="B406" s="100" t="s">
        <v>1453</v>
      </c>
      <c r="C406" s="100" t="s">
        <v>216</v>
      </c>
      <c r="D406" s="102" t="n">
        <v>116.33</v>
      </c>
      <c r="E406" s="103" t="n">
        <v>21.0</v>
      </c>
      <c r="F406" s="103" t="n">
        <v>92.9</v>
      </c>
      <c r="G406" s="0">
        <f>IF(ISBLANK(F406),IF(E406&gt;21.0,"Atrativo",IF(E406&lt;21.0,"Pouco atrativo","-")),IF(F406&lt;92.9,"Atrativo",IF(F406&gt;92.9,"Pouco atrativo","-")))</f>
      </c>
      <c r="H406" s="102">
        <f>IF(ISBLANK(F406),IF(E406=21,"$ 64.76","-"),IF(F406=92.9,"$ 64.76","-"))</f>
      </c>
      <c r="I406" s="103"/>
      <c r="J406" s="103"/>
      <c r="L406" s="104" t="s">
        <v>180</v>
      </c>
      <c r="M406" s="105" t="s">
        <v>181</v>
      </c>
      <c r="N406" s="106"/>
    </row>
    <row r="407">
      <c r="A407" s="101" t="s">
        <v>892</v>
      </c>
      <c r="B407" s="100" t="s">
        <v>1456</v>
      </c>
      <c r="C407" s="100" t="s">
        <v>890</v>
      </c>
      <c r="D407" s="102" t="n">
        <v>91.01</v>
      </c>
      <c r="E407" s="103" t="n">
        <v>6.0</v>
      </c>
      <c r="F407" s="103" t="n">
        <v>86.45</v>
      </c>
      <c r="G407" s="0">
        <f>IF(ISBLANK(F407),IF(E407&gt;6.0,"Atrativo",IF(E407&lt;6.0,"Pouco atrativo","-")),IF(F407&lt;86.45,"Atrativo",IF(F407&gt;86.45,"Pouco atrativo","-")))</f>
      </c>
      <c r="H407" s="102">
        <f>IF(ISBLANK(F407),IF(E407=6,"$ 62.83","-"),IF(F407=86.45,"$ 62.83","-"))</f>
      </c>
      <c r="I407" s="103"/>
      <c r="J407" s="103"/>
      <c r="L407" s="104" t="s">
        <v>180</v>
      </c>
      <c r="M407" s="105" t="s">
        <v>181</v>
      </c>
      <c r="N407" s="106"/>
    </row>
    <row r="408">
      <c r="A408" s="101" t="s">
        <v>1459</v>
      </c>
      <c r="B408" s="100" t="s">
        <v>1458</v>
      </c>
      <c r="C408" s="100" t="s">
        <v>416</v>
      </c>
      <c r="D408" s="102" t="n">
        <v>90.51</v>
      </c>
      <c r="E408" s="103" t="n">
        <v>22.0</v>
      </c>
      <c r="F408" s="103" t="n">
        <v>71.5</v>
      </c>
      <c r="G408" s="0">
        <f>IF(ISBLANK(F408),IF(E408&gt;22.0,"Atrativo",IF(E408&lt;22.0,"Pouco atrativo","-")),IF(F408&lt;71.5,"Atrativo",IF(F408&gt;71.5,"Pouco atrativo","-")))</f>
      </c>
      <c r="H408" s="102">
        <f>IF(ISBLANK(F408),IF(E408=22,"$ 54.97","-"),IF(F408=71.5,"$ 54.97","-"))</f>
      </c>
      <c r="I408" s="103"/>
      <c r="J408" s="103"/>
      <c r="L408" s="104" t="s">
        <v>180</v>
      </c>
      <c r="M408" s="105" t="s">
        <v>181</v>
      </c>
      <c r="N408" s="106"/>
    </row>
    <row r="409">
      <c r="A409" s="101" t="s">
        <v>202</v>
      </c>
      <c r="B409" s="100" t="s">
        <v>1461</v>
      </c>
      <c r="C409" s="100" t="s">
        <v>494</v>
      </c>
      <c r="D409" s="102" t="n">
        <v>302.41</v>
      </c>
      <c r="E409" s="103" t="n">
        <v>22.0</v>
      </c>
      <c r="F409" s="103" t="n">
        <v>238.9</v>
      </c>
      <c r="G409" s="0">
        <f>IF(ISBLANK(F409),IF(E409&gt;22.0,"Atrativo",IF(E409&lt;22.0,"Pouco atrativo","-")),IF(F409&lt;238.9,"Atrativo",IF(F409&gt;238.9,"Pouco atrativo","-")))</f>
      </c>
      <c r="H409" s="102">
        <f>IF(ISBLANK(F409),IF(E409=22,"$ 183.98","-"),IF(F409=238.9,"$ 183.98","-"))</f>
      </c>
      <c r="I409" s="103"/>
      <c r="J409" s="103"/>
      <c r="L409" s="104" t="s">
        <v>180</v>
      </c>
      <c r="M409" s="105" t="s">
        <v>181</v>
      </c>
      <c r="N409" s="106"/>
    </row>
    <row r="410">
      <c r="A410" s="101" t="s">
        <v>1464</v>
      </c>
      <c r="B410" s="100" t="s">
        <v>1463</v>
      </c>
      <c r="C410" s="100" t="s">
        <v>252</v>
      </c>
      <c r="D410" s="102" t="n">
        <v>127.72</v>
      </c>
      <c r="E410" s="103" t="n">
        <v>21.0</v>
      </c>
      <c r="F410" s="103" t="n">
        <v>100.9</v>
      </c>
      <c r="G410" s="0">
        <f>IF(ISBLANK(F410),IF(E410&gt;21.0,"Atrativo",IF(E410&lt;21.0,"Pouco atrativo","-")),IF(F410&lt;100.9,"Atrativo",IF(F410&gt;100.9,"Pouco atrativo","-")))</f>
      </c>
      <c r="H410" s="102">
        <f>IF(ISBLANK(F410),IF(E410=21,"$ 74.44","-"),IF(F410=100.9,"$ 74.44","-"))</f>
      </c>
      <c r="I410" s="103"/>
      <c r="J410" s="103"/>
      <c r="L410" s="104" t="s">
        <v>180</v>
      </c>
      <c r="M410" s="105" t="s">
        <v>181</v>
      </c>
      <c r="N410" s="106"/>
    </row>
    <row r="411">
      <c r="A411" s="101" t="s">
        <v>1466</v>
      </c>
      <c r="B411" s="100" t="s">
        <v>1465</v>
      </c>
      <c r="C411" s="100" t="s">
        <v>862</v>
      </c>
      <c r="D411" s="102" t="n">
        <v>50.0</v>
      </c>
      <c r="E411" s="103" t="n">
        <v>21.0</v>
      </c>
      <c r="F411" s="103" t="n">
        <v>39.5</v>
      </c>
      <c r="G411" s="0">
        <f>IF(ISBLANK(F411),IF(E411&gt;21.0,"Atrativo",IF(E411&lt;21.0,"Pouco atrativo","-")),IF(F411&lt;39.5,"Atrativo",IF(F411&gt;39.5,"Pouco atrativo","-")))</f>
      </c>
      <c r="H411" s="102">
        <f>IF(ISBLANK(F411),IF(E411=21,"$ 28.21","-"),IF(F411=39.5,"$ 28.21","-"))</f>
      </c>
      <c r="I411" s="103"/>
      <c r="J411" s="103"/>
      <c r="L411" s="104" t="s">
        <v>180</v>
      </c>
      <c r="M411" s="105" t="s">
        <v>181</v>
      </c>
      <c r="N411" s="106"/>
    </row>
    <row r="412">
      <c r="A412" s="101" t="s">
        <v>1469</v>
      </c>
      <c r="B412" s="100" t="s">
        <v>1468</v>
      </c>
      <c r="C412" s="100" t="s">
        <v>129</v>
      </c>
      <c r="D412" s="102" t="n">
        <v>120.13</v>
      </c>
      <c r="E412" s="103" t="n">
        <v>22.0</v>
      </c>
      <c r="F412" s="103" t="n">
        <v>94.9</v>
      </c>
      <c r="G412" s="0">
        <f>IF(ISBLANK(F412),IF(E412&gt;22.0,"Atrativo",IF(E412&lt;22.0,"Pouco atrativo","-")),IF(F412&lt;94.9,"Atrativo",IF(F412&gt;94.9,"Pouco atrativo","-")))</f>
      </c>
      <c r="H412" s="102">
        <f>IF(ISBLANK(F412),IF(E412=22,"$ 64.92","-"),IF(F412=94.9,"$ 64.92","-"))</f>
      </c>
      <c r="I412" s="103"/>
      <c r="J412" s="103"/>
      <c r="L412" s="104" t="s">
        <v>180</v>
      </c>
      <c r="M412" s="105" t="s">
        <v>181</v>
      </c>
      <c r="N412" s="106"/>
    </row>
    <row r="413">
      <c r="A413" s="101" t="s">
        <v>1472</v>
      </c>
      <c r="B413" s="100" t="s">
        <v>1471</v>
      </c>
      <c r="C413" s="100" t="s">
        <v>129</v>
      </c>
      <c r="D413" s="102" t="n">
        <v>234.9</v>
      </c>
      <c r="E413" s="103" t="n">
        <v>21.0</v>
      </c>
      <c r="F413" s="103" t="n">
        <v>185.57</v>
      </c>
      <c r="G413" s="0">
        <f>IF(ISBLANK(F413),IF(E413&gt;21.0,"Atrativo",IF(E413&lt;21.0,"Pouco atrativo","-")),IF(F413&lt;185.57,"Atrativo",IF(F413&gt;185.57,"Pouco atrativo","-")))</f>
      </c>
      <c r="H413" s="102">
        <f>IF(ISBLANK(F413),IF(E413=21,"$ 133.27","-"),IF(F413=185.57,"$ 133.27","-"))</f>
      </c>
      <c r="I413" s="103"/>
      <c r="J413" s="103"/>
      <c r="L413" s="104" t="s">
        <v>180</v>
      </c>
      <c r="M413" s="105" t="s">
        <v>181</v>
      </c>
      <c r="N413" s="106"/>
    </row>
    <row r="414">
      <c r="A414" s="101" t="s">
        <v>1475</v>
      </c>
      <c r="B414" s="100" t="s">
        <v>1474</v>
      </c>
      <c r="C414" s="100" t="s">
        <v>129</v>
      </c>
      <c r="D414" s="102" t="n">
        <v>119.62</v>
      </c>
      <c r="E414" s="103" t="n">
        <v>21.0</v>
      </c>
      <c r="F414" s="103" t="n">
        <v>94.5</v>
      </c>
      <c r="G414" s="0">
        <f>IF(ISBLANK(F414),IF(E414&gt;21.0,"Atrativo",IF(E414&lt;21.0,"Pouco atrativo","-")),IF(F414&lt;94.5,"Atrativo",IF(F414&gt;94.5,"Pouco atrativo","-")))</f>
      </c>
      <c r="H414" s="102">
        <f>IF(ISBLANK(F414),IF(E414=21,"$ 64.29","-"),IF(F414=94.5,"$ 64.29","-"))</f>
      </c>
      <c r="I414" s="103"/>
      <c r="J414" s="103"/>
      <c r="L414" s="104" t="s">
        <v>180</v>
      </c>
      <c r="M414" s="105" t="s">
        <v>181</v>
      </c>
      <c r="N414" s="106"/>
    </row>
    <row r="415">
      <c r="A415" s="101" t="s">
        <v>1478</v>
      </c>
      <c r="B415" s="100" t="s">
        <v>1477</v>
      </c>
      <c r="C415" s="100" t="s">
        <v>835</v>
      </c>
      <c r="D415" s="102" t="n">
        <v>41.65</v>
      </c>
      <c r="E415" s="103" t="n">
        <v>22.0</v>
      </c>
      <c r="F415" s="103" t="n">
        <v>32.9</v>
      </c>
      <c r="G415" s="0">
        <f>IF(ISBLANK(F415),IF(E415&gt;22.0,"Atrativo",IF(E415&lt;22.0,"Pouco atrativo","-")),IF(F415&lt;32.9,"Atrativo",IF(F415&gt;32.9,"Pouco atrativo","-")))</f>
      </c>
      <c r="H415" s="102">
        <f>IF(ISBLANK(F415),IF(E415=22,"$ 22.40","-"),IF(F415=32.9,"$ 22.40","-"))</f>
      </c>
      <c r="I415" s="103"/>
      <c r="J415" s="103"/>
      <c r="L415" s="104" t="s">
        <v>180</v>
      </c>
      <c r="M415" s="105" t="s">
        <v>181</v>
      </c>
      <c r="N415" s="106"/>
    </row>
    <row r="416">
      <c r="A416" s="101" t="s">
        <v>1481</v>
      </c>
      <c r="B416" s="100" t="s">
        <v>1480</v>
      </c>
      <c r="C416" s="100" t="s">
        <v>506</v>
      </c>
      <c r="D416" s="102" t="n">
        <v>75.95</v>
      </c>
      <c r="E416" s="103" t="n">
        <v>21.0</v>
      </c>
      <c r="F416" s="103" t="n">
        <v>60.0</v>
      </c>
      <c r="G416" s="0">
        <f>IF(ISBLANK(F416),IF(E416&gt;21.0,"Atrativo",IF(E416&lt;21.0,"Pouco atrativo","-")),IF(F416&lt;60.0,"Atrativo",IF(F416&gt;60.0,"Pouco atrativo","-")))</f>
      </c>
      <c r="H416" s="102">
        <f>IF(ISBLANK(F416),IF(E416=21,"$ 41.85","-"),IF(F416=60,"$ 41.85","-"))</f>
      </c>
      <c r="I416" s="103"/>
      <c r="J416" s="103"/>
      <c r="L416" s="104" t="s">
        <v>180</v>
      </c>
      <c r="M416" s="105" t="s">
        <v>181</v>
      </c>
      <c r="N416" s="106"/>
    </row>
    <row r="417">
      <c r="A417" s="101" t="s">
        <v>1484</v>
      </c>
      <c r="B417" s="100" t="s">
        <v>1483</v>
      </c>
      <c r="C417" s="100" t="s">
        <v>487</v>
      </c>
      <c r="D417" s="102" t="n">
        <v>303.67</v>
      </c>
      <c r="E417" s="103" t="n">
        <v>21.0</v>
      </c>
      <c r="F417" s="103" t="n">
        <v>239.9</v>
      </c>
      <c r="G417" s="0">
        <f>IF(ISBLANK(F417),IF(E417&gt;21.0,"Atrativo",IF(E417&lt;21.0,"Pouco atrativo","-")),IF(F417&lt;239.9,"Atrativo",IF(F417&gt;239.9,"Pouco atrativo","-")))</f>
      </c>
      <c r="H417" s="102">
        <f>IF(ISBLANK(F417),IF(E417=21,"$ 180.57","-"),IF(F417=239.9,"$ 180.57","-"))</f>
      </c>
      <c r="I417" s="103"/>
      <c r="J417" s="103"/>
      <c r="L417" s="104" t="s">
        <v>180</v>
      </c>
      <c r="M417" s="105" t="s">
        <v>181</v>
      </c>
      <c r="N417" s="106"/>
    </row>
    <row r="418">
      <c r="A418" s="101" t="s">
        <v>1487</v>
      </c>
      <c r="B418" s="100" t="s">
        <v>1486</v>
      </c>
      <c r="C418" s="100" t="s">
        <v>1011</v>
      </c>
      <c r="D418" s="102" t="n">
        <v>41.65</v>
      </c>
      <c r="E418" s="103" t="n">
        <v>5.0</v>
      </c>
      <c r="F418" s="103" t="n">
        <v>39.56</v>
      </c>
      <c r="G418" s="107" t="s">
        <v>294</v>
      </c>
      <c r="H418" s="102">
        <f>IF(ISBLANK(F418),IF(E418=5,"$ 28.26","-"),IF(F418=39.56,"$ 28.26","-"))</f>
      </c>
      <c r="I418" s="103"/>
      <c r="J418" s="103"/>
      <c r="L418" s="104" t="s">
        <v>295</v>
      </c>
      <c r="M418" s="105" t="s">
        <v>181</v>
      </c>
      <c r="N418" s="101" t="s">
        <v>296</v>
      </c>
    </row>
    <row r="419">
      <c r="A419" s="101" t="s">
        <v>1489</v>
      </c>
      <c r="B419" s="100" t="s">
        <v>1488</v>
      </c>
      <c r="C419" s="100" t="s">
        <v>420</v>
      </c>
      <c r="D419" s="102" t="n">
        <v>60.0</v>
      </c>
      <c r="E419" s="103" t="n">
        <v>5.0</v>
      </c>
      <c r="F419" s="103" t="n">
        <v>57.0</v>
      </c>
      <c r="G419" s="107" t="s">
        <v>294</v>
      </c>
      <c r="H419" s="102">
        <f>IF(ISBLANK(F419),IF(E419=5,"$ 42.01","-"),IF(F419=57,"$ 42.01","-"))</f>
      </c>
      <c r="I419" s="103"/>
      <c r="J419" s="103"/>
      <c r="L419" s="104" t="s">
        <v>295</v>
      </c>
      <c r="M419" s="105" t="s">
        <v>181</v>
      </c>
      <c r="N419" s="101" t="s">
        <v>296</v>
      </c>
    </row>
    <row r="420">
      <c r="A420" s="101" t="s">
        <v>1492</v>
      </c>
      <c r="B420" s="100" t="s">
        <v>1491</v>
      </c>
      <c r="C420" s="100" t="s">
        <v>129</v>
      </c>
      <c r="D420" s="102" t="n">
        <v>127.72</v>
      </c>
      <c r="E420" s="103" t="n">
        <v>21.0</v>
      </c>
      <c r="F420" s="103" t="n">
        <v>100.9</v>
      </c>
      <c r="G420" s="0">
        <f>IF(ISBLANK(F420),IF(E420&gt;21.0,"Atrativo",IF(E420&lt;21.0,"Pouco atrativo","-")),IF(F420&lt;100.9,"Atrativo",IF(F420&gt;100.9,"Pouco atrativo","-")))</f>
      </c>
      <c r="H420" s="102">
        <f>IF(ISBLANK(F420),IF(E420=21,"$ 73.94","-"),IF(F420=100.9,"$ 73.94","-"))</f>
      </c>
      <c r="I420" s="103"/>
      <c r="J420" s="103"/>
      <c r="L420" s="104" t="s">
        <v>180</v>
      </c>
      <c r="M420" s="105" t="s">
        <v>181</v>
      </c>
      <c r="N420" s="106"/>
    </row>
    <row r="421">
      <c r="A421" s="101" t="s">
        <v>1495</v>
      </c>
      <c r="B421" s="100" t="s">
        <v>1494</v>
      </c>
      <c r="C421" s="100" t="s">
        <v>129</v>
      </c>
      <c r="D421" s="102" t="n">
        <v>144.18</v>
      </c>
      <c r="E421" s="103" t="n">
        <v>22.0</v>
      </c>
      <c r="F421" s="103" t="n">
        <v>113.9</v>
      </c>
      <c r="G421" s="0">
        <f>IF(ISBLANK(F421),IF(E421&gt;22.0,"Atrativo",IF(E421&lt;22.0,"Pouco atrativo","-")),IF(F421&lt;113.9,"Atrativo",IF(F421&gt;113.9,"Pouco atrativo","-")))</f>
      </c>
      <c r="H421" s="102">
        <f>IF(ISBLANK(F421),IF(E421=22,"$ 85.31","-"),IF(F421=113.9,"$ 85.31","-"))</f>
      </c>
      <c r="I421" s="103"/>
      <c r="J421" s="103"/>
      <c r="L421" s="104" t="s">
        <v>180</v>
      </c>
      <c r="M421" s="105" t="s">
        <v>181</v>
      </c>
      <c r="N421" s="106"/>
    </row>
    <row r="422">
      <c r="A422" s="101" t="s">
        <v>1498</v>
      </c>
      <c r="B422" s="100" t="s">
        <v>1497</v>
      </c>
      <c r="C422" s="100" t="s">
        <v>129</v>
      </c>
      <c r="D422" s="102" t="n">
        <v>35.82</v>
      </c>
      <c r="E422" s="103" t="n">
        <v>21.0</v>
      </c>
      <c r="F422" s="103" t="n">
        <v>28.3</v>
      </c>
      <c r="G422" s="0">
        <f>IF(ISBLANK(F422),IF(E422&gt;21.0,"Atrativo",IF(E422&lt;21.0,"Pouco atrativo","-")),IF(F422&lt;28.3,"Atrativo",IF(F422&gt;28.3,"Pouco atrativo","-")))</f>
      </c>
      <c r="H422" s="102">
        <f>IF(ISBLANK(F422),IF(E422=21,"$ 18.25","-"),IF(F422=28.3,"$ 18.25","-"))</f>
      </c>
      <c r="I422" s="103"/>
      <c r="J422" s="103"/>
      <c r="L422" s="104" t="s">
        <v>180</v>
      </c>
      <c r="M422" s="105" t="s">
        <v>181</v>
      </c>
      <c r="N422" s="106"/>
    </row>
    <row r="423">
      <c r="A423" s="101" t="s">
        <v>1501</v>
      </c>
      <c r="B423" s="100" t="s">
        <v>1500</v>
      </c>
      <c r="C423" s="100" t="s">
        <v>1178</v>
      </c>
      <c r="D423" s="102" t="n">
        <v>170.76</v>
      </c>
      <c r="E423" s="103" t="n">
        <v>25.0</v>
      </c>
      <c r="F423" s="103" t="n">
        <v>128.9</v>
      </c>
      <c r="G423" s="0">
        <f>IF(ISBLANK(F423),IF(E423&gt;25.0,"Atrativo",IF(E423&lt;25.0,"Pouco atrativo","-")),IF(F423&lt;128.9,"Atrativo",IF(F423&gt;128.9,"Pouco atrativo","-")))</f>
      </c>
      <c r="H423" s="102">
        <f>IF(ISBLANK(F423),IF(E423=25,"$ 90.54","-"),IF(F423=128.9,"$ 90.54","-"))</f>
      </c>
      <c r="I423" s="103"/>
      <c r="J423" s="103"/>
      <c r="L423" s="104" t="s">
        <v>180</v>
      </c>
      <c r="M423" s="105" t="s">
        <v>181</v>
      </c>
      <c r="N423" s="106"/>
    </row>
    <row r="424">
      <c r="A424" s="101" t="s">
        <v>772</v>
      </c>
      <c r="B424" s="100" t="s">
        <v>1503</v>
      </c>
      <c r="C424" s="100" t="s">
        <v>773</v>
      </c>
      <c r="D424" s="102" t="n">
        <v>197.34</v>
      </c>
      <c r="E424" s="103" t="n">
        <v>21.0</v>
      </c>
      <c r="F424" s="103" t="n">
        <v>155.9</v>
      </c>
      <c r="G424" s="0">
        <f>IF(ISBLANK(F424),IF(E424&gt;21.0,"Atrativo",IF(E424&lt;21.0,"Pouco atrativo","-")),IF(F424&lt;155.9,"Atrativo",IF(F424&gt;155.9,"Pouco atrativo","-")))</f>
      </c>
      <c r="H424" s="102">
        <f>IF(ISBLANK(F424),IF(E424=21,"$ 109.39","-"),IF(F424=155.9,"$ 109.39","-"))</f>
      </c>
      <c r="I424" s="103"/>
      <c r="J424" s="103"/>
      <c r="L424" s="104" t="s">
        <v>180</v>
      </c>
      <c r="M424" s="105" t="s">
        <v>181</v>
      </c>
      <c r="N424" s="106"/>
    </row>
    <row r="425">
      <c r="A425" s="101" t="s">
        <v>1506</v>
      </c>
      <c r="B425" s="100" t="s">
        <v>1505</v>
      </c>
      <c r="C425" s="100" t="s">
        <v>773</v>
      </c>
      <c r="D425" s="102" t="n">
        <v>179.74</v>
      </c>
      <c r="E425" s="103" t="n">
        <v>22.0</v>
      </c>
      <c r="F425" s="103" t="n">
        <v>141.99</v>
      </c>
      <c r="G425" s="0">
        <f>IF(ISBLANK(F425),IF(E425&gt;22.0,"Atrativo",IF(E425&lt;22.0,"Pouco atrativo","-")),IF(F425&lt;141.99,"Atrativo",IF(F425&gt;141.99,"Pouco atrativo","-")))</f>
      </c>
      <c r="H425" s="102">
        <f>IF(ISBLANK(F425),IF(E425=22,"$ 97.58","-"),IF(F425=141.99,"$ 97.58","-"))</f>
      </c>
      <c r="I425" s="103"/>
      <c r="J425" s="103"/>
      <c r="L425" s="104" t="s">
        <v>180</v>
      </c>
      <c r="M425" s="105" t="s">
        <v>181</v>
      </c>
      <c r="N425" s="106"/>
    </row>
    <row r="426">
      <c r="A426" s="101" t="s">
        <v>1509</v>
      </c>
      <c r="B426" s="100" t="s">
        <v>1508</v>
      </c>
      <c r="C426" s="100" t="s">
        <v>498</v>
      </c>
      <c r="D426" s="102" t="n">
        <v>298.61</v>
      </c>
      <c r="E426" s="103" t="n">
        <v>21.0</v>
      </c>
      <c r="F426" s="103" t="n">
        <v>235.9</v>
      </c>
      <c r="G426" s="0">
        <f>IF(ISBLANK(F426),IF(E426&gt;21.0,"Atrativo",IF(E426&lt;21.0,"Pouco atrativo","-")),IF(F426&lt;235.9,"Atrativo",IF(F426&gt;235.9,"Pouco atrativo","-")))</f>
      </c>
      <c r="H426" s="102">
        <f>IF(ISBLANK(F426),IF(E426=21,"$ 185.04","-"),IF(F426=235.9,"$ 185.04","-"))</f>
      </c>
      <c r="I426" s="103"/>
      <c r="J426" s="103"/>
      <c r="L426" s="104" t="s">
        <v>180</v>
      </c>
      <c r="M426" s="105" t="s">
        <v>181</v>
      </c>
      <c r="N426" s="106"/>
    </row>
    <row r="427">
      <c r="A427" s="101" t="s">
        <v>1512</v>
      </c>
      <c r="B427" s="100" t="s">
        <v>1511</v>
      </c>
      <c r="C427" s="100" t="s">
        <v>129</v>
      </c>
      <c r="D427" s="102" t="n">
        <v>59.13</v>
      </c>
      <c r="E427" s="103" t="n">
        <v>22.0</v>
      </c>
      <c r="F427" s="103" t="n">
        <v>46.71</v>
      </c>
      <c r="G427" s="0">
        <f>IF(ISBLANK(F427),IF(E427&gt;22.0,"Atrativo",IF(E427&lt;22.0,"Pouco atrativo","-")),IF(F427&lt;46.71,"Atrativo",IF(F427&gt;46.71,"Pouco atrativo","-")))</f>
      </c>
      <c r="H427" s="102">
        <f>IF(ISBLANK(F427),IF(E427=22,"$ 34.09","-"),IF(F427=46.71,"$ 34.09","-"))</f>
      </c>
      <c r="I427" s="103"/>
      <c r="J427" s="103"/>
      <c r="L427" s="104" t="s">
        <v>180</v>
      </c>
      <c r="M427" s="105" t="s">
        <v>181</v>
      </c>
      <c r="N427" s="106"/>
    </row>
    <row r="428">
      <c r="A428" s="101" t="s">
        <v>634</v>
      </c>
      <c r="B428" s="100" t="s">
        <v>1514</v>
      </c>
      <c r="C428" s="100" t="s">
        <v>635</v>
      </c>
      <c r="D428" s="102" t="n">
        <v>125.19</v>
      </c>
      <c r="E428" s="103" t="n">
        <v>21.0</v>
      </c>
      <c r="F428" s="103" t="n">
        <v>98.9</v>
      </c>
      <c r="G428" s="0">
        <f>IF(ISBLANK(F428),IF(E428&gt;21.0,"Atrativo",IF(E428&lt;21.0,"Pouco atrativo","-")),IF(F428&lt;98.9,"Atrativo",IF(F428&gt;98.9,"Pouco atrativo","-")))</f>
      </c>
      <c r="H428" s="102">
        <f>IF(ISBLANK(F428),IF(E428=21,"$ 69.74","-"),IF(F428=98.9,"$ 69.74","-"))</f>
      </c>
      <c r="I428" s="103"/>
      <c r="J428" s="103"/>
      <c r="L428" s="104" t="s">
        <v>180</v>
      </c>
      <c r="M428" s="105" t="s">
        <v>181</v>
      </c>
      <c r="N428" s="106"/>
    </row>
    <row r="429">
      <c r="A429" s="101" t="s">
        <v>1517</v>
      </c>
      <c r="B429" s="100" t="s">
        <v>1516</v>
      </c>
      <c r="C429" s="100" t="s">
        <v>862</v>
      </c>
      <c r="D429" s="102" t="n">
        <v>33.9</v>
      </c>
      <c r="E429" s="103" t="n">
        <v>5.0</v>
      </c>
      <c r="F429" s="103" t="n">
        <v>32.2</v>
      </c>
      <c r="G429" s="107" t="s">
        <v>294</v>
      </c>
      <c r="H429" s="102" t="s">
        <v>911</v>
      </c>
      <c r="I429" s="103"/>
      <c r="J429" s="103"/>
      <c r="L429" s="104" t="s">
        <v>295</v>
      </c>
      <c r="M429" s="105" t="s">
        <v>181</v>
      </c>
      <c r="N429" s="101" t="s">
        <v>296</v>
      </c>
    </row>
    <row r="430">
      <c r="A430" s="101" t="s">
        <v>1519</v>
      </c>
      <c r="B430" s="100" t="s">
        <v>1518</v>
      </c>
      <c r="C430" s="100" t="s">
        <v>1520</v>
      </c>
      <c r="D430" s="102" t="n">
        <v>173.29</v>
      </c>
      <c r="E430" s="103" t="n">
        <v>21.0</v>
      </c>
      <c r="F430" s="103" t="n">
        <v>136.9</v>
      </c>
      <c r="G430" s="0">
        <f>IF(ISBLANK(F430),IF(E430&gt;21.0,"Atrativo",IF(E430&lt;21.0,"Pouco atrativo","-")),IF(F430&lt;136.9,"Atrativo",IF(F430&gt;136.9,"Pouco atrativo","-")))</f>
      </c>
      <c r="H430" s="102">
        <f>IF(ISBLANK(F430),IF(E430=21,"$ 94.78","-"),IF(F430=136.9,"$ 94.78","-"))</f>
      </c>
      <c r="I430" s="103"/>
      <c r="J430" s="103"/>
      <c r="L430" s="104" t="s">
        <v>180</v>
      </c>
      <c r="M430" s="105" t="s">
        <v>181</v>
      </c>
      <c r="N430" s="106"/>
    </row>
    <row r="431">
      <c r="A431" s="101" t="s">
        <v>1523</v>
      </c>
      <c r="B431" s="100" t="s">
        <v>1522</v>
      </c>
      <c r="C431" s="100" t="s">
        <v>1524</v>
      </c>
      <c r="D431" s="102" t="n">
        <v>754.31</v>
      </c>
      <c r="E431" s="103" t="n">
        <v>21.0</v>
      </c>
      <c r="F431" s="103" t="n">
        <v>595.9</v>
      </c>
      <c r="G431" s="0">
        <f>IF(ISBLANK(F431),IF(E431&gt;21.0,"Atrativo",IF(E431&lt;21.0,"Pouco atrativo","-")),IF(F431&lt;595.9,"Atrativo",IF(F431&gt;595.9,"Pouco atrativo","-")))</f>
      </c>
      <c r="H431" s="102">
        <f>IF(ISBLANK(F431),IF(E431=21,"$ 454.14","-"),IF(F431=595.9,"$ 454.14","-"))</f>
      </c>
      <c r="I431" s="103"/>
      <c r="J431" s="103"/>
      <c r="L431" s="104" t="s">
        <v>180</v>
      </c>
      <c r="M431" s="105" t="s">
        <v>181</v>
      </c>
      <c r="N431" s="106"/>
    </row>
    <row r="432">
      <c r="A432" s="101" t="s">
        <v>1527</v>
      </c>
      <c r="B432" s="100" t="s">
        <v>1526</v>
      </c>
      <c r="C432" s="100" t="s">
        <v>1528</v>
      </c>
      <c r="D432" s="102" t="n">
        <v>785.96</v>
      </c>
      <c r="E432" s="103" t="n">
        <v>5.0</v>
      </c>
      <c r="F432" s="103" t="n">
        <v>746.66</v>
      </c>
      <c r="G432" s="107" t="s">
        <v>294</v>
      </c>
      <c r="H432" s="102">
        <f>IF(ISBLANK(F432),IF(E432=5,"$ 593.48","-"),IF(F432=746.66,"$ 593.48","-"))</f>
      </c>
      <c r="I432" s="103"/>
      <c r="J432" s="103"/>
      <c r="L432" s="104" t="s">
        <v>295</v>
      </c>
      <c r="M432" s="105" t="s">
        <v>181</v>
      </c>
      <c r="N432" s="101" t="s">
        <v>296</v>
      </c>
    </row>
    <row r="433">
      <c r="A433" s="101" t="s">
        <v>1531</v>
      </c>
      <c r="B433" s="100" t="s">
        <v>1530</v>
      </c>
      <c r="C433" s="100" t="s">
        <v>1528</v>
      </c>
      <c r="D433" s="102" t="n">
        <v>785.96</v>
      </c>
      <c r="E433" s="103" t="n">
        <v>5.0</v>
      </c>
      <c r="F433" s="103" t="n">
        <v>746.66</v>
      </c>
      <c r="G433" s="107" t="s">
        <v>294</v>
      </c>
      <c r="H433" s="102">
        <f>IF(ISBLANK(F433),IF(E433=5,"$ 593.48","-"),IF(F433=746.66,"$ 593.48","-"))</f>
      </c>
      <c r="I433" s="103"/>
      <c r="J433" s="103"/>
      <c r="L433" s="104" t="s">
        <v>295</v>
      </c>
      <c r="M433" s="105" t="s">
        <v>181</v>
      </c>
      <c r="N433" s="101" t="s">
        <v>296</v>
      </c>
    </row>
    <row r="434">
      <c r="A434" s="101" t="s">
        <v>1533</v>
      </c>
      <c r="B434" s="100" t="s">
        <v>1532</v>
      </c>
      <c r="C434" s="100" t="s">
        <v>1534</v>
      </c>
      <c r="D434" s="102" t="n">
        <v>1520.14</v>
      </c>
      <c r="E434" s="103" t="n">
        <v>21.0</v>
      </c>
      <c r="F434" s="103" t="n">
        <v>1200.91</v>
      </c>
      <c r="G434" s="0">
        <f>IF(ISBLANK(F434),IF(E434&gt;21.0,"Atrativo",IF(E434&lt;21.0,"Pouco atrativo","-")),IF(F434&lt;1200.91,"Atrativo",IF(F434&gt;1200.91,"Pouco atrativo","-")))</f>
      </c>
      <c r="H434" s="102">
        <f>IF(ISBLANK(F434),IF(E434=21,"$ 940.11","-"),IF(F434=1200.91,"$ 940.11","-"))</f>
      </c>
      <c r="I434" s="103"/>
      <c r="J434" s="103"/>
      <c r="L434" s="104" t="s">
        <v>180</v>
      </c>
      <c r="M434" s="105" t="s">
        <v>181</v>
      </c>
      <c r="N434" s="106"/>
    </row>
    <row r="435">
      <c r="A435" s="101" t="s">
        <v>1537</v>
      </c>
      <c r="B435" s="100" t="s">
        <v>1536</v>
      </c>
      <c r="C435" s="100" t="s">
        <v>981</v>
      </c>
      <c r="D435" s="102" t="n">
        <v>273.29</v>
      </c>
      <c r="E435" s="103" t="n">
        <v>21.0</v>
      </c>
      <c r="F435" s="103" t="n">
        <v>215.9</v>
      </c>
      <c r="G435" s="0">
        <f>IF(ISBLANK(F435),IF(E435&gt;21.0,"Atrativo",IF(E435&lt;21.0,"Pouco atrativo","-")),IF(F435&lt;215.9,"Atrativo",IF(F435&gt;215.9,"Pouco atrativo","-")))</f>
      </c>
      <c r="H435" s="102">
        <f>IF(ISBLANK(F435),IF(E435=21,"$ 165.34","-"),IF(F435=215.9,"$ 165.34","-"))</f>
      </c>
      <c r="I435" s="103"/>
      <c r="J435" s="103"/>
      <c r="L435" s="104" t="s">
        <v>180</v>
      </c>
      <c r="M435" s="105" t="s">
        <v>181</v>
      </c>
      <c r="N435" s="106"/>
    </row>
    <row r="436">
      <c r="A436" s="101" t="s">
        <v>1540</v>
      </c>
      <c r="B436" s="100" t="s">
        <v>1539</v>
      </c>
      <c r="C436" s="100" t="s">
        <v>1520</v>
      </c>
      <c r="D436" s="102" t="n">
        <v>236.59</v>
      </c>
      <c r="E436" s="103" t="n">
        <v>21.0</v>
      </c>
      <c r="F436" s="103" t="n">
        <v>186.99</v>
      </c>
      <c r="G436" s="0">
        <f>IF(ISBLANK(F436),IF(E436&gt;21.0,"Atrativo",IF(E436&lt;21.0,"Pouco atrativo","-")),IF(F436&lt;186.99,"Atrativo",IF(F436&gt;186.99,"Pouco atrativo","-")))</f>
      </c>
      <c r="H436" s="102">
        <f>IF(ISBLANK(F436),IF(E436=21,"$ 134.45","-"),IF(F436=186.99,"$ 134.45","-"))</f>
      </c>
      <c r="I436" s="103"/>
      <c r="J436" s="103"/>
      <c r="L436" s="104" t="s">
        <v>180</v>
      </c>
      <c r="M436" s="105" t="s">
        <v>181</v>
      </c>
      <c r="N436" s="106"/>
    </row>
    <row r="437">
      <c r="A437" s="101" t="s">
        <v>1543</v>
      </c>
      <c r="B437" s="100" t="s">
        <v>1542</v>
      </c>
      <c r="C437" s="100" t="s">
        <v>1544</v>
      </c>
      <c r="D437" s="102" t="n">
        <v>465.7</v>
      </c>
      <c r="E437" s="103" t="n">
        <v>21.0</v>
      </c>
      <c r="F437" s="103" t="n">
        <v>367.9</v>
      </c>
      <c r="G437" s="0">
        <f>IF(ISBLANK(F437),IF(E437&gt;21.0,"Atrativo",IF(E437&lt;21.0,"Pouco atrativo","-")),IF(F437&lt;367.9,"Atrativo",IF(F437&gt;367.9,"Pouco atrativo","-")))</f>
      </c>
      <c r="H437" s="102">
        <f>IF(ISBLANK(F437),IF(E437=21,"$ 299.10","-"),IF(F437=367.9,"$ 299.10","-"))</f>
      </c>
      <c r="I437" s="103"/>
      <c r="J437" s="103"/>
      <c r="L437" s="104" t="s">
        <v>180</v>
      </c>
      <c r="M437" s="105" t="s">
        <v>181</v>
      </c>
      <c r="N437" s="106"/>
    </row>
    <row r="438">
      <c r="A438" s="101" t="s">
        <v>1547</v>
      </c>
      <c r="B438" s="100" t="s">
        <v>1546</v>
      </c>
      <c r="C438" s="100" t="s">
        <v>1187</v>
      </c>
      <c r="D438" s="102" t="n">
        <v>92.28</v>
      </c>
      <c r="E438" s="103" t="n">
        <v>22.0</v>
      </c>
      <c r="F438" s="103" t="n">
        <v>72.9</v>
      </c>
      <c r="G438" s="0">
        <f>IF(ISBLANK(F438),IF(E438&gt;22.0,"Atrativo",IF(E438&lt;22.0,"Pouco atrativo","-")),IF(F438&lt;72.9,"Atrativo",IF(F438&gt;72.9,"Pouco atrativo","-")))</f>
      </c>
      <c r="H438" s="102">
        <f>IF(ISBLANK(F438),IF(E438=22,"$ 56.40","-"),IF(F438=72.9,"$ 56.40","-"))</f>
      </c>
      <c r="I438" s="103"/>
      <c r="J438" s="103"/>
      <c r="L438" s="104" t="s">
        <v>180</v>
      </c>
      <c r="M438" s="105" t="s">
        <v>181</v>
      </c>
      <c r="N438" s="106"/>
    </row>
    <row r="439">
      <c r="A439" s="101" t="s">
        <v>1549</v>
      </c>
      <c r="B439" s="100" t="s">
        <v>1548</v>
      </c>
      <c r="C439" s="100" t="s">
        <v>1327</v>
      </c>
      <c r="D439" s="102" t="n">
        <v>94.81</v>
      </c>
      <c r="E439" s="103" t="n">
        <v>21.0</v>
      </c>
      <c r="F439" s="103" t="n">
        <v>74.9</v>
      </c>
      <c r="G439" s="0">
        <f>IF(ISBLANK(F439),IF(E439&gt;21.0,"Atrativo",IF(E439&lt;21.0,"Pouco atrativo","-")),IF(F439&lt;74.9,"Atrativo",IF(F439&gt;74.9,"Pouco atrativo","-")))</f>
      </c>
      <c r="H439" s="102">
        <f>IF(ISBLANK(F439),IF(E439=21,"$ 57.31","-"),IF(F439=74.9,"$ 57.31","-"))</f>
      </c>
      <c r="I439" s="103"/>
      <c r="J439" s="103"/>
      <c r="L439" s="104" t="s">
        <v>180</v>
      </c>
      <c r="M439" s="105" t="s">
        <v>181</v>
      </c>
      <c r="N439" s="106"/>
    </row>
    <row r="440">
      <c r="A440" s="101" t="s">
        <v>1552</v>
      </c>
      <c r="B440" s="100" t="s">
        <v>1551</v>
      </c>
      <c r="C440" s="100" t="s">
        <v>1553</v>
      </c>
      <c r="D440" s="102" t="n">
        <v>679.63</v>
      </c>
      <c r="E440" s="103" t="n">
        <v>21.0</v>
      </c>
      <c r="F440" s="103" t="n">
        <v>536.91</v>
      </c>
      <c r="G440" s="0">
        <f>IF(ISBLANK(F440),IF(E440&gt;21.0,"Atrativo",IF(E440&lt;21.0,"Pouco atrativo","-")),IF(F440&lt;536.91,"Atrativo",IF(F440&gt;536.91,"Pouco atrativo","-")))</f>
      </c>
      <c r="H440" s="102">
        <f>IF(ISBLANK(F440),IF(E440=21,"$ 405.89","-"),IF(F440=536.91,"$ 405.89","-"))</f>
      </c>
      <c r="I440" s="103"/>
      <c r="J440" s="103"/>
      <c r="L440" s="104" t="s">
        <v>180</v>
      </c>
      <c r="M440" s="105" t="s">
        <v>181</v>
      </c>
      <c r="N440" s="106"/>
    </row>
    <row r="441">
      <c r="A441" s="101" t="s">
        <v>1552</v>
      </c>
      <c r="B441" s="100" t="s">
        <v>1555</v>
      </c>
      <c r="C441" s="100" t="s">
        <v>1553</v>
      </c>
      <c r="D441" s="102" t="n">
        <v>706.21</v>
      </c>
      <c r="E441" s="103" t="n">
        <v>21.0</v>
      </c>
      <c r="F441" s="103" t="n">
        <v>557.91</v>
      </c>
      <c r="G441" s="0">
        <f>IF(ISBLANK(F441),IF(E441&gt;21.0,"Atrativo",IF(E441&lt;21.0,"Pouco atrativo","-")),IF(F441&lt;557.91,"Atrativo",IF(F441&gt;557.91,"Pouco atrativo","-")))</f>
      </c>
      <c r="H441" s="102">
        <f>IF(ISBLANK(F441),IF(E441=21,"$ 423.32","-"),IF(F441=557.91,"$ 423.32","-"))</f>
      </c>
      <c r="I441" s="103"/>
      <c r="J441" s="103"/>
      <c r="L441" s="104" t="s">
        <v>180</v>
      </c>
      <c r="M441" s="105" t="s">
        <v>181</v>
      </c>
      <c r="N441" s="106"/>
    </row>
    <row r="442">
      <c r="A442" s="101" t="s">
        <v>1558</v>
      </c>
      <c r="B442" s="100" t="s">
        <v>1557</v>
      </c>
      <c r="C442" s="100" t="s">
        <v>1559</v>
      </c>
      <c r="D442" s="102" t="n">
        <v>135.32</v>
      </c>
      <c r="E442" s="103" t="n">
        <v>22.0</v>
      </c>
      <c r="F442" s="103" t="n">
        <v>106.9</v>
      </c>
      <c r="G442" s="0">
        <f>IF(ISBLANK(F442),IF(E442&gt;22.0,"Atrativo",IF(E442&lt;22.0,"Pouco atrativo","-")),IF(F442&lt;106.9,"Atrativo",IF(F442&gt;106.9,"Pouco atrativo","-")))</f>
      </c>
      <c r="H442" s="102">
        <f>IF(ISBLANK(F442),IF(E442=22,"$ 77.62","-"),IF(F442=106.9,"$ 77.62","-"))</f>
      </c>
      <c r="I442" s="103"/>
      <c r="J442" s="103"/>
      <c r="L442" s="104" t="s">
        <v>180</v>
      </c>
      <c r="M442" s="105" t="s">
        <v>181</v>
      </c>
      <c r="N442" s="106"/>
    </row>
    <row r="443">
      <c r="A443" s="101" t="s">
        <v>1562</v>
      </c>
      <c r="B443" s="100" t="s">
        <v>1561</v>
      </c>
      <c r="C443" s="100" t="s">
        <v>1559</v>
      </c>
      <c r="D443" s="102" t="n">
        <v>122.77</v>
      </c>
      <c r="E443" s="103" t="n">
        <v>21.0</v>
      </c>
      <c r="F443" s="103" t="n">
        <v>96.99</v>
      </c>
      <c r="G443" s="0">
        <f>IF(ISBLANK(F443),IF(E443&gt;21.0,"Atrativo",IF(E443&lt;21.0,"Pouco atrativo","-")),IF(F443&lt;96.99,"Atrativo",IF(F443&gt;96.99,"Pouco atrativo","-")))</f>
      </c>
      <c r="H443" s="102">
        <f>IF(ISBLANK(F443),IF(E443=21,"$ 66.65","-"),IF(F443=96.99,"$ 66.65","-"))</f>
      </c>
      <c r="I443" s="103"/>
      <c r="J443" s="103"/>
      <c r="L443" s="104" t="s">
        <v>180</v>
      </c>
      <c r="M443" s="105" t="s">
        <v>181</v>
      </c>
      <c r="N443" s="106"/>
    </row>
    <row r="444">
      <c r="A444" s="101" t="s">
        <v>1565</v>
      </c>
      <c r="B444" s="100" t="s">
        <v>1564</v>
      </c>
      <c r="C444" s="100" t="s">
        <v>1559</v>
      </c>
      <c r="D444" s="102" t="n">
        <v>87.22</v>
      </c>
      <c r="E444" s="103" t="n">
        <v>22.0</v>
      </c>
      <c r="F444" s="103" t="n">
        <v>68.9</v>
      </c>
      <c r="G444" s="0">
        <f>IF(ISBLANK(F444),IF(E444&gt;22.0,"Atrativo",IF(E444&lt;22.0,"Pouco atrativo","-")),IF(F444&lt;68.9,"Atrativo",IF(F444&gt;68.9,"Pouco atrativo","-")))</f>
      </c>
      <c r="H444" s="102">
        <f>IF(ISBLANK(F444),IF(E444=22,"$ 49.14","-"),IF(F444=68.9,"$ 49.14","-"))</f>
      </c>
      <c r="I444" s="103"/>
      <c r="J444" s="103"/>
      <c r="L444" s="104" t="s">
        <v>180</v>
      </c>
      <c r="M444" s="105" t="s">
        <v>181</v>
      </c>
      <c r="N444" s="106"/>
    </row>
    <row r="445">
      <c r="A445" s="101" t="s">
        <v>1568</v>
      </c>
      <c r="B445" s="100" t="s">
        <v>1567</v>
      </c>
      <c r="C445" s="100" t="s">
        <v>587</v>
      </c>
      <c r="D445" s="102" t="n">
        <v>161.9</v>
      </c>
      <c r="E445" s="103" t="n">
        <v>21.0</v>
      </c>
      <c r="F445" s="103" t="n">
        <v>127.9</v>
      </c>
      <c r="G445" s="0">
        <f>IF(ISBLANK(F445),IF(E445&gt;21.0,"Atrativo",IF(E445&lt;21.0,"Pouco atrativo","-")),IF(F445&lt;127.9,"Atrativo",IF(F445&gt;127.9,"Pouco atrativo","-")))</f>
      </c>
      <c r="H445" s="102">
        <f>IF(ISBLANK(F445),IF(E445=21,"$ 96.10","-"),IF(F445=127.9,"$ 96.10","-"))</f>
      </c>
      <c r="I445" s="103"/>
      <c r="J445" s="103"/>
      <c r="L445" s="104" t="s">
        <v>180</v>
      </c>
      <c r="M445" s="105" t="s">
        <v>181</v>
      </c>
      <c r="N445" s="106"/>
    </row>
    <row r="446">
      <c r="A446" s="101" t="s">
        <v>1326</v>
      </c>
      <c r="B446" s="100" t="s">
        <v>1570</v>
      </c>
      <c r="C446" s="100" t="s">
        <v>1327</v>
      </c>
      <c r="D446" s="102" t="n">
        <v>198.61</v>
      </c>
      <c r="E446" s="103" t="n">
        <v>21.0</v>
      </c>
      <c r="F446" s="103" t="n">
        <v>156.9</v>
      </c>
      <c r="G446" s="0">
        <f>IF(ISBLANK(F446),IF(E446&gt;21.0,"Atrativo",IF(E446&lt;21.0,"Pouco atrativo","-")),IF(F446&lt;156.9,"Atrativo",IF(F446&gt;156.9,"Pouco atrativo","-")))</f>
      </c>
      <c r="H446" s="102">
        <f>IF(ISBLANK(F446),IF(E446=21,"$ 108.81","-"),IF(F446=156.9,"$ 108.81","-"))</f>
      </c>
      <c r="I446" s="103"/>
      <c r="J446" s="103"/>
      <c r="L446" s="104" t="s">
        <v>180</v>
      </c>
      <c r="M446" s="105" t="s">
        <v>181</v>
      </c>
      <c r="N446" s="106"/>
    </row>
    <row r="447">
      <c r="A447" s="101" t="s">
        <v>1573</v>
      </c>
      <c r="B447" s="100" t="s">
        <v>1572</v>
      </c>
      <c r="C447" s="100" t="s">
        <v>1574</v>
      </c>
      <c r="D447" s="102" t="n">
        <v>925.2</v>
      </c>
      <c r="E447" s="103" t="n">
        <v>21.0</v>
      </c>
      <c r="F447" s="103" t="n">
        <v>730.91</v>
      </c>
      <c r="G447" s="0">
        <f>IF(ISBLANK(F447),IF(E447&gt;21.0,"Atrativo",IF(E447&lt;21.0,"Pouco atrativo","-")),IF(F447&lt;730.91,"Atrativo",IF(F447&gt;730.91,"Pouco atrativo","-")))</f>
      </c>
      <c r="H447" s="102">
        <f>IF(ISBLANK(F447),IF(E447=21,"$ 515.51","-"),IF(F447=730.91,"$ 515.51","-"))</f>
      </c>
      <c r="I447" s="103"/>
      <c r="J447" s="103"/>
      <c r="L447" s="104" t="s">
        <v>180</v>
      </c>
      <c r="M447" s="105" t="s">
        <v>181</v>
      </c>
      <c r="N447" s="106"/>
    </row>
    <row r="448">
      <c r="A448" s="101" t="s">
        <v>1577</v>
      </c>
      <c r="B448" s="100" t="s">
        <v>1576</v>
      </c>
      <c r="C448" s="100" t="s">
        <v>1578</v>
      </c>
      <c r="D448" s="102" t="n">
        <v>65.7</v>
      </c>
      <c r="E448" s="103" t="n">
        <v>22.0</v>
      </c>
      <c r="F448" s="103" t="n">
        <v>51.9</v>
      </c>
      <c r="G448" s="0">
        <f>IF(ISBLANK(F448),IF(E448&gt;22.0,"Atrativo",IF(E448&lt;22.0,"Pouco atrativo","-")),IF(F448&lt;51.9,"Atrativo",IF(F448&gt;51.9,"Pouco atrativo","-")))</f>
      </c>
      <c r="H448" s="102">
        <f>IF(ISBLANK(F448),IF(E448=22,"$ 37.92","-"),IF(F448=51.9,"$ 37.92","-"))</f>
      </c>
      <c r="I448" s="103"/>
      <c r="J448" s="103"/>
      <c r="L448" s="104" t="s">
        <v>180</v>
      </c>
      <c r="M448" s="105" t="s">
        <v>181</v>
      </c>
      <c r="N448" s="106"/>
    </row>
    <row r="449">
      <c r="A449" s="101" t="s">
        <v>1580</v>
      </c>
      <c r="B449" s="100" t="s">
        <v>1579</v>
      </c>
      <c r="C449" s="100" t="s">
        <v>1578</v>
      </c>
      <c r="D449" s="102" t="n">
        <v>72.36</v>
      </c>
      <c r="E449" s="103" t="n">
        <v>22.0</v>
      </c>
      <c r="F449" s="103" t="n">
        <v>57.16</v>
      </c>
      <c r="G449" s="0">
        <f>IF(ISBLANK(F449),IF(E449&gt;22.0,"Atrativo",IF(E449&lt;22.0,"Pouco atrativo","-")),IF(F449&lt;57.16,"Atrativo",IF(F449&gt;57.16,"Pouco atrativo","-")))</f>
      </c>
      <c r="H449" s="102">
        <f>IF(ISBLANK(F449),IF(E449=22,"$ 39.69","-"),IF(F449=57.16,"$ 39.69","-"))</f>
      </c>
      <c r="I449" s="103"/>
      <c r="J449" s="103"/>
      <c r="L449" s="104" t="s">
        <v>180</v>
      </c>
      <c r="M449" s="105" t="s">
        <v>181</v>
      </c>
      <c r="N449" s="106"/>
    </row>
    <row r="450">
      <c r="A450" s="101" t="s">
        <v>1583</v>
      </c>
      <c r="B450" s="100" t="s">
        <v>1582</v>
      </c>
      <c r="C450" s="100" t="s">
        <v>1578</v>
      </c>
      <c r="D450" s="102" t="n">
        <v>73.29</v>
      </c>
      <c r="E450" s="103" t="n">
        <v>21.0</v>
      </c>
      <c r="F450" s="103" t="n">
        <v>57.9</v>
      </c>
      <c r="G450" s="0">
        <f>IF(ISBLANK(F450),IF(E450&gt;21.0,"Atrativo",IF(E450&lt;21.0,"Pouco atrativo","-")),IF(F450&lt;57.9,"Atrativo",IF(F450&gt;57.9,"Pouco atrativo","-")))</f>
      </c>
      <c r="H450" s="102">
        <f>IF(ISBLANK(F450),IF(E450=21,"$ 40.31","-"),IF(F450=57.9,"$ 40.31","-"))</f>
      </c>
      <c r="I450" s="103"/>
      <c r="J450" s="103"/>
      <c r="L450" s="104" t="s">
        <v>180</v>
      </c>
      <c r="M450" s="105" t="s">
        <v>181</v>
      </c>
      <c r="N450" s="106"/>
    </row>
    <row r="451">
      <c r="A451" s="101" t="s">
        <v>1586</v>
      </c>
      <c r="B451" s="100" t="s">
        <v>1585</v>
      </c>
      <c r="C451" s="100" t="s">
        <v>1587</v>
      </c>
      <c r="D451" s="102" t="n">
        <v>165.81</v>
      </c>
      <c r="E451" s="103" t="n">
        <v>21.0</v>
      </c>
      <c r="F451" s="103" t="n">
        <v>130.99</v>
      </c>
      <c r="G451" s="0">
        <f>IF(ISBLANK(F451),IF(E451&gt;21.0,"Atrativo",IF(E451&lt;21.0,"Pouco atrativo","-")),IF(F451&lt;130.99,"Atrativo",IF(F451&gt;130.99,"Pouco atrativo","-")))</f>
      </c>
      <c r="H451" s="102">
        <f>IF(ISBLANK(F451),IF(E451=21,"$ 92.27","-"),IF(F451=130.99,"$ 92.27","-"))</f>
      </c>
      <c r="I451" s="103"/>
      <c r="J451" s="103"/>
      <c r="L451" s="104" t="s">
        <v>180</v>
      </c>
      <c r="M451" s="105" t="s">
        <v>181</v>
      </c>
      <c r="N451" s="106"/>
    </row>
    <row r="452">
      <c r="A452" s="101" t="s">
        <v>1590</v>
      </c>
      <c r="B452" s="100" t="s">
        <v>1589</v>
      </c>
      <c r="C452" s="100" t="s">
        <v>519</v>
      </c>
      <c r="D452" s="102" t="n">
        <v>167.09</v>
      </c>
      <c r="E452" s="103" t="n">
        <v>21.0</v>
      </c>
      <c r="F452" s="103" t="n">
        <v>132.0</v>
      </c>
      <c r="G452" s="0">
        <f>IF(ISBLANK(F452),IF(E452&gt;21.0,"Atrativo",IF(E452&lt;21.0,"Pouco atrativo","-")),IF(F452&lt;132.0,"Atrativo",IF(F452&gt;132.0,"Pouco atrativo","-")))</f>
      </c>
      <c r="H452" s="102">
        <f>IF(ISBLANK(F452),IF(E452=21,"$ 93.11","-"),IF(F452=132,"$ 93.11","-"))</f>
      </c>
      <c r="I452" s="103"/>
      <c r="J452" s="103"/>
      <c r="L452" s="104" t="s">
        <v>180</v>
      </c>
      <c r="M452" s="105" t="s">
        <v>181</v>
      </c>
      <c r="N452" s="106"/>
    </row>
    <row r="453">
      <c r="A453" s="101" t="s">
        <v>1593</v>
      </c>
      <c r="B453" s="100" t="s">
        <v>1592</v>
      </c>
      <c r="C453" s="100" t="s">
        <v>819</v>
      </c>
      <c r="D453" s="102" t="n">
        <v>297.35</v>
      </c>
      <c r="E453" s="103" t="n">
        <v>21.0</v>
      </c>
      <c r="F453" s="103" t="n">
        <v>234.91</v>
      </c>
      <c r="G453" s="0">
        <f>IF(ISBLANK(F453),IF(E453&gt;21.0,"Atrativo",IF(E453&lt;21.0,"Pouco atrativo","-")),IF(F453&lt;234.91,"Atrativo",IF(F453&gt;234.91,"Pouco atrativo","-")))</f>
      </c>
      <c r="H453" s="102">
        <f>IF(ISBLANK(F453),IF(E453=21,"$ 170.33","-"),IF(F453=234.91,"$ 170.33","-"))</f>
      </c>
      <c r="I453" s="103"/>
      <c r="J453" s="103"/>
      <c r="L453" s="104" t="s">
        <v>180</v>
      </c>
      <c r="M453" s="105" t="s">
        <v>181</v>
      </c>
      <c r="N453" s="106"/>
    </row>
    <row r="454">
      <c r="A454" s="101" t="s">
        <v>1596</v>
      </c>
      <c r="B454" s="100" t="s">
        <v>1595</v>
      </c>
      <c r="C454" s="100" t="s">
        <v>420</v>
      </c>
      <c r="D454" s="102" t="n">
        <v>60.1</v>
      </c>
      <c r="E454" s="103" t="n">
        <v>6.0</v>
      </c>
      <c r="F454" s="103" t="n">
        <v>56.49</v>
      </c>
      <c r="G454" s="107" t="s">
        <v>294</v>
      </c>
      <c r="H454" s="102">
        <f>IF(ISBLANK(F454),IF(E454=6,"$ 41.94","-"),IF(F454=56.49,"$ 41.94","-"))</f>
      </c>
      <c r="I454" s="103"/>
      <c r="J454" s="103"/>
      <c r="L454" s="104" t="s">
        <v>295</v>
      </c>
      <c r="M454" s="105" t="s">
        <v>181</v>
      </c>
      <c r="N454" s="101" t="s">
        <v>296</v>
      </c>
    </row>
    <row r="455">
      <c r="A455" s="101" t="s">
        <v>1225</v>
      </c>
      <c r="B455" s="100" t="s">
        <v>1598</v>
      </c>
      <c r="C455" s="100" t="s">
        <v>1219</v>
      </c>
      <c r="D455" s="102" t="n">
        <v>793.55</v>
      </c>
      <c r="E455" s="103" t="n">
        <v>21.0</v>
      </c>
      <c r="F455" s="103" t="n">
        <v>626.9</v>
      </c>
      <c r="G455" s="0">
        <f>IF(ISBLANK(F455),IF(E455&gt;21.0,"Atrativo",IF(E455&lt;21.0,"Pouco atrativo","-")),IF(F455&lt;626.9,"Atrativo",IF(F455&gt;626.9,"Pouco atrativo","-")))</f>
      </c>
      <c r="H455" s="102">
        <f>IF(ISBLANK(F455),IF(E455=21,"$ 508.59","-"),IF(F455=626.9,"$ 508.59","-"))</f>
      </c>
      <c r="I455" s="103"/>
      <c r="J455" s="103"/>
      <c r="L455" s="104" t="s">
        <v>180</v>
      </c>
      <c r="M455" s="105" t="s">
        <v>181</v>
      </c>
      <c r="N455" s="106"/>
    </row>
    <row r="456">
      <c r="A456" s="101" t="s">
        <v>1601</v>
      </c>
      <c r="B456" s="100" t="s">
        <v>1600</v>
      </c>
      <c r="C456" s="100" t="s">
        <v>1296</v>
      </c>
      <c r="D456" s="102" t="n">
        <v>450.51</v>
      </c>
      <c r="E456" s="103" t="n">
        <v>21.0</v>
      </c>
      <c r="F456" s="103" t="n">
        <v>355.9</v>
      </c>
      <c r="G456" s="0">
        <f>IF(ISBLANK(F456),IF(E456&gt;21.0,"Atrativo",IF(E456&lt;21.0,"Pouco atrativo","-")),IF(F456&lt;355.9,"Atrativo",IF(F456&gt;355.9,"Pouco atrativo","-")))</f>
      </c>
      <c r="H456" s="102">
        <f>IF(ISBLANK(F456),IF(E456=21,"$ 272.85","-"),IF(F456=355.9,"$ 272.85","-"))</f>
      </c>
      <c r="I456" s="103"/>
      <c r="J456" s="103"/>
      <c r="L456" s="104" t="s">
        <v>180</v>
      </c>
      <c r="M456" s="105" t="s">
        <v>181</v>
      </c>
      <c r="N456" s="106"/>
    </row>
    <row r="457">
      <c r="A457" s="101" t="s">
        <v>1604</v>
      </c>
      <c r="B457" s="100" t="s">
        <v>1603</v>
      </c>
      <c r="C457" s="100" t="s">
        <v>1574</v>
      </c>
      <c r="D457" s="102" t="n">
        <v>827.73</v>
      </c>
      <c r="E457" s="103" t="n">
        <v>28.0</v>
      </c>
      <c r="F457" s="103" t="n">
        <v>595.96</v>
      </c>
      <c r="G457" s="0">
        <f>IF(ISBLANK(F457),IF(E457&gt;=28.0,"Atrativo","Pouco atrativo"),IF(F457&lt;=599.0,"Atrativo","Pouco atrativo"))</f>
      </c>
      <c r="H457" s="102">
        <f>IF(ISBLANK(F457),IF(E457=28,"$ 441.96","-"),IF(F457=595.96,"$ 441.96","-"))</f>
      </c>
      <c r="I457" s="103"/>
      <c r="J457" s="103"/>
      <c r="L457" s="104" t="s">
        <v>295</v>
      </c>
      <c r="M457" s="105" t="s">
        <v>181</v>
      </c>
      <c r="N457" s="106"/>
    </row>
    <row r="458">
      <c r="A458" s="101" t="s">
        <v>1607</v>
      </c>
      <c r="B458" s="100" t="s">
        <v>1606</v>
      </c>
      <c r="C458" s="100" t="s">
        <v>1608</v>
      </c>
      <c r="D458" s="102" t="n">
        <v>234.05</v>
      </c>
      <c r="E458" s="103" t="n">
        <v>21.0</v>
      </c>
      <c r="F458" s="103" t="n">
        <v>184.9</v>
      </c>
      <c r="G458" s="0">
        <f>IF(ISBLANK(F458),IF(E458&gt;21.0,"Atrativo",IF(E458&lt;21.0,"Pouco atrativo","-")),IF(F458&lt;184.9,"Atrativo",IF(F458&gt;184.9,"Pouco atrativo","-")))</f>
      </c>
      <c r="H458" s="102">
        <f>IF(ISBLANK(F458),IF(E458=21,"$ 132.72","-"),IF(F458=184.9,"$ 132.72","-"))</f>
      </c>
      <c r="I458" s="103"/>
      <c r="J458" s="103"/>
      <c r="L458" s="104" t="s">
        <v>180</v>
      </c>
      <c r="M458" s="105" t="s">
        <v>181</v>
      </c>
      <c r="N458" s="106"/>
    </row>
    <row r="459">
      <c r="A459" s="101" t="s">
        <v>1611</v>
      </c>
      <c r="B459" s="100" t="s">
        <v>1610</v>
      </c>
      <c r="C459" s="100" t="s">
        <v>129</v>
      </c>
      <c r="D459" s="102" t="n">
        <v>59.37</v>
      </c>
      <c r="E459" s="103" t="n">
        <v>22.0</v>
      </c>
      <c r="F459" s="103" t="n">
        <v>46.9</v>
      </c>
      <c r="G459" s="0">
        <f>IF(ISBLANK(F459),IF(E459&gt;22.0,"Atrativo",IF(E459&lt;22.0,"Pouco atrativo","-")),IF(F459&lt;46.9,"Atrativo",IF(F459&gt;46.9,"Pouco atrativo","-")))</f>
      </c>
      <c r="H459" s="102">
        <f>IF(ISBLANK(F459),IF(E459=22,"$ 34.25","-"),IF(F459=46.9,"$ 34.25","-"))</f>
      </c>
      <c r="I459" s="103"/>
      <c r="J459" s="103"/>
      <c r="L459" s="104" t="s">
        <v>180</v>
      </c>
      <c r="M459" s="105" t="s">
        <v>181</v>
      </c>
      <c r="N459" s="106"/>
    </row>
    <row r="460">
      <c r="A460" s="101" t="s">
        <v>1614</v>
      </c>
      <c r="B460" s="100" t="s">
        <v>1613</v>
      </c>
      <c r="C460" s="100" t="s">
        <v>1615</v>
      </c>
      <c r="D460" s="102" t="n">
        <v>1272.03</v>
      </c>
      <c r="E460" s="103" t="n">
        <v>21.0</v>
      </c>
      <c r="F460" s="103" t="n">
        <v>1004.9</v>
      </c>
      <c r="G460" s="0">
        <f>IF(ISBLANK(F460),IF(E460&gt;21.0,"Atrativo",IF(E460&lt;21.0,"Pouco atrativo","-")),IF(F460&lt;1004.9,"Atrativo",IF(F460&gt;1004.9,"Pouco atrativo","-")))</f>
      </c>
      <c r="H460" s="102">
        <f>IF(ISBLANK(F460),IF(E460=21,"$ 790.02","-"),IF(F460=1004.9,"$ 790.02","-"))</f>
      </c>
      <c r="I460" s="103"/>
      <c r="J460" s="103"/>
      <c r="L460" s="104" t="s">
        <v>180</v>
      </c>
      <c r="M460" s="105" t="s">
        <v>181</v>
      </c>
      <c r="N460" s="106"/>
    </row>
    <row r="461">
      <c r="A461" s="101" t="s">
        <v>1618</v>
      </c>
      <c r="B461" s="100" t="s">
        <v>1617</v>
      </c>
      <c r="C461" s="100" t="s">
        <v>1534</v>
      </c>
      <c r="D461" s="102" t="n">
        <v>1716.35</v>
      </c>
      <c r="E461" s="103" t="n">
        <v>21.0</v>
      </c>
      <c r="F461" s="103" t="n">
        <v>1355.92</v>
      </c>
      <c r="G461" s="0">
        <f>IF(ISBLANK(F461),IF(E461&gt;21.0,"Atrativo",IF(E461&lt;21.0,"Pouco atrativo","-")),IF(F461&lt;1355.92,"Atrativo",IF(F461&gt;1355.92,"Pouco atrativo","-")))</f>
      </c>
      <c r="H461" s="102">
        <f>IF(ISBLANK(F461),IF(E461=21,"$ 1"&amp;CHAR(44)&amp;"138.12","-"),IF(F461=1355.92,"$ 1"&amp;CHAR(44)&amp;"138.12","-"))</f>
      </c>
      <c r="I461" s="103"/>
      <c r="J461" s="103"/>
      <c r="L461" s="104" t="s">
        <v>180</v>
      </c>
      <c r="M461" s="105" t="s">
        <v>181</v>
      </c>
      <c r="N461" s="106"/>
    </row>
    <row r="462">
      <c r="A462" s="101" t="s">
        <v>1621</v>
      </c>
      <c r="B462" s="100" t="s">
        <v>1620</v>
      </c>
      <c r="C462" s="100" t="s">
        <v>1622</v>
      </c>
      <c r="D462" s="102" t="n">
        <v>870.77</v>
      </c>
      <c r="E462" s="103" t="n">
        <v>21.0</v>
      </c>
      <c r="F462" s="103" t="n">
        <v>687.9</v>
      </c>
      <c r="G462" s="0">
        <f>IF(ISBLANK(F462),IF(E462&gt;21.0,"Atrativo",IF(E462&lt;21.0,"Pouco atrativo","-")),IF(F462&lt;687.9,"Atrativo",IF(F462&gt;687.9,"Pouco atrativo","-")))</f>
      </c>
      <c r="H462" s="102">
        <f>IF(ISBLANK(F462),IF(E462=21,"$ 542.61","-"),IF(F462=687.9,"$ 542.61","-"))</f>
      </c>
      <c r="I462" s="103"/>
      <c r="J462" s="103"/>
      <c r="L462" s="104" t="s">
        <v>180</v>
      </c>
      <c r="M462" s="105" t="s">
        <v>181</v>
      </c>
      <c r="N462" s="106"/>
    </row>
    <row r="463">
      <c r="A463" s="101" t="s">
        <v>1625</v>
      </c>
      <c r="B463" s="100" t="s">
        <v>1624</v>
      </c>
      <c r="C463" s="100" t="s">
        <v>1622</v>
      </c>
      <c r="D463" s="102" t="n">
        <v>851.9</v>
      </c>
      <c r="E463" s="103" t="n">
        <v>22.0</v>
      </c>
      <c r="F463" s="103" t="n">
        <v>672.99</v>
      </c>
      <c r="G463" s="0">
        <f>IF(ISBLANK(F463),IF(E463&gt;22.0,"Atrativo",IF(E463&lt;22.0,"Pouco atrativo","-")),IF(F463&lt;672.99,"Atrativo",IF(F463&gt;672.99,"Pouco atrativo","-")))</f>
      </c>
      <c r="H463" s="102">
        <f>IF(ISBLANK(F463),IF(E463=22,"$ 563.88","-"),IF(F463=672.99,"$ 563.88","-"))</f>
      </c>
      <c r="I463" s="103"/>
      <c r="J463" s="103"/>
      <c r="L463" s="104" t="s">
        <v>180</v>
      </c>
      <c r="M463" s="105" t="s">
        <v>181</v>
      </c>
      <c r="N463" s="106"/>
    </row>
    <row r="464">
      <c r="A464" s="101" t="s">
        <v>677</v>
      </c>
      <c r="B464" s="100" t="s">
        <v>1627</v>
      </c>
      <c r="C464" s="100" t="s">
        <v>678</v>
      </c>
      <c r="D464" s="102" t="n">
        <v>135.32</v>
      </c>
      <c r="E464" s="103" t="n">
        <v>22.0</v>
      </c>
      <c r="F464" s="103" t="n">
        <v>106.9</v>
      </c>
      <c r="G464" s="0">
        <f>IF(ISBLANK(F464),IF(E464&gt;22.0,"Atrativo",IF(E464&lt;22.0,"Pouco atrativo","-")),IF(F464&lt;106.9,"Atrativo",IF(F464&gt;106.9,"Pouco atrativo","-")))</f>
      </c>
      <c r="H464" s="102">
        <f>IF(ISBLANK(F464),IF(E464=22,"$ 73.28","-"),IF(F464=106.9,"$ 73.28","-"))</f>
      </c>
      <c r="I464" s="103"/>
      <c r="J464" s="103"/>
      <c r="L464" s="104" t="s">
        <v>180</v>
      </c>
      <c r="M464" s="105" t="s">
        <v>181</v>
      </c>
      <c r="N464" s="106"/>
    </row>
    <row r="465">
      <c r="A465" s="101" t="s">
        <v>902</v>
      </c>
      <c r="B465" s="100" t="s">
        <v>1629</v>
      </c>
      <c r="C465" s="100" t="s">
        <v>129</v>
      </c>
      <c r="D465" s="102" t="n">
        <v>455.58</v>
      </c>
      <c r="E465" s="103" t="n">
        <v>21.0</v>
      </c>
      <c r="F465" s="103" t="n">
        <v>359.91</v>
      </c>
      <c r="G465" s="0">
        <f>IF(ISBLANK(F465),IF(E465&gt;21.0,"Atrativo",IF(E465&lt;21.0,"Pouco atrativo","-")),IF(F465&lt;359.91,"Atrativo",IF(F465&gt;359.91,"Pouco atrativo","-")))</f>
      </c>
      <c r="H465" s="102">
        <f>IF(ISBLANK(F465),IF(E465=21,"$ 291.97","-"),IF(F465=359.91,"$ 291.97","-"))</f>
      </c>
      <c r="I465" s="103"/>
      <c r="J465" s="103"/>
      <c r="L465" s="104" t="s">
        <v>180</v>
      </c>
      <c r="M465" s="105" t="s">
        <v>181</v>
      </c>
      <c r="N465" s="106"/>
    </row>
    <row r="466">
      <c r="A466" s="101" t="s">
        <v>1632</v>
      </c>
      <c r="B466" s="100" t="s">
        <v>1631</v>
      </c>
      <c r="C466" s="100" t="s">
        <v>635</v>
      </c>
      <c r="D466" s="102" t="n">
        <v>164.52</v>
      </c>
      <c r="E466" s="103" t="n">
        <v>21.0</v>
      </c>
      <c r="F466" s="103" t="n">
        <v>129.97</v>
      </c>
      <c r="G466" s="0">
        <f>IF(ISBLANK(F466),IF(E466&gt;21.0,"Atrativo",IF(E466&lt;21.0,"Pouco atrativo","-")),IF(F466&lt;129.97,"Atrativo",IF(F466&gt;129.97,"Pouco atrativo","-")))</f>
      </c>
      <c r="H466" s="102">
        <f>IF(ISBLANK(F466),IF(E466=21,"$ 90.23","-"),IF(F466=129.97,"$ 90.23","-"))</f>
      </c>
      <c r="I466" s="103"/>
      <c r="J466" s="103"/>
      <c r="L466" s="104" t="s">
        <v>180</v>
      </c>
      <c r="M466" s="105" t="s">
        <v>181</v>
      </c>
      <c r="N466" s="106"/>
    </row>
    <row r="467">
      <c r="A467" s="101" t="s">
        <v>1307</v>
      </c>
      <c r="B467" s="100" t="s">
        <v>1634</v>
      </c>
      <c r="C467" s="100" t="s">
        <v>553</v>
      </c>
      <c r="D467" s="102" t="n">
        <v>99.87</v>
      </c>
      <c r="E467" s="103" t="n">
        <v>21.0</v>
      </c>
      <c r="F467" s="103" t="n">
        <v>78.9</v>
      </c>
      <c r="G467" s="0">
        <f>IF(ISBLANK(F467),IF(E467&gt;21.0,"Atrativo",IF(E467&lt;21.0,"Pouco atrativo","-")),IF(F467&lt;78.9,"Atrativo",IF(F467&gt;78.9,"Pouco atrativo","-")))</f>
      </c>
      <c r="H467" s="102">
        <f>IF(ISBLANK(F467),IF(E467=21,"$ 61.48","-"),IF(F467=78.9,"$ 61.48","-"))</f>
      </c>
      <c r="I467" s="103"/>
      <c r="J467" s="103"/>
      <c r="L467" s="104" t="s">
        <v>180</v>
      </c>
      <c r="M467" s="105" t="s">
        <v>181</v>
      </c>
      <c r="N467" s="106"/>
    </row>
    <row r="468">
      <c r="A468" s="101" t="s">
        <v>1636</v>
      </c>
      <c r="B468" s="100" t="s">
        <v>1635</v>
      </c>
      <c r="C468" s="100" t="s">
        <v>553</v>
      </c>
      <c r="D468" s="102" t="n">
        <v>87.33</v>
      </c>
      <c r="E468" s="103" t="n">
        <v>21.0</v>
      </c>
      <c r="F468" s="103" t="n">
        <v>68.99</v>
      </c>
      <c r="G468" s="0">
        <f>IF(ISBLANK(F468),IF(E468&gt;21.0,"Atrativo",IF(E468&lt;21.0,"Pouco atrativo","-")),IF(F468&lt;68.99,"Atrativo",IF(F468&gt;68.99,"Pouco atrativo","-")))</f>
      </c>
      <c r="H468" s="102">
        <f>IF(ISBLANK(F468),IF(E468=21,"$ 49.66","-"),IF(F468=68.99,"$ 49.66","-"))</f>
      </c>
      <c r="I468" s="103"/>
      <c r="J468" s="103"/>
      <c r="L468" s="104" t="s">
        <v>180</v>
      </c>
      <c r="M468" s="105" t="s">
        <v>181</v>
      </c>
      <c r="N468" s="106"/>
    </row>
    <row r="469">
      <c r="A469" s="101" t="s">
        <v>1639</v>
      </c>
      <c r="B469" s="100" t="s">
        <v>1638</v>
      </c>
      <c r="C469" s="100" t="s">
        <v>498</v>
      </c>
      <c r="D469" s="102" t="n">
        <v>246.71</v>
      </c>
      <c r="E469" s="103" t="n">
        <v>21.0</v>
      </c>
      <c r="F469" s="103" t="n">
        <v>194.9</v>
      </c>
      <c r="G469" s="0">
        <f>IF(ISBLANK(F469),IF(E469&gt;21.0,"Atrativo",IF(E469&lt;21.0,"Pouco atrativo","-")),IF(F469&lt;194.9,"Atrativo",IF(F469&gt;194.9,"Pouco atrativo","-")))</f>
      </c>
      <c r="H469" s="102">
        <f>IF(ISBLANK(F469),IF(E469=21,"$ 151.66","-"),IF(F469=194.9,"$ 151.66","-"))</f>
      </c>
      <c r="I469" s="103"/>
      <c r="J469" s="103"/>
      <c r="L469" s="104" t="s">
        <v>180</v>
      </c>
      <c r="M469" s="105" t="s">
        <v>181</v>
      </c>
      <c r="N469" s="106"/>
    </row>
    <row r="470">
      <c r="A470" s="101" t="s">
        <v>1642</v>
      </c>
      <c r="B470" s="100" t="s">
        <v>1641</v>
      </c>
      <c r="C470" s="100" t="s">
        <v>1528</v>
      </c>
      <c r="D470" s="102" t="n">
        <v>710.01</v>
      </c>
      <c r="E470" s="103" t="n">
        <v>21.0</v>
      </c>
      <c r="F470" s="103" t="n">
        <v>560.91</v>
      </c>
      <c r="G470" s="0">
        <f>IF(ISBLANK(F470),IF(E470&gt;21.0,"Atrativo",IF(E470&lt;21.0,"Pouco atrativo","-")),IF(F470&lt;560.91,"Atrativo",IF(F470&gt;560.91,"Pouco atrativo","-")))</f>
      </c>
      <c r="H470" s="102">
        <f>IF(ISBLANK(F470),IF(E470=21,"$ 467.35","-"),IF(F470=560.91,"$ 467.35","-"))</f>
      </c>
      <c r="I470" s="103"/>
      <c r="J470" s="103"/>
      <c r="L470" s="104" t="s">
        <v>180</v>
      </c>
      <c r="M470" s="105" t="s">
        <v>181</v>
      </c>
      <c r="N470" s="106"/>
    </row>
    <row r="471">
      <c r="A471" s="101" t="s">
        <v>1645</v>
      </c>
      <c r="B471" s="100" t="s">
        <v>1644</v>
      </c>
      <c r="C471" s="100" t="s">
        <v>1646</v>
      </c>
      <c r="D471" s="102" t="n">
        <v>60.63</v>
      </c>
      <c r="E471" s="103" t="n">
        <v>21.0</v>
      </c>
      <c r="F471" s="103" t="n">
        <v>47.9</v>
      </c>
      <c r="G471" s="0">
        <f>IF(ISBLANK(F471),IF(E471&gt;21.0,"Atrativo",IF(E471&lt;21.0,"Pouco atrativo","-")),IF(F471&lt;47.9,"Atrativo",IF(F471&gt;47.9,"Pouco atrativo","-")))</f>
      </c>
      <c r="H471" s="102">
        <f>IF(ISBLANK(F471),IF(E471=21,"$ 35.60","-"),IF(F471=47.9,"$ 35.60","-"))</f>
      </c>
      <c r="I471" s="103"/>
      <c r="J471" s="103"/>
      <c r="L471" s="104" t="s">
        <v>180</v>
      </c>
      <c r="M471" s="105" t="s">
        <v>181</v>
      </c>
      <c r="N471" s="106"/>
    </row>
    <row r="472">
      <c r="A472" s="101" t="s">
        <v>1648</v>
      </c>
      <c r="B472" s="100" t="s">
        <v>1647</v>
      </c>
      <c r="C472" s="100" t="s">
        <v>1296</v>
      </c>
      <c r="D472" s="102" t="n">
        <v>363.17</v>
      </c>
      <c r="E472" s="103" t="n">
        <v>22.0</v>
      </c>
      <c r="F472" s="103" t="n">
        <v>286.9</v>
      </c>
      <c r="G472" s="0">
        <f>IF(ISBLANK(F472),IF(E472&gt;22.0,"Atrativo",IF(E472&lt;22.0,"Pouco atrativo","-")),IF(F472&lt;286.9,"Atrativo",IF(F472&gt;286.9,"Pouco atrativo","-")))</f>
      </c>
      <c r="H472" s="102">
        <f>IF(ISBLANK(F472),IF(E472=22,"$ 215.58","-"),IF(F472=286.9,"$ 215.58","-"))</f>
      </c>
      <c r="I472" s="103"/>
      <c r="J472" s="103"/>
      <c r="L472" s="104" t="s">
        <v>180</v>
      </c>
      <c r="M472" s="105" t="s">
        <v>181</v>
      </c>
      <c r="N472" s="106"/>
    </row>
    <row r="473">
      <c r="A473" s="101" t="s">
        <v>1651</v>
      </c>
      <c r="B473" s="100" t="s">
        <v>1650</v>
      </c>
      <c r="C473" s="100" t="s">
        <v>353</v>
      </c>
      <c r="D473" s="102" t="n">
        <v>679.63</v>
      </c>
      <c r="E473" s="103" t="n">
        <v>21.0</v>
      </c>
      <c r="F473" s="103" t="n">
        <v>536.91</v>
      </c>
      <c r="G473" s="0">
        <f>IF(ISBLANK(F473),IF(E473&gt;21.0,"Atrativo",IF(E473&lt;21.0,"Pouco atrativo","-")),IF(F473&lt;536.91,"Atrativo",IF(F473&gt;536.91,"Pouco atrativo","-")))</f>
      </c>
      <c r="H473" s="102">
        <f>IF(ISBLANK(F473),IF(E473=21,"$ 448.83","-"),IF(F473=536.91,"$ 448.83","-"))</f>
      </c>
      <c r="I473" s="103"/>
      <c r="J473" s="103"/>
      <c r="L473" s="104" t="s">
        <v>180</v>
      </c>
      <c r="M473" s="105" t="s">
        <v>181</v>
      </c>
      <c r="N473" s="106"/>
    </row>
    <row r="474">
      <c r="A474" s="101" t="s">
        <v>1326</v>
      </c>
      <c r="B474" s="100" t="s">
        <v>1653</v>
      </c>
      <c r="C474" s="100" t="s">
        <v>1327</v>
      </c>
      <c r="D474" s="102" t="n">
        <v>173.29</v>
      </c>
      <c r="E474" s="103" t="n">
        <v>21.0</v>
      </c>
      <c r="F474" s="103" t="n">
        <v>136.9</v>
      </c>
      <c r="G474" s="0">
        <f>IF(ISBLANK(F474),IF(E474&gt;21.0,"Atrativo",IF(E474&lt;21.0,"Pouco atrativo","-")),IF(F474&lt;136.9,"Atrativo",IF(F474&gt;136.9,"Pouco atrativo","-")))</f>
      </c>
      <c r="H474" s="102">
        <f>IF(ISBLANK(F474),IF(E474=21,"$ 94.61","-"),IF(F474=136.9,"$ 94.61","-"))</f>
      </c>
      <c r="I474" s="103"/>
      <c r="J474" s="103"/>
      <c r="L474" s="104" t="s">
        <v>180</v>
      </c>
      <c r="M474" s="105" t="s">
        <v>181</v>
      </c>
      <c r="N474" s="106"/>
    </row>
    <row r="475">
      <c r="A475" s="101" t="s">
        <v>1656</v>
      </c>
      <c r="B475" s="100" t="s">
        <v>1655</v>
      </c>
      <c r="C475" s="100" t="s">
        <v>1657</v>
      </c>
      <c r="D475" s="102" t="n">
        <v>221.4</v>
      </c>
      <c r="E475" s="103" t="n">
        <v>17.0</v>
      </c>
      <c r="F475" s="103" t="n">
        <v>183.9</v>
      </c>
      <c r="G475" s="0">
        <f>IF(ISBLANK(F475),IF(E475&gt;17.0,"Atrativo",IF(E475&lt;17.0,"Pouco atrativo","-")),IF(F475&lt;183.9,"Atrativo",IF(F475&gt;183.9,"Pouco atrativo","-")))</f>
      </c>
      <c r="H475" s="102">
        <f>IF(ISBLANK(F475),IF(E475=17,"$ 141.98","-"),IF(F475=183.9,"$ 141.98","-"))</f>
      </c>
      <c r="I475" s="103"/>
      <c r="J475" s="103"/>
      <c r="L475" s="104" t="s">
        <v>180</v>
      </c>
      <c r="M475" s="105" t="s">
        <v>181</v>
      </c>
      <c r="N475" s="106"/>
    </row>
    <row r="476">
      <c r="A476" s="101" t="s">
        <v>1660</v>
      </c>
      <c r="B476" s="100" t="s">
        <v>1659</v>
      </c>
      <c r="C476" s="100" t="s">
        <v>129</v>
      </c>
      <c r="D476" s="102" t="n">
        <v>241.65</v>
      </c>
      <c r="E476" s="103" t="n">
        <v>22.0</v>
      </c>
      <c r="F476" s="103" t="n">
        <v>190.9</v>
      </c>
      <c r="G476" s="0">
        <f>IF(ISBLANK(F476),IF(E476&gt;22.0,"Atrativo",IF(E476&lt;22.0,"Pouco atrativo","-")),IF(F476&lt;190.9,"Atrativo",IF(F476&gt;190.9,"Pouco atrativo","-")))</f>
      </c>
      <c r="H476" s="102">
        <f>IF(ISBLANK(F476),IF(E476=22,"$ 137.30","-"),IF(F476=190.9,"$ 137.30","-"))</f>
      </c>
      <c r="I476" s="103"/>
      <c r="J476" s="103"/>
      <c r="L476" s="104" t="s">
        <v>180</v>
      </c>
      <c r="M476" s="105" t="s">
        <v>181</v>
      </c>
      <c r="N476" s="106"/>
    </row>
    <row r="477">
      <c r="A477" s="101" t="s">
        <v>1663</v>
      </c>
      <c r="B477" s="100" t="s">
        <v>1662</v>
      </c>
      <c r="C477" s="100" t="s">
        <v>627</v>
      </c>
      <c r="D477" s="102" t="n">
        <v>79.62</v>
      </c>
      <c r="E477" s="103" t="n">
        <v>21.0</v>
      </c>
      <c r="F477" s="103" t="n">
        <v>62.9</v>
      </c>
      <c r="G477" s="0">
        <f>IF(ISBLANK(F477),IF(E477&gt;21.0,"Atrativo",IF(E477&lt;21.0,"Pouco atrativo","-")),IF(F477&lt;62.9,"Atrativo",IF(F477&gt;62.9,"Pouco atrativo","-")))</f>
      </c>
      <c r="H477" s="102">
        <f>IF(ISBLANK(F477),IF(E477=21,"$ 47.92","-"),IF(F477=62.9,"$ 47.92","-"))</f>
      </c>
      <c r="I477" s="103"/>
      <c r="J477" s="103"/>
      <c r="L477" s="104" t="s">
        <v>180</v>
      </c>
      <c r="M477" s="105" t="s">
        <v>181</v>
      </c>
      <c r="N477" s="106"/>
    </row>
    <row r="478">
      <c r="A478" s="101" t="s">
        <v>1666</v>
      </c>
      <c r="B478" s="100" t="s">
        <v>1665</v>
      </c>
      <c r="C478" s="100" t="s">
        <v>1667</v>
      </c>
      <c r="D478" s="102" t="n">
        <v>377.09</v>
      </c>
      <c r="E478" s="103" t="n">
        <v>21.0</v>
      </c>
      <c r="F478" s="103" t="n">
        <v>297.9</v>
      </c>
      <c r="G478" s="0">
        <f>IF(ISBLANK(F478),IF(E478&gt;21.0,"Atrativo",IF(E478&lt;21.0,"Pouco atrativo","-")),IF(F478&lt;297.9,"Atrativo",IF(F478&gt;297.9,"Pouco atrativo","-")))</f>
      </c>
      <c r="H478" s="102">
        <f>IF(ISBLANK(F478),IF(E478=21,"$ 240.48","-"),IF(F478=297.9,"$ 240.48","-"))</f>
      </c>
      <c r="I478" s="103"/>
      <c r="J478" s="103"/>
      <c r="L478" s="104" t="s">
        <v>180</v>
      </c>
      <c r="M478" s="105" t="s">
        <v>181</v>
      </c>
      <c r="N478" s="106"/>
    </row>
    <row r="479">
      <c r="A479" s="101" t="s">
        <v>1670</v>
      </c>
      <c r="B479" s="100" t="s">
        <v>1669</v>
      </c>
      <c r="C479" s="100" t="s">
        <v>1343</v>
      </c>
      <c r="D479" s="102" t="n">
        <v>313.8</v>
      </c>
      <c r="E479" s="103" t="n">
        <v>21.0</v>
      </c>
      <c r="F479" s="103" t="n">
        <v>247.9</v>
      </c>
      <c r="G479" s="0">
        <f>IF(ISBLANK(F479),IF(E479&gt;21.0,"Atrativo",IF(E479&lt;21.0,"Pouco atrativo","-")),IF(F479&lt;247.9,"Atrativo",IF(F479&gt;247.9,"Pouco atrativo","-")))</f>
      </c>
      <c r="H479" s="102">
        <f>IF(ISBLANK(F479),IF(E479=21,"$ 183.21","-"),IF(F479=247.9,"$ 183.21","-"))</f>
      </c>
      <c r="I479" s="103"/>
      <c r="J479" s="103"/>
      <c r="L479" s="104" t="s">
        <v>180</v>
      </c>
      <c r="M479" s="105" t="s">
        <v>181</v>
      </c>
      <c r="N479" s="106"/>
    </row>
    <row r="480">
      <c r="A480" s="101" t="s">
        <v>1673</v>
      </c>
      <c r="B480" s="100" t="s">
        <v>1672</v>
      </c>
      <c r="C480" s="100" t="s">
        <v>1343</v>
      </c>
      <c r="D480" s="102" t="n">
        <v>378.36</v>
      </c>
      <c r="E480" s="103" t="n">
        <v>22.0</v>
      </c>
      <c r="F480" s="103" t="n">
        <v>298.9</v>
      </c>
      <c r="G480" s="0">
        <f>IF(ISBLANK(F480),IF(E480&gt;22.0,"Atrativo",IF(E480&lt;22.0,"Pouco atrativo","-")),IF(F480&lt;298.9,"Atrativo",IF(F480&gt;298.9,"Pouco atrativo","-")))</f>
      </c>
      <c r="H480" s="102">
        <f>IF(ISBLANK(F480),IF(E480=22,"$ 225.54","-"),IF(F480=298.9,"$ 225.54","-"))</f>
      </c>
      <c r="I480" s="103"/>
      <c r="J480" s="103"/>
      <c r="L480" s="104" t="s">
        <v>180</v>
      </c>
      <c r="M480" s="105" t="s">
        <v>181</v>
      </c>
      <c r="N480" s="106"/>
    </row>
    <row r="481">
      <c r="A481" s="101" t="s">
        <v>1346</v>
      </c>
      <c r="B481" s="100" t="s">
        <v>1675</v>
      </c>
      <c r="C481" s="100" t="s">
        <v>1343</v>
      </c>
      <c r="D481" s="102" t="n">
        <v>196.9</v>
      </c>
      <c r="E481" s="103" t="n">
        <v>6.0</v>
      </c>
      <c r="F481" s="103" t="n">
        <v>187.05</v>
      </c>
      <c r="G481" s="0">
        <f>IF(ISBLANK(F481),IF(E481&gt;6.0,"Atrativo",IF(E481&lt;6.0,"Pouco atrativo","-")),IF(F481&lt;187.05,"Atrativo",IF(F481&gt;187.05,"Pouco atrativo","-")))</f>
      </c>
      <c r="H481" s="102">
        <f>IF(ISBLANK(F481),IF(E481=6,"$ 135.40","-"),IF(F481=187.05,"$ 135.40","-"))</f>
      </c>
      <c r="I481" s="103"/>
      <c r="J481" s="103"/>
      <c r="L481" s="104" t="s">
        <v>180</v>
      </c>
      <c r="M481" s="105" t="s">
        <v>181</v>
      </c>
      <c r="N481" s="106"/>
    </row>
    <row r="482">
      <c r="A482" s="101" t="s">
        <v>1349</v>
      </c>
      <c r="B482" s="100" t="s">
        <v>1677</v>
      </c>
      <c r="C482" s="100" t="s">
        <v>1350</v>
      </c>
      <c r="D482" s="102" t="n">
        <v>150.51</v>
      </c>
      <c r="E482" s="103" t="n">
        <v>22.0</v>
      </c>
      <c r="F482" s="103" t="n">
        <v>118.9</v>
      </c>
      <c r="G482" s="0">
        <f>IF(ISBLANK(F482),IF(E482&gt;22.0,"Atrativo",IF(E482&lt;22.0,"Pouco atrativo","-")),IF(F482&lt;118.9,"Atrativo",IF(F482&gt;118.9,"Pouco atrativo","-")))</f>
      </c>
      <c r="H482" s="102">
        <f>IF(ISBLANK(F482),IF(E482=22,"$ 90.28","-"),IF(F482=118.9,"$ 90.28","-"))</f>
      </c>
      <c r="I482" s="103"/>
      <c r="J482" s="103"/>
      <c r="L482" s="104" t="s">
        <v>180</v>
      </c>
      <c r="M482" s="105" t="s">
        <v>181</v>
      </c>
      <c r="N482" s="106"/>
    </row>
    <row r="483">
      <c r="A483" s="101" t="s">
        <v>1680</v>
      </c>
      <c r="B483" s="100" t="s">
        <v>1679</v>
      </c>
      <c r="C483" s="100" t="s">
        <v>1350</v>
      </c>
      <c r="D483" s="102" t="n">
        <v>149.24</v>
      </c>
      <c r="E483" s="103" t="n">
        <v>21.0</v>
      </c>
      <c r="F483" s="103" t="n">
        <v>117.9</v>
      </c>
      <c r="G483" s="0">
        <f>IF(ISBLANK(F483),IF(E483&gt;21.0,"Atrativo",IF(E483&lt;21.0,"Pouco atrativo","-")),IF(F483&lt;117.9,"Atrativo",IF(F483&gt;117.9,"Pouco atrativo","-")))</f>
      </c>
      <c r="H483" s="102">
        <f>IF(ISBLANK(F483),IF(E483=21,"$ 89.40","-"),IF(F483=117.9,"$ 89.40","-"))</f>
      </c>
      <c r="I483" s="103"/>
      <c r="J483" s="103"/>
      <c r="L483" s="104" t="s">
        <v>180</v>
      </c>
      <c r="M483" s="105" t="s">
        <v>181</v>
      </c>
      <c r="N483" s="106"/>
    </row>
    <row r="484">
      <c r="A484" s="101" t="s">
        <v>1683</v>
      </c>
      <c r="B484" s="100" t="s">
        <v>1682</v>
      </c>
      <c r="C484" s="100" t="s">
        <v>1357</v>
      </c>
      <c r="D484" s="102" t="n">
        <v>425.21</v>
      </c>
      <c r="E484" s="103" t="n">
        <v>21.0</v>
      </c>
      <c r="F484" s="103" t="n">
        <v>335.92</v>
      </c>
      <c r="G484" s="0">
        <f>IF(ISBLANK(F484),IF(E484&gt;21.0,"Atrativo",IF(E484&lt;21.0,"Pouco atrativo","-")),IF(F484&lt;335.92,"Atrativo",IF(F484&gt;335.92,"Pouco atrativo","-")))</f>
      </c>
      <c r="H484" s="102">
        <f>IF(ISBLANK(F484),IF(E484=21,"$ 242.42","-"),IF(F484=335.92,"$ 242.42","-"))</f>
      </c>
      <c r="I484" s="103"/>
      <c r="J484" s="103"/>
      <c r="L484" s="104" t="s">
        <v>180</v>
      </c>
      <c r="M484" s="105" t="s">
        <v>181</v>
      </c>
      <c r="N484" s="106"/>
    </row>
    <row r="485">
      <c r="A485" s="101" t="s">
        <v>1686</v>
      </c>
      <c r="B485" s="100" t="s">
        <v>1685</v>
      </c>
      <c r="C485" s="100" t="s">
        <v>1219</v>
      </c>
      <c r="D485" s="102" t="n">
        <v>599.0</v>
      </c>
      <c r="E485" s="103" t="n">
        <v>5.0</v>
      </c>
      <c r="F485" s="103" t="n">
        <v>569.05</v>
      </c>
      <c r="G485" s="107" t="s">
        <v>294</v>
      </c>
      <c r="H485" s="102">
        <f>IF(ISBLANK(F485),IF(E485=5,"$ 428.26","-"),IF(F485=569.05,"$ 428.26","-"))</f>
      </c>
      <c r="I485" s="103"/>
      <c r="J485" s="103"/>
      <c r="L485" s="104" t="s">
        <v>295</v>
      </c>
      <c r="M485" s="105" t="s">
        <v>181</v>
      </c>
      <c r="N485" s="101" t="s">
        <v>296</v>
      </c>
    </row>
    <row r="486">
      <c r="A486" s="101" t="s">
        <v>1689</v>
      </c>
      <c r="B486" s="100" t="s">
        <v>1688</v>
      </c>
      <c r="C486" s="100" t="s">
        <v>1690</v>
      </c>
      <c r="D486" s="102" t="n">
        <v>170.9</v>
      </c>
      <c r="E486" s="103" t="n">
        <v>5.0</v>
      </c>
      <c r="F486" s="103" t="n">
        <v>162.35</v>
      </c>
      <c r="G486" s="107" t="s">
        <v>294</v>
      </c>
      <c r="H486" s="102">
        <f>IF(ISBLANK(F486),IF(E486=5,"$ 123.02","-"),IF(F486=162.35,"$ 123.02","-"))</f>
      </c>
      <c r="I486" s="103"/>
      <c r="J486" s="103"/>
      <c r="L486" s="104" t="s">
        <v>295</v>
      </c>
      <c r="M486" s="105" t="s">
        <v>181</v>
      </c>
      <c r="N486" s="101" t="s">
        <v>296</v>
      </c>
    </row>
    <row r="487">
      <c r="A487" s="101" t="s">
        <v>762</v>
      </c>
      <c r="B487" s="100" t="s">
        <v>1692</v>
      </c>
      <c r="C487" s="100" t="s">
        <v>763</v>
      </c>
      <c r="D487" s="102" t="n">
        <v>351.89</v>
      </c>
      <c r="E487" s="103" t="n">
        <v>21.0</v>
      </c>
      <c r="F487" s="103" t="n">
        <v>277.99</v>
      </c>
      <c r="G487" s="0">
        <f>IF(ISBLANK(F487),IF(E487&gt;21.0,"Atrativo",IF(E487&lt;21.0,"Pouco atrativo","-")),IF(F487&lt;277.99,"Atrativo",IF(F487&gt;277.99,"Pouco atrativo","-")))</f>
      </c>
      <c r="H487" s="102">
        <f>IF(ISBLANK(F487),IF(E487=21,"$ 220.90","-"),IF(F487=277.99,"$ 220.90","-"))</f>
      </c>
      <c r="I487" s="103"/>
      <c r="J487" s="103"/>
      <c r="L487" s="104" t="s">
        <v>180</v>
      </c>
      <c r="M487" s="105" t="s">
        <v>181</v>
      </c>
      <c r="N487" s="106"/>
    </row>
    <row r="488">
      <c r="A488" s="101" t="s">
        <v>1247</v>
      </c>
      <c r="B488" s="100" t="s">
        <v>1694</v>
      </c>
      <c r="C488" s="100" t="s">
        <v>763</v>
      </c>
      <c r="D488" s="102" t="n">
        <v>337.85</v>
      </c>
      <c r="E488" s="103" t="n">
        <v>21.0</v>
      </c>
      <c r="F488" s="103" t="n">
        <v>266.9</v>
      </c>
      <c r="G488" s="0">
        <f>IF(ISBLANK(F488),IF(E488&gt;21.0,"Atrativo",IF(E488&lt;21.0,"Pouco atrativo","-")),IF(F488&lt;266.9,"Atrativo",IF(F488&gt;266.9,"Pouco atrativo","-")))</f>
      </c>
      <c r="H488" s="102">
        <f>IF(ISBLANK(F488),IF(E488=21,"$ 197.91","-"),IF(F488=266.9,"$ 197.91","-"))</f>
      </c>
      <c r="I488" s="103"/>
      <c r="J488" s="103"/>
      <c r="L488" s="104" t="s">
        <v>180</v>
      </c>
      <c r="M488" s="105" t="s">
        <v>181</v>
      </c>
      <c r="N488" s="106"/>
    </row>
    <row r="489">
      <c r="A489" s="101" t="s">
        <v>1697</v>
      </c>
      <c r="B489" s="100" t="s">
        <v>1696</v>
      </c>
      <c r="C489" s="100" t="s">
        <v>413</v>
      </c>
      <c r="D489" s="102" t="n">
        <v>131.9</v>
      </c>
      <c r="E489" s="103" t="n">
        <v>21.0</v>
      </c>
      <c r="F489" s="103" t="n">
        <v>104.2</v>
      </c>
      <c r="G489" s="0">
        <f>IF(ISBLANK(F489),IF(E489&gt;21.0,"Atrativo",IF(E489&lt;21.0,"Pouco atrativo","-")),IF(F489&lt;104.2,"Atrativo",IF(F489&gt;104.2,"Pouco atrativo","-")))</f>
      </c>
      <c r="H489" s="102">
        <f>IF(ISBLANK(F489),IF(E489=21,"$ 72.14","-"),IF(F489=104.2,"$ 72.14","-"))</f>
      </c>
      <c r="I489" s="103"/>
      <c r="J489" s="103"/>
      <c r="L489" s="104" t="s">
        <v>180</v>
      </c>
      <c r="M489" s="105" t="s">
        <v>181</v>
      </c>
      <c r="N489" s="106"/>
    </row>
    <row r="490">
      <c r="A490" s="101" t="s">
        <v>1218</v>
      </c>
      <c r="B490" s="100" t="s">
        <v>1699</v>
      </c>
      <c r="C490" s="100" t="s">
        <v>1219</v>
      </c>
      <c r="D490" s="102" t="n">
        <v>570.77</v>
      </c>
      <c r="E490" s="103" t="n">
        <v>21.0</v>
      </c>
      <c r="F490" s="103" t="n">
        <v>450.91</v>
      </c>
      <c r="G490" s="0">
        <f>IF(ISBLANK(F490),IF(E490&gt;21.0,"Atrativo",IF(E490&lt;21.0,"Pouco atrativo","-")),IF(F490&lt;450.91,"Atrativo",IF(F490&gt;450.91,"Pouco atrativo","-")))</f>
      </c>
      <c r="H490" s="102">
        <f>IF(ISBLANK(F490),IF(E490=21,"$ 348.75","-"),IF(F490=450.91,"$ 348.75","-"))</f>
      </c>
      <c r="I490" s="103"/>
      <c r="J490" s="103"/>
      <c r="L490" s="104" t="s">
        <v>180</v>
      </c>
      <c r="M490" s="105" t="s">
        <v>181</v>
      </c>
      <c r="N490" s="106"/>
    </row>
    <row r="491">
      <c r="A491" s="101" t="s">
        <v>1702</v>
      </c>
      <c r="B491" s="100" t="s">
        <v>1701</v>
      </c>
      <c r="C491" s="100" t="s">
        <v>653</v>
      </c>
      <c r="D491" s="102" t="n">
        <v>145.44</v>
      </c>
      <c r="E491" s="103" t="n">
        <v>21.0</v>
      </c>
      <c r="F491" s="103" t="n">
        <v>114.9</v>
      </c>
      <c r="G491" s="0">
        <f>IF(ISBLANK(F491),IF(E491&gt;21.0,"Atrativo",IF(E491&lt;21.0,"Pouco atrativo","-")),IF(F491&lt;114.9,"Atrativo",IF(F491&gt;114.9,"Pouco atrativo","-")))</f>
      </c>
      <c r="H491" s="102">
        <f>IF(ISBLANK(F491),IF(E491=21,"$ 86.76","-"),IF(F491=114.9,"$ 86.76","-"))</f>
      </c>
      <c r="I491" s="103"/>
      <c r="J491" s="103"/>
      <c r="L491" s="104" t="s">
        <v>180</v>
      </c>
      <c r="M491" s="105" t="s">
        <v>181</v>
      </c>
      <c r="N491" s="106"/>
    </row>
    <row r="492">
      <c r="A492" s="101" t="s">
        <v>1705</v>
      </c>
      <c r="B492" s="100" t="s">
        <v>1704</v>
      </c>
      <c r="C492" s="100" t="s">
        <v>1706</v>
      </c>
      <c r="D492" s="102" t="n">
        <v>26.9</v>
      </c>
      <c r="E492" s="103" t="n">
        <v>5.0</v>
      </c>
      <c r="F492" s="103" t="n">
        <v>25.55</v>
      </c>
      <c r="G492" s="107" t="s">
        <v>294</v>
      </c>
      <c r="H492" s="102">
        <f>IF(ISBLANK(F492),IF(E492=5,"$ 15.93","-"),IF(F492=25.55,"$ 15.93","-"))</f>
      </c>
      <c r="I492" s="103"/>
      <c r="J492" s="103"/>
      <c r="L492" s="104" t="s">
        <v>295</v>
      </c>
      <c r="M492" s="105" t="s">
        <v>181</v>
      </c>
      <c r="N492" s="101" t="s">
        <v>296</v>
      </c>
    </row>
    <row r="493">
      <c r="A493" s="101" t="s">
        <v>1709</v>
      </c>
      <c r="B493" s="100" t="s">
        <v>1708</v>
      </c>
      <c r="C493" s="100" t="s">
        <v>1710</v>
      </c>
      <c r="D493" s="102" t="n">
        <v>41.65</v>
      </c>
      <c r="E493" s="103" t="n">
        <v>22.0</v>
      </c>
      <c r="F493" s="103" t="n">
        <v>32.9</v>
      </c>
      <c r="G493" s="0">
        <f>IF(ISBLANK(F493),IF(E493&gt;22.0,"Atrativo",IF(E493&lt;22.0,"Pouco atrativo","-")),IF(F493&lt;32.9,"Atrativo",IF(F493&gt;32.9,"Pouco atrativo","-")))</f>
      </c>
      <c r="H493" s="102">
        <f>IF(ISBLANK(F493),IF(E493=22,"$ 22.57","-"),IF(F493=32.9,"$ 22.57","-"))</f>
      </c>
      <c r="I493" s="103"/>
      <c r="J493" s="103"/>
      <c r="L493" s="104" t="s">
        <v>180</v>
      </c>
      <c r="M493" s="105" t="s">
        <v>181</v>
      </c>
      <c r="N493" s="106"/>
    </row>
    <row r="494">
      <c r="A494" s="101" t="s">
        <v>1713</v>
      </c>
      <c r="B494" s="100" t="s">
        <v>1712</v>
      </c>
      <c r="C494" s="100" t="s">
        <v>1714</v>
      </c>
      <c r="D494" s="102" t="n">
        <v>25.9</v>
      </c>
      <c r="E494" s="103" t="n">
        <v>5.0</v>
      </c>
      <c r="F494" s="103" t="n">
        <v>24.6</v>
      </c>
      <c r="G494" s="107" t="s">
        <v>294</v>
      </c>
      <c r="H494" s="102">
        <f>IF(ISBLANK(F494),IF(E494=5,"$ 15.12","-"),IF(F494=24.6,"$ 15.12","-"))</f>
      </c>
      <c r="I494" s="103"/>
      <c r="J494" s="103"/>
      <c r="L494" s="104" t="s">
        <v>295</v>
      </c>
      <c r="M494" s="105" t="s">
        <v>181</v>
      </c>
      <c r="N494" s="101" t="s">
        <v>296</v>
      </c>
    </row>
    <row r="495">
      <c r="A495" s="101" t="s">
        <v>1717</v>
      </c>
      <c r="B495" s="100" t="s">
        <v>1716</v>
      </c>
      <c r="C495" s="100" t="s">
        <v>129</v>
      </c>
      <c r="D495" s="102" t="n">
        <v>210.1</v>
      </c>
      <c r="E495" s="103" t="n">
        <v>21.0</v>
      </c>
      <c r="F495" s="103" t="n">
        <v>165.98</v>
      </c>
      <c r="G495" s="0">
        <f>IF(ISBLANK(F495),IF(E495&gt;21.0,"Atrativo",IF(E495&lt;21.0,"Pouco atrativo","-")),IF(F495&lt;165.98,"Atrativo",IF(F495&gt;165.98,"Pouco atrativo","-")))</f>
      </c>
      <c r="H495" s="102">
        <f>IF(ISBLANK(F495),IF(E495=21,"$ 117.08","-"),IF(F495=165.98,"$ 117.08","-"))</f>
      </c>
      <c r="I495" s="103"/>
      <c r="J495" s="103"/>
      <c r="L495" s="104" t="s">
        <v>180</v>
      </c>
      <c r="M495" s="105" t="s">
        <v>181</v>
      </c>
      <c r="N495" s="106"/>
    </row>
    <row r="496">
      <c r="A496" s="101" t="s">
        <v>1720</v>
      </c>
      <c r="B496" s="100" t="s">
        <v>1719</v>
      </c>
      <c r="C496" s="100" t="s">
        <v>623</v>
      </c>
      <c r="D496" s="102" t="n">
        <v>392.28</v>
      </c>
      <c r="E496" s="103" t="n">
        <v>21.0</v>
      </c>
      <c r="F496" s="103" t="n">
        <v>309.9</v>
      </c>
      <c r="G496" s="0">
        <f>IF(ISBLANK(F496),IF(E496&gt;21.0,"Atrativo",IF(E496&lt;21.0,"Pouco atrativo","-")),IF(F496&lt;309.9,"Atrativo",IF(F496&gt;309.9,"Pouco atrativo","-")))</f>
      </c>
      <c r="H496" s="102">
        <f>IF(ISBLANK(F496),IF(E496=21,"$ 236.27","-"),IF(F496=309.9,"$ 236.27","-"))</f>
      </c>
      <c r="I496" s="103"/>
      <c r="J496" s="103"/>
      <c r="L496" s="104" t="s">
        <v>180</v>
      </c>
      <c r="M496" s="105" t="s">
        <v>181</v>
      </c>
      <c r="N496" s="106"/>
    </row>
    <row r="497">
      <c r="A497" s="101" t="s">
        <v>1723</v>
      </c>
      <c r="B497" s="100" t="s">
        <v>1722</v>
      </c>
      <c r="C497" s="100" t="s">
        <v>305</v>
      </c>
      <c r="D497" s="102" t="n">
        <v>144.18</v>
      </c>
      <c r="E497" s="103" t="n">
        <v>22.0</v>
      </c>
      <c r="F497" s="103" t="n">
        <v>113.9</v>
      </c>
      <c r="G497" s="0">
        <f>IF(ISBLANK(F497),IF(E497&gt;22.0,"Atrativo",IF(E497&lt;22.0,"Pouco atrativo","-")),IF(F497&lt;113.9,"Atrativo",IF(F497&gt;113.9,"Pouco atrativo","-")))</f>
      </c>
      <c r="H497" s="102">
        <f>IF(ISBLANK(F497),IF(E497=22,"$ 80.19","-"),IF(F497=113.9,"$ 80.19","-"))</f>
      </c>
      <c r="I497" s="103"/>
      <c r="J497" s="103"/>
      <c r="L497" s="104" t="s">
        <v>180</v>
      </c>
      <c r="M497" s="105" t="s">
        <v>181</v>
      </c>
      <c r="N497" s="106"/>
    </row>
    <row r="498">
      <c r="A498" s="101" t="s">
        <v>1726</v>
      </c>
      <c r="B498" s="100" t="s">
        <v>1725</v>
      </c>
      <c r="C498" s="100" t="s">
        <v>274</v>
      </c>
      <c r="D498" s="102" t="n">
        <v>250.51</v>
      </c>
      <c r="E498" s="103" t="n">
        <v>22.0</v>
      </c>
      <c r="F498" s="103" t="n">
        <v>197.9</v>
      </c>
      <c r="G498" s="0">
        <f>IF(ISBLANK(F498),IF(E498&gt;22.0,"Atrativo",IF(E498&lt;22.0,"Pouco atrativo","-")),IF(F498&lt;197.9,"Atrativo",IF(F498&gt;197.9,"Pouco atrativo","-")))</f>
      </c>
      <c r="H498" s="102">
        <f>IF(ISBLANK(F498),IF(E498=22,"$ 143.51","-"),IF(F498=197.9,"$ 143.51","-"))</f>
      </c>
      <c r="I498" s="103"/>
      <c r="J498" s="103"/>
      <c r="L498" s="104" t="s">
        <v>180</v>
      </c>
      <c r="M498" s="105" t="s">
        <v>181</v>
      </c>
      <c r="N498" s="106"/>
    </row>
    <row r="499">
      <c r="A499" s="101" t="s">
        <v>1729</v>
      </c>
      <c r="B499" s="100" t="s">
        <v>1728</v>
      </c>
      <c r="C499" s="100" t="s">
        <v>318</v>
      </c>
      <c r="D499" s="102" t="n">
        <v>354.31</v>
      </c>
      <c r="E499" s="103" t="n">
        <v>22.0</v>
      </c>
      <c r="F499" s="103" t="n">
        <v>279.9</v>
      </c>
      <c r="G499" s="0">
        <f>IF(ISBLANK(F499),IF(E499&gt;22.0,"Atrativo",IF(E499&lt;22.0,"Pouco atrativo","-")),IF(F499&lt;279.9,"Atrativo",IF(F499&gt;279.9,"Pouco atrativo","-")))</f>
      </c>
      <c r="H499" s="102">
        <f>IF(ISBLANK(F499),IF(E499=22,"$ 223.76","-"),IF(F499=279.9,"$ 223.76","-"))</f>
      </c>
      <c r="I499" s="103"/>
      <c r="J499" s="103"/>
      <c r="L499" s="104" t="s">
        <v>180</v>
      </c>
      <c r="M499" s="105" t="s">
        <v>181</v>
      </c>
      <c r="N499" s="106"/>
    </row>
    <row r="500">
      <c r="A500" s="101" t="s">
        <v>1732</v>
      </c>
      <c r="B500" s="100" t="s">
        <v>1731</v>
      </c>
      <c r="C500" s="100" t="s">
        <v>886</v>
      </c>
      <c r="D500" s="102" t="n">
        <v>330.26</v>
      </c>
      <c r="E500" s="103" t="n">
        <v>21.0</v>
      </c>
      <c r="F500" s="103" t="n">
        <v>260.91</v>
      </c>
      <c r="G500" s="0">
        <f>IF(ISBLANK(F500),IF(E500&gt;21.0,"Atrativo",IF(E500&lt;21.0,"Pouco atrativo","-")),IF(F500&lt;260.91,"Atrativo",IF(F500&gt;260.91,"Pouco atrativo","-")))</f>
      </c>
      <c r="H500" s="102">
        <f>IF(ISBLANK(F500),IF(E500=21,"$ 207.05","-"),IF(F500=260.91,"$ 207.05","-"))</f>
      </c>
      <c r="I500" s="103"/>
      <c r="J500" s="103"/>
      <c r="L500" s="104" t="s">
        <v>180</v>
      </c>
      <c r="M500" s="105" t="s">
        <v>181</v>
      </c>
      <c r="N500" s="106"/>
    </row>
    <row r="501">
      <c r="A501" s="101" t="s">
        <v>1735</v>
      </c>
      <c r="B501" s="100" t="s">
        <v>1734</v>
      </c>
      <c r="C501" s="100" t="s">
        <v>353</v>
      </c>
      <c r="D501" s="102" t="n">
        <v>613.8</v>
      </c>
      <c r="E501" s="103" t="n">
        <v>21.0</v>
      </c>
      <c r="F501" s="103" t="n">
        <v>484.9</v>
      </c>
      <c r="G501" s="0">
        <f>IF(ISBLANK(F501),IF(E501&gt;21.0,"Atrativo",IF(E501&lt;21.0,"Pouco atrativo","-")),IF(F501&lt;484.9,"Atrativo",IF(F501&gt;484.9,"Pouco atrativo","-")))</f>
      </c>
      <c r="H501" s="102">
        <f>IF(ISBLANK(F501),IF(E501=21,"$ 403.06","-"),IF(F501=484.9,"$ 403.06","-"))</f>
      </c>
      <c r="I501" s="103"/>
      <c r="J501" s="103"/>
      <c r="L501" s="104" t="s">
        <v>180</v>
      </c>
      <c r="M501" s="105" t="s">
        <v>181</v>
      </c>
      <c r="N501" s="106"/>
    </row>
    <row r="502">
      <c r="A502" s="101" t="s">
        <v>1738</v>
      </c>
      <c r="B502" s="100" t="s">
        <v>1737</v>
      </c>
      <c r="C502" s="100" t="s">
        <v>1187</v>
      </c>
      <c r="D502" s="102" t="n">
        <v>116.32</v>
      </c>
      <c r="E502" s="103" t="n">
        <v>22.0</v>
      </c>
      <c r="F502" s="103" t="n">
        <v>91.89</v>
      </c>
      <c r="G502" s="0">
        <f>IF(ISBLANK(F502),IF(E502&gt;22.0,"Atrativo",IF(E502&lt;22.0,"Pouco atrativo","-")),IF(F502&lt;91.89,"Atrativo",IF(F502&gt;91.89,"Pouco atrativo","-")))</f>
      </c>
      <c r="H502" s="102">
        <f>IF(ISBLANK(F502),IF(E502=22,"$ 68.51","-"),IF(F502=91.89,"$ 68.51","-"))</f>
      </c>
      <c r="I502" s="103"/>
      <c r="J502" s="103"/>
      <c r="L502" s="104" t="s">
        <v>180</v>
      </c>
      <c r="M502" s="105" t="s">
        <v>181</v>
      </c>
      <c r="N502" s="106"/>
    </row>
    <row r="503">
      <c r="A503" s="101" t="s">
        <v>1741</v>
      </c>
      <c r="B503" s="100" t="s">
        <v>1740</v>
      </c>
      <c r="C503" s="100" t="s">
        <v>427</v>
      </c>
      <c r="D503" s="102" t="n">
        <v>116.33</v>
      </c>
      <c r="E503" s="103" t="n">
        <v>21.0</v>
      </c>
      <c r="F503" s="103" t="n">
        <v>91.9</v>
      </c>
      <c r="G503" s="0">
        <f>IF(ISBLANK(F503),IF(E503&gt;21.0,"Atrativo",IF(E503&lt;21.0,"Pouco atrativo","-")),IF(F503&lt;91.9,"Atrativo",IF(F503&gt;91.9,"Pouco atrativo","-")))</f>
      </c>
      <c r="H503" s="102">
        <f>IF(ISBLANK(F503),IF(E503=21,"$ 68.52","-"),IF(F503=91.9,"$ 68.52","-"))</f>
      </c>
      <c r="I503" s="103"/>
      <c r="J503" s="103"/>
      <c r="L503" s="104" t="s">
        <v>180</v>
      </c>
      <c r="M503" s="105" t="s">
        <v>181</v>
      </c>
      <c r="N503" s="106"/>
    </row>
    <row r="504">
      <c r="A504" s="101" t="s">
        <v>1744</v>
      </c>
      <c r="B504" s="100" t="s">
        <v>1743</v>
      </c>
      <c r="C504" s="100" t="s">
        <v>1049</v>
      </c>
      <c r="D504" s="102" t="n">
        <v>201.14</v>
      </c>
      <c r="E504" s="103" t="n">
        <v>21.0</v>
      </c>
      <c r="F504" s="103" t="n">
        <v>158.9</v>
      </c>
      <c r="G504" s="0">
        <f>IF(ISBLANK(F504),IF(E504&gt;21.0,"Atrativo",IF(E504&lt;21.0,"Pouco atrativo","-")),IF(F504&lt;158.9,"Atrativo",IF(F504&gt;158.9,"Pouco atrativo","-")))</f>
      </c>
      <c r="H504" s="102">
        <f>IF(ISBLANK(F504),IF(E504=21,"$ 113.44","-"),IF(F504=158.9,"$ 113.44","-"))</f>
      </c>
      <c r="I504" s="103"/>
      <c r="J504" s="103"/>
      <c r="L504" s="104" t="s">
        <v>180</v>
      </c>
      <c r="M504" s="105" t="s">
        <v>181</v>
      </c>
      <c r="N504" s="106"/>
    </row>
    <row r="505">
      <c r="A505" s="101" t="s">
        <v>1747</v>
      </c>
      <c r="B505" s="100" t="s">
        <v>1746</v>
      </c>
      <c r="C505" s="100" t="s">
        <v>1049</v>
      </c>
      <c r="D505" s="102" t="n">
        <v>184.8</v>
      </c>
      <c r="E505" s="103" t="n">
        <v>22.0</v>
      </c>
      <c r="F505" s="103" t="n">
        <v>145.99</v>
      </c>
      <c r="G505" s="0">
        <f>IF(ISBLANK(F505),IF(E505&gt;22.0,"Atrativo",IF(E505&lt;22.0,"Pouco atrativo","-")),IF(F505&lt;145.99,"Atrativo",IF(F505&gt;145.99,"Pouco atrativo","-")))</f>
      </c>
      <c r="H505" s="102">
        <f>IF(ISBLANK(F505),IF(E505=22,"$ 110.02","-"),IF(F505=145.99,"$ 110.02","-"))</f>
      </c>
      <c r="I505" s="103"/>
      <c r="J505" s="103"/>
      <c r="L505" s="104" t="s">
        <v>180</v>
      </c>
      <c r="M505" s="105" t="s">
        <v>181</v>
      </c>
      <c r="N505" s="106"/>
    </row>
    <row r="506">
      <c r="A506" s="101" t="s">
        <v>1750</v>
      </c>
      <c r="B506" s="100" t="s">
        <v>1749</v>
      </c>
      <c r="C506" s="100" t="s">
        <v>536</v>
      </c>
      <c r="D506" s="102" t="n">
        <v>237.85</v>
      </c>
      <c r="E506" s="103" t="n">
        <v>26.0</v>
      </c>
      <c r="F506" s="103" t="n">
        <v>177.9</v>
      </c>
      <c r="G506" s="0">
        <f>IF(ISBLANK(F506),IF(E506&gt;26.0,"Atrativo",IF(E506&lt;26.0,"Pouco atrativo","-")),IF(F506&lt;177.9,"Atrativo",IF(F506&gt;177.9,"Pouco atrativo","-")))</f>
      </c>
      <c r="H506" s="102">
        <f>IF(ISBLANK(F506),IF(E506=26,"$ 127.81","-"),IF(F506=177.9,"$ 127.81","-"))</f>
      </c>
      <c r="I506" s="103"/>
      <c r="J506" s="103"/>
      <c r="L506" s="104" t="s">
        <v>180</v>
      </c>
      <c r="M506" s="105" t="s">
        <v>181</v>
      </c>
      <c r="N506" s="106"/>
    </row>
    <row r="507">
      <c r="A507" s="101" t="s">
        <v>1753</v>
      </c>
      <c r="B507" s="100" t="s">
        <v>1752</v>
      </c>
      <c r="C507" s="100" t="s">
        <v>483</v>
      </c>
      <c r="D507" s="102" t="n">
        <v>35.9</v>
      </c>
      <c r="E507" s="103" t="n">
        <v>5.0</v>
      </c>
      <c r="F507" s="103" t="n">
        <v>34.1</v>
      </c>
      <c r="G507" s="107" t="s">
        <v>294</v>
      </c>
      <c r="H507" s="102">
        <f>IF(ISBLANK(F507),IF(E507=5,"$ 23.16","-"),IF(F507=34.1,"$ 23.16","-"))</f>
      </c>
      <c r="I507" s="103"/>
      <c r="J507" s="103"/>
      <c r="L507" s="104" t="s">
        <v>295</v>
      </c>
      <c r="M507" s="105" t="s">
        <v>181</v>
      </c>
      <c r="N507" s="101" t="s">
        <v>296</v>
      </c>
    </row>
    <row r="508">
      <c r="A508" s="101" t="s">
        <v>1756</v>
      </c>
      <c r="B508" s="100" t="s">
        <v>1755</v>
      </c>
      <c r="C508" s="100" t="s">
        <v>245</v>
      </c>
      <c r="D508" s="102" t="n">
        <v>778.36</v>
      </c>
      <c r="E508" s="103" t="n">
        <v>21.0</v>
      </c>
      <c r="F508" s="103" t="n">
        <v>614.9</v>
      </c>
      <c r="G508" s="0">
        <f>IF(ISBLANK(F508),IF(E508&gt;21.0,"Atrativo",IF(E508&lt;21.0,"Pouco atrativo","-")),IF(F508&lt;614.9,"Atrativo",IF(F508&gt;614.9,"Pouco atrativo","-")))</f>
      </c>
      <c r="H508" s="102">
        <f>IF(ISBLANK(F508),IF(E508=21,"$ 486.72","-"),IF(F508=614.9,"$ 486.72","-"))</f>
      </c>
      <c r="I508" s="103"/>
      <c r="J508" s="103"/>
      <c r="L508" s="104" t="s">
        <v>180</v>
      </c>
      <c r="M508" s="105" t="s">
        <v>181</v>
      </c>
      <c r="N508" s="106"/>
    </row>
    <row r="509">
      <c r="A509" s="101" t="s">
        <v>1759</v>
      </c>
      <c r="B509" s="100" t="s">
        <v>1758</v>
      </c>
      <c r="C509" s="100" t="s">
        <v>574</v>
      </c>
      <c r="D509" s="102" t="n">
        <v>96.08</v>
      </c>
      <c r="E509" s="103" t="n">
        <v>22.0</v>
      </c>
      <c r="F509" s="103" t="n">
        <v>75.9</v>
      </c>
      <c r="G509" s="0">
        <f>IF(ISBLANK(F509),IF(E509&gt;22.0,"Atrativo",IF(E509&lt;22.0,"Pouco atrativo","-")),IF(F509&lt;75.9,"Atrativo",IF(F509&gt;75.9,"Pouco atrativo","-")))</f>
      </c>
      <c r="H509" s="102">
        <f>IF(ISBLANK(F509),IF(E509=22,"$ 59.04","-"),IF(F509=75.9,"$ 59.04","-"))</f>
      </c>
      <c r="I509" s="103"/>
      <c r="J509" s="103"/>
      <c r="L509" s="104" t="s">
        <v>180</v>
      </c>
      <c r="M509" s="105" t="s">
        <v>181</v>
      </c>
      <c r="N509" s="106"/>
    </row>
    <row r="510">
      <c r="A510" s="101" t="s">
        <v>1761</v>
      </c>
      <c r="B510" s="100" t="s">
        <v>1760</v>
      </c>
      <c r="C510" s="100" t="s">
        <v>574</v>
      </c>
      <c r="D510" s="102" t="n">
        <v>77.09</v>
      </c>
      <c r="E510" s="103" t="n">
        <v>22.0</v>
      </c>
      <c r="F510" s="103" t="n">
        <v>60.9</v>
      </c>
      <c r="G510" s="0">
        <f>IF(ISBLANK(F510),IF(E510&gt;22.0,"Atrativo",IF(E510&lt;22.0,"Pouco atrativo","-")),IF(F510&lt;60.9,"Atrativo",IF(F510&gt;60.9,"Pouco atrativo","-")))</f>
      </c>
      <c r="H510" s="102">
        <f>IF(ISBLANK(F510),IF(E510=22,"$ 45.84","-"),IF(F510=60.9,"$ 45.84","-"))</f>
      </c>
      <c r="I510" s="103"/>
      <c r="J510" s="103"/>
      <c r="L510" s="104" t="s">
        <v>180</v>
      </c>
      <c r="M510" s="105" t="s">
        <v>181</v>
      </c>
      <c r="N510" s="106"/>
    </row>
    <row r="511">
      <c r="A511" s="101" t="s">
        <v>1763</v>
      </c>
      <c r="B511" s="100" t="s">
        <v>1762</v>
      </c>
      <c r="C511" s="100" t="s">
        <v>599</v>
      </c>
      <c r="D511" s="102" t="n">
        <v>160.13</v>
      </c>
      <c r="E511" s="103" t="n">
        <v>22.0</v>
      </c>
      <c r="F511" s="103" t="n">
        <v>126.5</v>
      </c>
      <c r="G511" s="0">
        <f>IF(ISBLANK(F511),IF(E511&gt;22.0,"Atrativo",IF(E511&lt;22.0,"Pouco atrativo","-")),IF(F511&lt;126.5,"Atrativo",IF(F511&gt;126.5,"Pouco atrativo","-")))</f>
      </c>
      <c r="H511" s="102">
        <f>IF(ISBLANK(F511),IF(E511=22,"$ 87.35","-"),IF(F511=126.5,"$ 87.35","-"))</f>
      </c>
      <c r="I511" s="103"/>
      <c r="J511" s="103"/>
      <c r="L511" s="104" t="s">
        <v>180</v>
      </c>
      <c r="M511" s="105" t="s">
        <v>181</v>
      </c>
      <c r="N511" s="106"/>
    </row>
    <row r="512">
      <c r="A512" s="101" t="s">
        <v>1765</v>
      </c>
      <c r="B512" s="100" t="s">
        <v>1764</v>
      </c>
      <c r="C512" s="100" t="s">
        <v>599</v>
      </c>
      <c r="D512" s="102" t="n">
        <v>207.47</v>
      </c>
      <c r="E512" s="103" t="n">
        <v>21.0</v>
      </c>
      <c r="F512" s="103" t="n">
        <v>163.9</v>
      </c>
      <c r="G512" s="0">
        <f>IF(ISBLANK(F512),IF(E512&gt;21.0,"Atrativo",IF(E512&lt;21.0,"Pouco atrativo","-")),IF(F512&lt;163.9,"Atrativo",IF(F512&gt;163.9,"Pouco atrativo","-")))</f>
      </c>
      <c r="H512" s="102">
        <f>IF(ISBLANK(F512),IF(E512=21,"$ 124.38","-"),IF(F512=163.9,"$ 124.38","-"))</f>
      </c>
      <c r="I512" s="103"/>
      <c r="J512" s="103"/>
      <c r="L512" s="104" t="s">
        <v>180</v>
      </c>
      <c r="M512" s="105" t="s">
        <v>181</v>
      </c>
      <c r="N512" s="106"/>
    </row>
    <row r="513">
      <c r="A513" s="101" t="s">
        <v>602</v>
      </c>
      <c r="B513" s="100" t="s">
        <v>1767</v>
      </c>
      <c r="C513" s="100" t="s">
        <v>603</v>
      </c>
      <c r="D513" s="102" t="n">
        <v>147.98</v>
      </c>
      <c r="E513" s="103" t="n">
        <v>22.0</v>
      </c>
      <c r="F513" s="103" t="n">
        <v>116.9</v>
      </c>
      <c r="G513" s="0">
        <f>IF(ISBLANK(F513),IF(E513&gt;22.0,"Atrativo",IF(E513&lt;22.0,"Pouco atrativo","-")),IF(F513&lt;116.9,"Atrativo",IF(F513&gt;116.9,"Pouco atrativo","-")))</f>
      </c>
      <c r="H513" s="102">
        <f>IF(ISBLANK(F513),IF(E513=22,"$ 82.68","-"),IF(F513=116.9,"$ 82.68","-"))</f>
      </c>
      <c r="I513" s="103"/>
      <c r="J513" s="103"/>
      <c r="L513" s="104" t="s">
        <v>180</v>
      </c>
      <c r="M513" s="105" t="s">
        <v>181</v>
      </c>
      <c r="N513" s="106"/>
    </row>
    <row r="514">
      <c r="A514" s="101" t="s">
        <v>1770</v>
      </c>
      <c r="B514" s="100" t="s">
        <v>1769</v>
      </c>
      <c r="C514" s="100" t="s">
        <v>743</v>
      </c>
      <c r="D514" s="102" t="n">
        <v>288.48</v>
      </c>
      <c r="E514" s="103" t="n">
        <v>21.0</v>
      </c>
      <c r="F514" s="103" t="n">
        <v>227.9</v>
      </c>
      <c r="G514" s="0">
        <f>IF(ISBLANK(F514),IF(E514&gt;21.0,"Atrativo",IF(E514&lt;21.0,"Pouco atrativo","-")),IF(F514&lt;227.9,"Atrativo",IF(F514&gt;227.9,"Pouco atrativo","-")))</f>
      </c>
      <c r="H514" s="102">
        <f>IF(ISBLANK(F514),IF(E514=21,"$ 179.60","-"),IF(F514=227.9,"$ 179.60","-"))</f>
      </c>
      <c r="I514" s="103"/>
      <c r="J514" s="103"/>
      <c r="L514" s="104" t="s">
        <v>180</v>
      </c>
      <c r="M514" s="105" t="s">
        <v>181</v>
      </c>
      <c r="N514" s="106"/>
    </row>
    <row r="515">
      <c r="A515" s="101" t="s">
        <v>1773</v>
      </c>
      <c r="B515" s="100" t="s">
        <v>1772</v>
      </c>
      <c r="C515" s="100" t="s">
        <v>785</v>
      </c>
      <c r="D515" s="102" t="n">
        <v>154.31</v>
      </c>
      <c r="E515" s="103" t="n">
        <v>22.0</v>
      </c>
      <c r="F515" s="103" t="n">
        <v>121.9</v>
      </c>
      <c r="G515" s="0">
        <f>IF(ISBLANK(F515),IF(E515&gt;22.0,"Atrativo",IF(E515&lt;22.0,"Pouco atrativo","-")),IF(F515&lt;121.9,"Atrativo",IF(F515&gt;121.9,"Pouco atrativo","-")))</f>
      </c>
      <c r="H515" s="102">
        <f>IF(ISBLANK(F515),IF(E515=22,"$ 89.62","-"),IF(F515=121.9,"$ 89.62","-"))</f>
      </c>
      <c r="I515" s="103"/>
      <c r="J515" s="103"/>
      <c r="L515" s="104" t="s">
        <v>180</v>
      </c>
      <c r="M515" s="105" t="s">
        <v>181</v>
      </c>
      <c r="N515" s="106"/>
    </row>
    <row r="516">
      <c r="A516" s="101" t="s">
        <v>788</v>
      </c>
      <c r="B516" s="100" t="s">
        <v>1775</v>
      </c>
      <c r="C516" s="100" t="s">
        <v>785</v>
      </c>
      <c r="D516" s="102" t="n">
        <v>115.06</v>
      </c>
      <c r="E516" s="103" t="n">
        <v>21.0</v>
      </c>
      <c r="F516" s="103" t="n">
        <v>90.9</v>
      </c>
      <c r="G516" s="0">
        <f>IF(ISBLANK(F516),IF(E516&gt;21.0,"Atrativo",IF(E516&lt;21.0,"Pouco atrativo","-")),IF(F516&lt;90.9,"Atrativo",IF(F516&gt;90.9,"Pouco atrativo","-")))</f>
      </c>
      <c r="H516" s="102">
        <f>IF(ISBLANK(F516),IF(E516=21,"$ 63.10","-"),IF(F516=90.9,"$ 63.10","-"))</f>
      </c>
      <c r="I516" s="103"/>
      <c r="J516" s="103"/>
      <c r="L516" s="104" t="s">
        <v>180</v>
      </c>
      <c r="M516" s="105" t="s">
        <v>181</v>
      </c>
      <c r="N516" s="106"/>
    </row>
    <row r="517">
      <c r="A517" s="101" t="s">
        <v>652</v>
      </c>
      <c r="B517" s="100" t="s">
        <v>1777</v>
      </c>
      <c r="C517" s="100" t="s">
        <v>653</v>
      </c>
      <c r="D517" s="102" t="n">
        <v>112.9</v>
      </c>
      <c r="E517" s="103" t="n">
        <v>7.0</v>
      </c>
      <c r="F517" s="103" t="n">
        <v>104.99</v>
      </c>
      <c r="G517" s="107" t="s">
        <v>294</v>
      </c>
      <c r="H517" s="102">
        <f>IF(ISBLANK(F517),IF(E517=7,"$ 78.78","-"),IF(F517=104.99,"$ 78.78","-"))</f>
      </c>
      <c r="I517" s="103"/>
      <c r="J517" s="103"/>
      <c r="L517" s="104" t="s">
        <v>295</v>
      </c>
      <c r="M517" s="105" t="s">
        <v>181</v>
      </c>
      <c r="N517" s="101" t="s">
        <v>296</v>
      </c>
    </row>
    <row r="518">
      <c r="A518" s="101" t="s">
        <v>1780</v>
      </c>
      <c r="B518" s="100" t="s">
        <v>1779</v>
      </c>
      <c r="C518" s="100" t="s">
        <v>1608</v>
      </c>
      <c r="D518" s="102" t="n">
        <v>223.93</v>
      </c>
      <c r="E518" s="103" t="n">
        <v>22.0</v>
      </c>
      <c r="F518" s="103" t="n">
        <v>176.9</v>
      </c>
      <c r="G518" s="0">
        <f>IF(ISBLANK(F518),IF(E518&gt;22.0,"Atrativo",IF(E518&lt;22.0,"Pouco atrativo","-")),IF(F518&lt;176.9,"Atrativo",IF(F518&gt;176.9,"Pouco atrativo","-")))</f>
      </c>
      <c r="H518" s="102">
        <f>IF(ISBLANK(F518),IF(E518=22,"$ 134.92","-"),IF(F518=176.9,"$ 134.92","-"))</f>
      </c>
      <c r="I518" s="103"/>
      <c r="J518" s="103"/>
      <c r="L518" s="104" t="s">
        <v>180</v>
      </c>
      <c r="M518" s="105" t="s">
        <v>181</v>
      </c>
      <c r="N518" s="106"/>
    </row>
    <row r="519">
      <c r="A519" s="101" t="s">
        <v>1783</v>
      </c>
      <c r="B519" s="100" t="s">
        <v>1782</v>
      </c>
      <c r="C519" s="100" t="s">
        <v>231</v>
      </c>
      <c r="D519" s="102" t="n">
        <v>164.43</v>
      </c>
      <c r="E519" s="103" t="n">
        <v>21.0</v>
      </c>
      <c r="F519" s="103" t="n">
        <v>129.9</v>
      </c>
      <c r="G519" s="0">
        <f>IF(ISBLANK(F519),IF(E519&gt;21.0,"Atrativo",IF(E519&lt;21.0,"Pouco atrativo","-")),IF(F519&lt;129.9,"Atrativo",IF(F519&gt;129.9,"Pouco atrativo","-")))</f>
      </c>
      <c r="H519" s="102">
        <f>IF(ISBLANK(F519),IF(E519=21,"$ 97.86","-"),IF(F519=129.9,"$ 97.86","-"))</f>
      </c>
      <c r="I519" s="103"/>
      <c r="J519" s="103"/>
      <c r="L519" s="104" t="s">
        <v>180</v>
      </c>
      <c r="M519" s="105" t="s">
        <v>181</v>
      </c>
      <c r="N519" s="106"/>
    </row>
    <row r="520">
      <c r="A520" s="101" t="s">
        <v>1786</v>
      </c>
      <c r="B520" s="100" t="s">
        <v>1785</v>
      </c>
      <c r="C520" s="100" t="s">
        <v>698</v>
      </c>
      <c r="D520" s="102" t="n">
        <v>98.61</v>
      </c>
      <c r="E520" s="103" t="n">
        <v>22.0</v>
      </c>
      <c r="F520" s="103" t="n">
        <v>77.9</v>
      </c>
      <c r="G520" s="0">
        <f>IF(ISBLANK(F520),IF(E520&gt;22.0,"Atrativo",IF(E520&lt;22.0,"Pouco atrativo","-")),IF(F520&lt;77.9,"Atrativo",IF(F520&gt;77.9,"Pouco atrativo","-")))</f>
      </c>
      <c r="H520" s="102">
        <f>IF(ISBLANK(F520),IF(E520=22,"$ 56.91","-"),IF(F520=77.9,"$ 56.91","-"))</f>
      </c>
      <c r="I520" s="103"/>
      <c r="J520" s="103"/>
      <c r="L520" s="104" t="s">
        <v>180</v>
      </c>
      <c r="M520" s="105" t="s">
        <v>181</v>
      </c>
      <c r="N520" s="106"/>
    </row>
    <row r="521">
      <c r="A521" s="101" t="s">
        <v>1789</v>
      </c>
      <c r="B521" s="100" t="s">
        <v>1788</v>
      </c>
      <c r="C521" s="100" t="s">
        <v>1790</v>
      </c>
      <c r="D521" s="102" t="n">
        <v>487.22</v>
      </c>
      <c r="E521" s="103" t="n">
        <v>21.0</v>
      </c>
      <c r="F521" s="103" t="n">
        <v>384.9</v>
      </c>
      <c r="G521" s="0">
        <f>IF(ISBLANK(F521),IF(E521&gt;21.0,"Atrativo",IF(E521&lt;21.0,"Pouco atrativo","-")),IF(F521&lt;384.9,"Atrativo",IF(F521&gt;384.9,"Pouco atrativo","-")))</f>
      </c>
      <c r="H521" s="102">
        <f>IF(ISBLANK(F521),IF(E521=21,"$ 298.52","-"),IF(F521=384.9,"$ 298.52","-"))</f>
      </c>
      <c r="I521" s="103"/>
      <c r="J521" s="103"/>
      <c r="L521" s="104" t="s">
        <v>180</v>
      </c>
      <c r="M521" s="105" t="s">
        <v>181</v>
      </c>
      <c r="N521" s="106"/>
    </row>
    <row r="522">
      <c r="A522" s="101" t="s">
        <v>1793</v>
      </c>
      <c r="B522" s="100" t="s">
        <v>1792</v>
      </c>
      <c r="C522" s="100" t="s">
        <v>557</v>
      </c>
      <c r="D522" s="102" t="n">
        <v>191.01</v>
      </c>
      <c r="E522" s="103" t="n">
        <v>21.0</v>
      </c>
      <c r="F522" s="103" t="n">
        <v>150.9</v>
      </c>
      <c r="G522" s="0">
        <f>IF(ISBLANK(F522),IF(E522&gt;21.0,"Atrativo",IF(E522&lt;21.0,"Pouco atrativo","-")),IF(F522&lt;150.9,"Atrativo",IF(F522&gt;150.9,"Pouco atrativo","-")))</f>
      </c>
      <c r="H522" s="102">
        <f>IF(ISBLANK(F522),IF(E522=21,"$ 106.80","-"),IF(F522=150.9,"$ 106.80","-"))</f>
      </c>
      <c r="I522" s="103"/>
      <c r="J522" s="103"/>
      <c r="L522" s="104" t="s">
        <v>180</v>
      </c>
      <c r="M522" s="105" t="s">
        <v>181</v>
      </c>
      <c r="N522" s="106"/>
    </row>
    <row r="523">
      <c r="A523" s="101" t="s">
        <v>1796</v>
      </c>
      <c r="B523" s="100" t="s">
        <v>1795</v>
      </c>
      <c r="C523" s="100" t="s">
        <v>1244</v>
      </c>
      <c r="D523" s="102" t="n">
        <v>853.05</v>
      </c>
      <c r="E523" s="103" t="n">
        <v>5.0</v>
      </c>
      <c r="F523" s="103" t="n">
        <v>810.39</v>
      </c>
      <c r="G523" s="107" t="s">
        <v>294</v>
      </c>
      <c r="H523" s="102">
        <f>IF(ISBLANK(F523),IF(E523=5,"$ 647.97","-"),IF(F523=810.39,"$ 647.97","-"))</f>
      </c>
      <c r="I523" s="103"/>
      <c r="J523" s="103"/>
      <c r="L523" s="104" t="s">
        <v>295</v>
      </c>
      <c r="M523" s="105" t="s">
        <v>181</v>
      </c>
      <c r="N523" s="101" t="s">
        <v>296</v>
      </c>
    </row>
    <row r="524">
      <c r="A524" s="101" t="s">
        <v>1799</v>
      </c>
      <c r="B524" s="100" t="s">
        <v>1798</v>
      </c>
      <c r="C524" s="100" t="s">
        <v>413</v>
      </c>
      <c r="D524" s="102" t="n">
        <v>131.9</v>
      </c>
      <c r="E524" s="103" t="n">
        <v>21.0</v>
      </c>
      <c r="F524" s="103" t="n">
        <v>104.2</v>
      </c>
      <c r="G524" s="0">
        <f>IF(ISBLANK(F524),IF(E524&gt;21.0,"Atrativo",IF(E524&lt;21.0,"Pouco atrativo","-")),IF(F524&lt;104.2,"Atrativo",IF(F524&gt;104.2,"Pouco atrativo","-")))</f>
      </c>
      <c r="H524" s="102">
        <f>IF(ISBLANK(F524),IF(E524=21,"$ 71.04","-"),IF(F524=104.2,"$ 71.04","-"))</f>
      </c>
      <c r="I524" s="103"/>
      <c r="J524" s="103"/>
      <c r="L524" s="104" t="s">
        <v>180</v>
      </c>
      <c r="M524" s="105" t="s">
        <v>181</v>
      </c>
      <c r="N524" s="106"/>
    </row>
    <row r="525">
      <c r="A525" s="101" t="s">
        <v>1802</v>
      </c>
      <c r="B525" s="100" t="s">
        <v>1801</v>
      </c>
      <c r="C525" s="100" t="s">
        <v>129</v>
      </c>
      <c r="D525" s="102" t="n">
        <v>195.98</v>
      </c>
      <c r="E525" s="103" t="n">
        <v>22.0</v>
      </c>
      <c r="F525" s="103" t="n">
        <v>154.82</v>
      </c>
      <c r="G525" s="0">
        <f>IF(ISBLANK(F525),IF(E525&gt;22.0,"Atrativo",IF(E525&lt;22.0,"Pouco atrativo","-")),IF(F525&lt;154.82,"Atrativo",IF(F525&gt;154.82,"Pouco atrativo","-")))</f>
      </c>
      <c r="H525" s="102">
        <f>IF(ISBLANK(F525),IF(E525=22,"$ 107.75","-"),IF(F525=154.82,"$ 107.75","-"))</f>
      </c>
      <c r="I525" s="103"/>
      <c r="J525" s="103"/>
      <c r="L525" s="104" t="s">
        <v>180</v>
      </c>
      <c r="M525" s="105" t="s">
        <v>181</v>
      </c>
      <c r="N525" s="106"/>
    </row>
    <row r="526">
      <c r="A526" s="101" t="s">
        <v>1472</v>
      </c>
      <c r="B526" s="100" t="s">
        <v>1804</v>
      </c>
      <c r="C526" s="100" t="s">
        <v>129</v>
      </c>
      <c r="D526" s="102" t="n">
        <v>249.24</v>
      </c>
      <c r="E526" s="103" t="n">
        <v>21.0</v>
      </c>
      <c r="F526" s="103" t="n">
        <v>196.9</v>
      </c>
      <c r="G526" s="0">
        <f>IF(ISBLANK(F526),IF(E526&gt;21.0,"Atrativo",IF(E526&lt;21.0,"Pouco atrativo","-")),IF(F526&lt;196.9,"Atrativo",IF(F526&gt;196.9,"Pouco atrativo","-")))</f>
      </c>
      <c r="H526" s="102">
        <f>IF(ISBLANK(F526),IF(E526=21,"$ 144.98","-"),IF(F526=196.9,"$ 144.98","-"))</f>
      </c>
      <c r="I526" s="103"/>
      <c r="J526" s="103"/>
      <c r="L526" s="104" t="s">
        <v>180</v>
      </c>
      <c r="M526" s="105" t="s">
        <v>181</v>
      </c>
      <c r="N526" s="106"/>
    </row>
    <row r="527">
      <c r="A527" s="101" t="s">
        <v>1807</v>
      </c>
      <c r="B527" s="100" t="s">
        <v>1806</v>
      </c>
      <c r="C527" s="100" t="s">
        <v>129</v>
      </c>
      <c r="D527" s="102" t="n">
        <v>312.54</v>
      </c>
      <c r="E527" s="103" t="n">
        <v>21.0</v>
      </c>
      <c r="F527" s="103" t="n">
        <v>246.91</v>
      </c>
      <c r="G527" s="0">
        <f>IF(ISBLANK(F527),IF(E527&gt;21.0,"Atrativo",IF(E527&lt;21.0,"Pouco atrativo","-")),IF(F527&lt;246.91,"Atrativo",IF(F527&gt;246.91,"Pouco atrativo","-")))</f>
      </c>
      <c r="H527" s="102">
        <f>IF(ISBLANK(F527),IF(E527=21,"$ 183.99","-"),IF(F527=246.91,"$ 183.99","-"))</f>
      </c>
      <c r="I527" s="103"/>
      <c r="J527" s="103"/>
      <c r="L527" s="104" t="s">
        <v>180</v>
      </c>
      <c r="M527" s="105" t="s">
        <v>181</v>
      </c>
      <c r="N527" s="106"/>
    </row>
    <row r="528">
      <c r="A528" s="101" t="s">
        <v>1810</v>
      </c>
      <c r="B528" s="100" t="s">
        <v>1809</v>
      </c>
      <c r="C528" s="100" t="s">
        <v>129</v>
      </c>
      <c r="D528" s="102" t="n">
        <v>375.83</v>
      </c>
      <c r="E528" s="103" t="n">
        <v>21.0</v>
      </c>
      <c r="F528" s="103" t="n">
        <v>296.91</v>
      </c>
      <c r="G528" s="0">
        <f>IF(ISBLANK(F528),IF(E528&gt;21.0,"Atrativo",IF(E528&lt;21.0,"Pouco atrativo","-")),IF(F528&lt;296.91,"Atrativo",IF(F528&gt;296.91,"Pouco atrativo","-")))</f>
      </c>
      <c r="H528" s="102">
        <f>IF(ISBLANK(F528),IF(E528=21,"$ 225.49","-"),IF(F528=296.91,"$ 225.49","-"))</f>
      </c>
      <c r="I528" s="103"/>
      <c r="J528" s="103"/>
      <c r="L528" s="104" t="s">
        <v>180</v>
      </c>
      <c r="M528" s="105" t="s">
        <v>181</v>
      </c>
      <c r="N528" s="106"/>
    </row>
    <row r="529">
      <c r="A529" s="101" t="s">
        <v>1813</v>
      </c>
      <c r="B529" s="100" t="s">
        <v>1812</v>
      </c>
      <c r="C529" s="100" t="s">
        <v>1178</v>
      </c>
      <c r="D529" s="102" t="n">
        <v>242.91</v>
      </c>
      <c r="E529" s="103" t="n">
        <v>21.0</v>
      </c>
      <c r="F529" s="103" t="n">
        <v>191.9</v>
      </c>
      <c r="G529" s="0">
        <f>IF(ISBLANK(F529),IF(E529&gt;21.0,"Atrativo",IF(E529&lt;21.0,"Pouco atrativo","-")),IF(F529&lt;191.9,"Atrativo",IF(F529&gt;191.9,"Pouco atrativo","-")))</f>
      </c>
      <c r="H529" s="102">
        <f>IF(ISBLANK(F529),IF(E529=21,"$ 150.42","-"),IF(F529=191.9,"$ 150.42","-"))</f>
      </c>
      <c r="I529" s="103"/>
      <c r="J529" s="103"/>
      <c r="L529" s="104" t="s">
        <v>180</v>
      </c>
      <c r="M529" s="105" t="s">
        <v>181</v>
      </c>
      <c r="N529" s="106"/>
    </row>
    <row r="530">
      <c r="A530" s="101" t="s">
        <v>1816</v>
      </c>
      <c r="B530" s="100" t="s">
        <v>1815</v>
      </c>
      <c r="C530" s="100" t="s">
        <v>1178</v>
      </c>
      <c r="D530" s="102" t="n">
        <v>244.18</v>
      </c>
      <c r="E530" s="103" t="n">
        <v>11.0</v>
      </c>
      <c r="F530" s="103" t="n">
        <v>217.9</v>
      </c>
      <c r="G530" s="0">
        <f>IF(ISBLANK(F530),IF(E530&gt;11.0,"Atrativo",IF(E530&lt;11.0,"Pouco atrativo","-")),IF(F530&lt;217.9,"Atrativo",IF(F530&gt;217.9,"Pouco atrativo","-")))</f>
      </c>
      <c r="H530" s="102">
        <f>IF(ISBLANK(F530),IF(E530=11,"$ 170.80","-"),IF(F530=217.9,"$ 170.80","-"))</f>
      </c>
      <c r="I530" s="103"/>
      <c r="J530" s="103"/>
      <c r="L530" s="104" t="s">
        <v>180</v>
      </c>
      <c r="M530" s="105" t="s">
        <v>181</v>
      </c>
      <c r="N530" s="106"/>
    </row>
    <row r="531">
      <c r="A531" s="101" t="s">
        <v>1819</v>
      </c>
      <c r="B531" s="100" t="s">
        <v>1818</v>
      </c>
      <c r="C531" s="100" t="s">
        <v>619</v>
      </c>
      <c r="D531" s="102" t="n">
        <v>126.1</v>
      </c>
      <c r="E531" s="103" t="n">
        <v>43.0</v>
      </c>
      <c r="F531" s="103" t="n">
        <v>71.9</v>
      </c>
      <c r="G531" s="0">
        <f>IF(ISBLANK(F531),IF(E531&gt;43.0,"Atrativo",IF(E531&lt;43.0,"Pouco atrativo","-")),IF(F531&lt;71.9,"Atrativo",IF(F531&gt;71.9,"Pouco atrativo","-")))</f>
      </c>
      <c r="H531" s="102">
        <f>IF(ISBLANK(F531),IF(E531=43,"$ 51.73","-"),IF(F531=71.9,"$ 51.73","-"))</f>
      </c>
      <c r="I531" s="103"/>
      <c r="J531" s="103"/>
      <c r="L531" s="104" t="s">
        <v>180</v>
      </c>
      <c r="M531" s="105" t="s">
        <v>181</v>
      </c>
      <c r="N531" s="106"/>
    </row>
    <row r="532">
      <c r="A532" s="101" t="s">
        <v>1821</v>
      </c>
      <c r="B532" s="100" t="s">
        <v>1820</v>
      </c>
      <c r="C532" s="100" t="s">
        <v>743</v>
      </c>
      <c r="D532" s="102" t="n">
        <v>349.24</v>
      </c>
      <c r="E532" s="103" t="n">
        <v>21.0</v>
      </c>
      <c r="F532" s="103" t="n">
        <v>275.9</v>
      </c>
      <c r="G532" s="0">
        <f>IF(ISBLANK(F532),IF(E532&gt;21.0,"Atrativo",IF(E532&lt;21.0,"Pouco atrativo","-")),IF(F532&lt;275.9,"Atrativo",IF(F532&gt;275.9,"Pouco atrativo","-")))</f>
      </c>
      <c r="H532" s="102">
        <f>IF(ISBLANK(F532),IF(E532=21,"$ 208.11","-"),IF(F532=275.9,"$ 208.11","-"))</f>
      </c>
      <c r="I532" s="103"/>
      <c r="J532" s="103"/>
      <c r="L532" s="104" t="s">
        <v>180</v>
      </c>
      <c r="M532" s="105" t="s">
        <v>181</v>
      </c>
      <c r="N532" s="106"/>
    </row>
    <row r="533">
      <c r="A533" s="101" t="s">
        <v>825</v>
      </c>
      <c r="B533" s="100" t="s">
        <v>1823</v>
      </c>
      <c r="C533" s="100" t="s">
        <v>826</v>
      </c>
      <c r="D533" s="102" t="n">
        <v>236.59</v>
      </c>
      <c r="E533" s="103" t="n">
        <v>21.0</v>
      </c>
      <c r="F533" s="103" t="n">
        <v>186.91</v>
      </c>
      <c r="G533" s="0">
        <f>IF(ISBLANK(F533),IF(E533&gt;21.0,"Atrativo",IF(E533&lt;21.0,"Pouco atrativo","-")),IF(F533&lt;186.91,"Atrativo",IF(F533&gt;186.91,"Pouco atrativo","-")))</f>
      </c>
      <c r="H533" s="102">
        <f>IF(ISBLANK(F533),IF(E533=21,"$ 146.03","-"),IF(F533=186.91,"$ 146.03","-"))</f>
      </c>
      <c r="I533" s="103"/>
      <c r="J533" s="103"/>
      <c r="L533" s="104" t="s">
        <v>180</v>
      </c>
      <c r="M533" s="105" t="s">
        <v>181</v>
      </c>
      <c r="N533" s="106"/>
    </row>
    <row r="534">
      <c r="A534" s="101" t="s">
        <v>1825</v>
      </c>
      <c r="B534" s="100" t="s">
        <v>1824</v>
      </c>
      <c r="C534" s="100" t="s">
        <v>716</v>
      </c>
      <c r="D534" s="102" t="n">
        <v>136.2</v>
      </c>
      <c r="E534" s="103" t="n">
        <v>21.0</v>
      </c>
      <c r="F534" s="103" t="n">
        <v>107.6</v>
      </c>
      <c r="G534" s="0">
        <f>IF(ISBLANK(F534),IF(E534&gt;21.0,"Atrativo",IF(E534&lt;21.0,"Pouco atrativo","-")),IF(F534&lt;107.6,"Atrativo",IF(F534&gt;107.6,"Pouco atrativo","-")))</f>
      </c>
      <c r="H534" s="102">
        <f>IF(ISBLANK(F534),IF(E534=21,"$ 79.24","-"),IF(F534=107.6,"$ 79.24","-"))</f>
      </c>
      <c r="I534" s="103"/>
      <c r="J534" s="103"/>
      <c r="L534" s="104" t="s">
        <v>180</v>
      </c>
      <c r="M534" s="105" t="s">
        <v>181</v>
      </c>
      <c r="N534" s="106"/>
    </row>
    <row r="535">
      <c r="A535" s="101" t="s">
        <v>1828</v>
      </c>
      <c r="B535" s="100" t="s">
        <v>1827</v>
      </c>
      <c r="C535" s="100" t="s">
        <v>396</v>
      </c>
      <c r="D535" s="102" t="n">
        <v>198.61</v>
      </c>
      <c r="E535" s="103" t="n">
        <v>21.0</v>
      </c>
      <c r="F535" s="103" t="n">
        <v>156.9</v>
      </c>
      <c r="G535" s="0">
        <f>IF(ISBLANK(F535),IF(E535&gt;21.0,"Atrativo",IF(E535&lt;21.0,"Pouco atrativo","-")),IF(F535&lt;156.9,"Atrativo",IF(F535&gt;156.9,"Pouco atrativo","-")))</f>
      </c>
      <c r="H535" s="102">
        <f>IF(ISBLANK(F535),IF(E535=21,"$ 110.38","-"),IF(F535=156.9,"$ 110.38","-"))</f>
      </c>
      <c r="I535" s="103"/>
      <c r="J535" s="103"/>
      <c r="L535" s="104" t="s">
        <v>180</v>
      </c>
      <c r="M535" s="105" t="s">
        <v>181</v>
      </c>
      <c r="N535" s="106"/>
    </row>
    <row r="536">
      <c r="A536" s="101" t="s">
        <v>1831</v>
      </c>
      <c r="B536" s="100" t="s">
        <v>1830</v>
      </c>
      <c r="C536" s="100" t="s">
        <v>1832</v>
      </c>
      <c r="D536" s="102" t="n">
        <v>315.07</v>
      </c>
      <c r="E536" s="103" t="n">
        <v>21.0</v>
      </c>
      <c r="F536" s="103" t="n">
        <v>248.91</v>
      </c>
      <c r="G536" s="0">
        <f>IF(ISBLANK(F536),IF(E536&gt;21.0,"Atrativo",IF(E536&lt;21.0,"Pouco atrativo","-")),IF(F536&lt;248.91,"Atrativo",IF(F536&gt;248.91,"Pouco atrativo","-")))</f>
      </c>
      <c r="H536" s="102">
        <f>IF(ISBLANK(F536),IF(E536=21,"$ 182.95","-"),IF(F536=248.91,"$ 182.95","-"))</f>
      </c>
      <c r="I536" s="103"/>
      <c r="J536" s="103"/>
      <c r="L536" s="104" t="s">
        <v>180</v>
      </c>
      <c r="M536" s="105" t="s">
        <v>181</v>
      </c>
      <c r="N536" s="106"/>
    </row>
    <row r="537">
      <c r="A537" s="101" t="s">
        <v>1835</v>
      </c>
      <c r="B537" s="100" t="s">
        <v>1834</v>
      </c>
      <c r="C537" s="100" t="s">
        <v>1832</v>
      </c>
      <c r="D537" s="102" t="n">
        <v>251.78</v>
      </c>
      <c r="E537" s="103" t="n">
        <v>21.0</v>
      </c>
      <c r="F537" s="103" t="n">
        <v>198.91</v>
      </c>
      <c r="G537" s="0">
        <f>IF(ISBLANK(F537),IF(E537&gt;21.0,"Atrativo",IF(E537&lt;21.0,"Pouco atrativo","-")),IF(F537&lt;198.91,"Atrativo",IF(F537&gt;198.91,"Pouco atrativo","-")))</f>
      </c>
      <c r="H537" s="102">
        <f>IF(ISBLANK(F537),IF(E537=21,"$ 154.29","-"),IF(F537=198.91,"$ 154.29","-"))</f>
      </c>
      <c r="I537" s="103"/>
      <c r="J537" s="103"/>
      <c r="L537" s="104" t="s">
        <v>180</v>
      </c>
      <c r="M537" s="105" t="s">
        <v>181</v>
      </c>
      <c r="N537" s="106"/>
    </row>
    <row r="538">
      <c r="A538" s="101" t="s">
        <v>1838</v>
      </c>
      <c r="B538" s="100" t="s">
        <v>1837</v>
      </c>
      <c r="C538" s="100" t="s">
        <v>1839</v>
      </c>
      <c r="D538" s="102" t="n">
        <v>68.99</v>
      </c>
      <c r="E538" s="103" t="n">
        <v>5.0</v>
      </c>
      <c r="F538" s="103" t="n">
        <v>65.54</v>
      </c>
      <c r="G538" s="107" t="s">
        <v>294</v>
      </c>
      <c r="H538" s="102">
        <f>IF(ISBLANK(F538),IF(E538=5,"$ 49.83","-"),IF(F538=65.54,"$ 49.83","-"))</f>
      </c>
      <c r="I538" s="103"/>
      <c r="J538" s="103"/>
      <c r="L538" s="104" t="s">
        <v>295</v>
      </c>
      <c r="M538" s="105" t="s">
        <v>181</v>
      </c>
      <c r="N538" s="101" t="s">
        <v>296</v>
      </c>
    </row>
    <row r="539">
      <c r="A539" s="101" t="s">
        <v>1842</v>
      </c>
      <c r="B539" s="100" t="s">
        <v>1841</v>
      </c>
      <c r="C539" s="100" t="s">
        <v>1839</v>
      </c>
      <c r="D539" s="102" t="n">
        <v>77.9</v>
      </c>
      <c r="E539" s="103" t="n">
        <v>5.0</v>
      </c>
      <c r="F539" s="103" t="n">
        <v>74.0</v>
      </c>
      <c r="G539" s="107" t="s">
        <v>294</v>
      </c>
      <c r="H539" s="102">
        <f>IF(ISBLANK(F539),IF(E539=5,"$ 53.67","-"),IF(F539=74,"$ 53.67","-"))</f>
      </c>
      <c r="I539" s="103"/>
      <c r="J539" s="103"/>
      <c r="L539" s="104" t="s">
        <v>295</v>
      </c>
      <c r="M539" s="105" t="s">
        <v>181</v>
      </c>
      <c r="N539" s="101" t="s">
        <v>296</v>
      </c>
    </row>
    <row r="540">
      <c r="A540" s="101" t="s">
        <v>1845</v>
      </c>
      <c r="B540" s="100" t="s">
        <v>1844</v>
      </c>
      <c r="C540" s="100" t="s">
        <v>606</v>
      </c>
      <c r="D540" s="102" t="n">
        <v>170.76</v>
      </c>
      <c r="E540" s="103" t="n">
        <v>21.0</v>
      </c>
      <c r="F540" s="103" t="n">
        <v>134.9</v>
      </c>
      <c r="G540" s="0">
        <f>IF(ISBLANK(F540),IF(E540&gt;21.0,"Atrativo",IF(E540&lt;21.0,"Pouco atrativo","-")),IF(F540&lt;134.9,"Atrativo",IF(F540&gt;134.9,"Pouco atrativo","-")))</f>
      </c>
      <c r="H540" s="102">
        <f>IF(ISBLANK(F540),IF(E540=21,"$ 102.26","-"),IF(F540=134.9,"$ 102.26","-"))</f>
      </c>
      <c r="I540" s="103"/>
      <c r="J540" s="103"/>
      <c r="L540" s="104" t="s">
        <v>180</v>
      </c>
      <c r="M540" s="105" t="s">
        <v>181</v>
      </c>
      <c r="N540" s="106"/>
    </row>
    <row r="541">
      <c r="A541" s="101" t="s">
        <v>1847</v>
      </c>
      <c r="B541" s="100" t="s">
        <v>1846</v>
      </c>
      <c r="C541" s="100" t="s">
        <v>129</v>
      </c>
      <c r="D541" s="102" t="n">
        <v>274.67</v>
      </c>
      <c r="E541" s="103" t="n">
        <v>21.0</v>
      </c>
      <c r="F541" s="103" t="n">
        <v>216.99</v>
      </c>
      <c r="G541" s="0">
        <f>IF(ISBLANK(F541),IF(E541&gt;21.0,"Atrativo",IF(E541&lt;21.0,"Pouco atrativo","-")),IF(F541&lt;216.99,"Atrativo",IF(F541&gt;216.99,"Pouco atrativo","-")))</f>
      </c>
      <c r="H541" s="102">
        <f>IF(ISBLANK(F541),IF(E541=21,"$ 157.55","-"),IF(F541=216.99,"$ 157.55","-"))</f>
      </c>
      <c r="I541" s="103"/>
      <c r="J541" s="103"/>
      <c r="L541" s="104" t="s">
        <v>180</v>
      </c>
      <c r="M541" s="105" t="s">
        <v>181</v>
      </c>
      <c r="N541" s="106"/>
    </row>
    <row r="542">
      <c r="A542" s="101" t="s">
        <v>1850</v>
      </c>
      <c r="B542" s="100" t="s">
        <v>1849</v>
      </c>
      <c r="C542" s="100" t="s">
        <v>129</v>
      </c>
      <c r="D542" s="102" t="n">
        <v>36.08</v>
      </c>
      <c r="E542" s="103" t="n">
        <v>22.0</v>
      </c>
      <c r="F542" s="103" t="n">
        <v>28.5</v>
      </c>
      <c r="G542" s="0">
        <f>IF(ISBLANK(F542),IF(E542&gt;22.0,"Atrativo",IF(E542&lt;22.0,"Pouco atrativo","-")),IF(F542&lt;28.5,"Atrativo",IF(F542&gt;28.5,"Pouco atrativo","-")))</f>
      </c>
      <c r="H542" s="102">
        <f>IF(ISBLANK(F542),IF(E542=22,"$ 18.43","-"),IF(F542=28.5,"$ 18.43","-"))</f>
      </c>
      <c r="I542" s="103"/>
      <c r="J542" s="103"/>
      <c r="L542" s="104" t="s">
        <v>180</v>
      </c>
      <c r="M542" s="105" t="s">
        <v>181</v>
      </c>
      <c r="N542" s="106"/>
    </row>
    <row r="543">
      <c r="A543" s="101" t="s">
        <v>1853</v>
      </c>
      <c r="B543" s="100" t="s">
        <v>1852</v>
      </c>
      <c r="C543" s="100" t="s">
        <v>129</v>
      </c>
      <c r="D543" s="102" t="n">
        <v>37.34</v>
      </c>
      <c r="E543" s="103" t="n">
        <v>21.0</v>
      </c>
      <c r="F543" s="103" t="n">
        <v>29.5</v>
      </c>
      <c r="G543" s="0">
        <f>IF(ISBLANK(F543),IF(E543&gt;21.0,"Atrativo",IF(E543&lt;21.0,"Pouco atrativo","-")),IF(F543&lt;29.5,"Atrativo",IF(F543&gt;29.5,"Pouco atrativo","-")))</f>
      </c>
      <c r="H543" s="102">
        <f>IF(ISBLANK(F543),IF(E543=21,"$ 19.31","-"),IF(F543=29.5,"$ 19.31","-"))</f>
      </c>
      <c r="I543" s="103"/>
      <c r="J543" s="103"/>
      <c r="L543" s="104" t="s">
        <v>180</v>
      </c>
      <c r="M543" s="105" t="s">
        <v>181</v>
      </c>
      <c r="N543" s="106"/>
    </row>
    <row r="544">
      <c r="A544" s="101" t="s">
        <v>1498</v>
      </c>
      <c r="B544" s="100" t="s">
        <v>1855</v>
      </c>
      <c r="C544" s="100" t="s">
        <v>129</v>
      </c>
      <c r="D544" s="102" t="n">
        <v>36.58</v>
      </c>
      <c r="E544" s="103" t="n">
        <v>21.0</v>
      </c>
      <c r="F544" s="103" t="n">
        <v>28.9</v>
      </c>
      <c r="G544" s="0">
        <f>IF(ISBLANK(F544),IF(E544&gt;21.0,"Atrativo",IF(E544&lt;21.0,"Pouco atrativo","-")),IF(F544&lt;28.9,"Atrativo",IF(F544&gt;28.9,"Pouco atrativo","-")))</f>
      </c>
      <c r="H544" s="102">
        <f>IF(ISBLANK(F544),IF(E544=21,"$ 18.88","-"),IF(F544=28.9,"$ 18.88","-"))</f>
      </c>
      <c r="I544" s="103"/>
      <c r="J544" s="103"/>
      <c r="L544" s="104" t="s">
        <v>180</v>
      </c>
      <c r="M544" s="105" t="s">
        <v>181</v>
      </c>
      <c r="N544" s="106"/>
    </row>
    <row r="545">
      <c r="A545" s="101" t="s">
        <v>1858</v>
      </c>
      <c r="B545" s="100" t="s">
        <v>1857</v>
      </c>
      <c r="C545" s="100" t="s">
        <v>1279</v>
      </c>
      <c r="D545" s="102" t="n">
        <v>218.86</v>
      </c>
      <c r="E545" s="103" t="n">
        <v>21.0</v>
      </c>
      <c r="F545" s="103" t="n">
        <v>172.99</v>
      </c>
      <c r="G545" s="0">
        <f>IF(ISBLANK(F545),IF(E545&gt;21.0,"Atrativo",IF(E545&lt;21.0,"Pouco atrativo","-")),IF(F545&lt;172.99,"Atrativo",IF(F545&gt;172.99,"Pouco atrativo","-")))</f>
      </c>
      <c r="H545" s="102">
        <f>IF(ISBLANK(F545),IF(E545=21,"$ 130.65","-"),IF(F545=172.99,"$ 130.65","-"))</f>
      </c>
      <c r="I545" s="103"/>
      <c r="J545" s="103"/>
      <c r="L545" s="104" t="s">
        <v>180</v>
      </c>
      <c r="M545" s="105" t="s">
        <v>181</v>
      </c>
      <c r="N545" s="106"/>
    </row>
    <row r="546">
      <c r="A546" s="101" t="s">
        <v>1861</v>
      </c>
      <c r="B546" s="100" t="s">
        <v>1860</v>
      </c>
      <c r="C546" s="100" t="s">
        <v>1279</v>
      </c>
      <c r="D546" s="102" t="n">
        <v>242.91</v>
      </c>
      <c r="E546" s="103" t="n">
        <v>21.0</v>
      </c>
      <c r="F546" s="103" t="n">
        <v>191.9</v>
      </c>
      <c r="G546" s="0">
        <f>IF(ISBLANK(F546),IF(E546&gt;21.0,"Atrativo",IF(E546&lt;21.0,"Pouco atrativo","-")),IF(F546&lt;191.9,"Atrativo",IF(F546&gt;191.9,"Pouco atrativo","-")))</f>
      </c>
      <c r="H546" s="102">
        <f>IF(ISBLANK(F546),IF(E546=21,"$ 146.20","-"),IF(F546=191.9,"$ 146.20","-"))</f>
      </c>
      <c r="I546" s="103"/>
      <c r="J546" s="103"/>
      <c r="L546" s="104" t="s">
        <v>180</v>
      </c>
      <c r="M546" s="105" t="s">
        <v>181</v>
      </c>
      <c r="N546" s="106"/>
    </row>
    <row r="547">
      <c r="A547" s="101" t="s">
        <v>1864</v>
      </c>
      <c r="B547" s="100" t="s">
        <v>1863</v>
      </c>
      <c r="C547" s="100" t="s">
        <v>1279</v>
      </c>
      <c r="D547" s="102" t="n">
        <v>249.24</v>
      </c>
      <c r="E547" s="103" t="n">
        <v>21.0</v>
      </c>
      <c r="F547" s="103" t="n">
        <v>196.9</v>
      </c>
      <c r="G547" s="0">
        <f>IF(ISBLANK(F547),IF(E547&gt;21.0,"Atrativo",IF(E547&lt;21.0,"Pouco atrativo","-")),IF(F547&lt;196.9,"Atrativo",IF(F547&gt;196.9,"Pouco atrativo","-")))</f>
      </c>
      <c r="H547" s="102">
        <f>IF(ISBLANK(F547),IF(E547=21,"$ 140.71","-"),IF(F547=196.9,"$ 140.71","-"))</f>
      </c>
      <c r="I547" s="103"/>
      <c r="J547" s="103"/>
      <c r="L547" s="104" t="s">
        <v>180</v>
      </c>
      <c r="M547" s="105" t="s">
        <v>181</v>
      </c>
      <c r="N547" s="106"/>
    </row>
    <row r="548">
      <c r="A548" s="101" t="s">
        <v>1867</v>
      </c>
      <c r="B548" s="100" t="s">
        <v>1866</v>
      </c>
      <c r="C548" s="100" t="s">
        <v>716</v>
      </c>
      <c r="D548" s="102" t="n">
        <v>198.61</v>
      </c>
      <c r="E548" s="103" t="n">
        <v>21.0</v>
      </c>
      <c r="F548" s="103" t="n">
        <v>156.9</v>
      </c>
      <c r="G548" s="0">
        <f>IF(ISBLANK(F548),IF(E548&gt;21.0,"Atrativo",IF(E548&lt;21.0,"Pouco atrativo","-")),IF(F548&lt;156.9,"Atrativo",IF(F548&gt;156.9,"Pouco atrativo","-")))</f>
      </c>
      <c r="H548" s="102">
        <f>IF(ISBLANK(F548),IF(E548=21,"$ 118.22","-"),IF(F548=156.9,"$ 118.22","-"))</f>
      </c>
      <c r="I548" s="103"/>
      <c r="J548" s="103"/>
      <c r="L548" s="104" t="s">
        <v>180</v>
      </c>
      <c r="M548" s="105" t="s">
        <v>181</v>
      </c>
      <c r="N548" s="106"/>
    </row>
    <row r="549">
      <c r="A549" s="101" t="s">
        <v>1869</v>
      </c>
      <c r="B549" s="100" t="s">
        <v>1868</v>
      </c>
      <c r="C549" s="100" t="s">
        <v>716</v>
      </c>
      <c r="D549" s="102" t="n">
        <v>132.79</v>
      </c>
      <c r="E549" s="103" t="n">
        <v>22.0</v>
      </c>
      <c r="F549" s="103" t="n">
        <v>104.9</v>
      </c>
      <c r="G549" s="0">
        <f>IF(ISBLANK(F549),IF(E549&gt;22.0,"Atrativo",IF(E549&lt;22.0,"Pouco atrativo","-")),IF(F549&lt;104.9,"Atrativo",IF(F549&gt;104.9,"Pouco atrativo","-")))</f>
      </c>
      <c r="H549" s="102">
        <f>IF(ISBLANK(F549),IF(E549=22,"$ 76.86","-"),IF(F549=104.9,"$ 76.86","-"))</f>
      </c>
      <c r="I549" s="103"/>
      <c r="J549" s="103"/>
      <c r="L549" s="104" t="s">
        <v>180</v>
      </c>
      <c r="M549" s="105" t="s">
        <v>181</v>
      </c>
      <c r="N549" s="106"/>
    </row>
    <row r="550">
      <c r="A550" s="101" t="s">
        <v>1872</v>
      </c>
      <c r="B550" s="100" t="s">
        <v>1871</v>
      </c>
      <c r="C550" s="100" t="s">
        <v>716</v>
      </c>
      <c r="D550" s="102" t="n">
        <v>163.17</v>
      </c>
      <c r="E550" s="103" t="n">
        <v>22.0</v>
      </c>
      <c r="F550" s="103" t="n">
        <v>128.9</v>
      </c>
      <c r="G550" s="0">
        <f>IF(ISBLANK(F550),IF(E550&gt;22.0,"Atrativo",IF(E550&lt;22.0,"Pouco atrativo","-")),IF(F550&lt;128.9,"Atrativo",IF(F550&gt;128.9,"Pouco atrativo","-")))</f>
      </c>
      <c r="H550" s="102">
        <f>IF(ISBLANK(F550),IF(E550=22,"$ 89.34","-"),IF(F550=128.9,"$ 89.34","-"))</f>
      </c>
      <c r="I550" s="103"/>
      <c r="J550" s="103"/>
      <c r="L550" s="104" t="s">
        <v>180</v>
      </c>
      <c r="M550" s="105" t="s">
        <v>181</v>
      </c>
      <c r="N550" s="106"/>
    </row>
    <row r="551">
      <c r="A551" s="101" t="s">
        <v>1875</v>
      </c>
      <c r="B551" s="100" t="s">
        <v>1874</v>
      </c>
      <c r="C551" s="100" t="s">
        <v>872</v>
      </c>
      <c r="D551" s="102" t="n">
        <v>466.85</v>
      </c>
      <c r="E551" s="103" t="n">
        <v>21.0</v>
      </c>
      <c r="F551" s="103" t="n">
        <v>368.81</v>
      </c>
      <c r="G551" s="0">
        <f>IF(ISBLANK(F551),IF(E551&gt;21.0,"Atrativo",IF(E551&lt;21.0,"Pouco atrativo","-")),IF(F551&lt;368.81,"Atrativo",IF(F551&gt;368.81,"Pouco atrativo","-")))</f>
      </c>
      <c r="H551" s="102">
        <f>IF(ISBLANK(F551),IF(E551=21,"$ 279.86","-"),IF(F551=368.81,"$ 279.86","-"))</f>
      </c>
      <c r="I551" s="103"/>
      <c r="J551" s="103"/>
      <c r="L551" s="104" t="s">
        <v>180</v>
      </c>
      <c r="M551" s="105" t="s">
        <v>181</v>
      </c>
      <c r="N551" s="106"/>
    </row>
    <row r="552">
      <c r="A552" s="101" t="s">
        <v>1878</v>
      </c>
      <c r="B552" s="100" t="s">
        <v>1877</v>
      </c>
      <c r="C552" s="100" t="s">
        <v>1879</v>
      </c>
      <c r="D552" s="102" t="n">
        <v>569.5</v>
      </c>
      <c r="E552" s="103" t="n">
        <v>5.0</v>
      </c>
      <c r="F552" s="103" t="n">
        <v>541.02</v>
      </c>
      <c r="G552" s="107" t="s">
        <v>294</v>
      </c>
      <c r="H552" s="102">
        <f>IF(ISBLANK(F552),IF(E552=5,"$ 452.45","-"),IF(F552=541.02,"$ 452.45","-"))</f>
      </c>
      <c r="I552" s="103"/>
      <c r="J552" s="103"/>
      <c r="L552" s="104" t="s">
        <v>295</v>
      </c>
      <c r="M552" s="105" t="s">
        <v>181</v>
      </c>
      <c r="N552" s="101" t="s">
        <v>296</v>
      </c>
    </row>
    <row r="553">
      <c r="A553" s="101" t="s">
        <v>1882</v>
      </c>
      <c r="B553" s="100" t="s">
        <v>1881</v>
      </c>
      <c r="C553" s="100" t="s">
        <v>1879</v>
      </c>
      <c r="D553" s="102" t="n">
        <v>882.16</v>
      </c>
      <c r="E553" s="103" t="n">
        <v>21.0</v>
      </c>
      <c r="F553" s="103" t="n">
        <v>696.91</v>
      </c>
      <c r="G553" s="0">
        <f>IF(ISBLANK(F553),IF(E553&gt;21.0,"Atrativo",IF(E553&lt;21.0,"Pouco atrativo","-")),IF(F553&lt;696.91,"Atrativo",IF(F553&gt;696.91,"Pouco atrativo","-")))</f>
      </c>
      <c r="H553" s="102">
        <f>IF(ISBLANK(F553),IF(E553=21,"$ 554.79","-"),IF(F553=696.91,"$ 554.79","-"))</f>
      </c>
      <c r="I553" s="103"/>
      <c r="J553" s="103"/>
      <c r="L553" s="104" t="s">
        <v>180</v>
      </c>
      <c r="M553" s="105" t="s">
        <v>181</v>
      </c>
      <c r="N553" s="106"/>
    </row>
    <row r="554">
      <c r="A554" s="101" t="s">
        <v>881</v>
      </c>
      <c r="B554" s="100" t="s">
        <v>1884</v>
      </c>
      <c r="C554" s="100" t="s">
        <v>882</v>
      </c>
      <c r="D554" s="102" t="n">
        <v>161.9</v>
      </c>
      <c r="E554" s="103" t="n">
        <v>21.0</v>
      </c>
      <c r="F554" s="103" t="n">
        <v>127.9</v>
      </c>
      <c r="G554" s="0">
        <f>IF(ISBLANK(F554),IF(E554&gt;21.0,"Atrativo",IF(E554&lt;21.0,"Pouco atrativo","-")),IF(F554&lt;127.9,"Atrativo",IF(F554&gt;127.9,"Pouco atrativo","-")))</f>
      </c>
      <c r="H554" s="102">
        <f>IF(ISBLANK(F554),IF(E554=21,"$ 94.10","-"),IF(F554=127.9,"$ 94.10","-"))</f>
      </c>
      <c r="I554" s="103"/>
      <c r="J554" s="103"/>
      <c r="L554" s="104" t="s">
        <v>180</v>
      </c>
      <c r="M554" s="105" t="s">
        <v>181</v>
      </c>
      <c r="N554" s="106"/>
    </row>
    <row r="555">
      <c r="A555" s="101" t="s">
        <v>1886</v>
      </c>
      <c r="B555" s="100" t="s">
        <v>1885</v>
      </c>
      <c r="C555" s="100" t="s">
        <v>1587</v>
      </c>
      <c r="D555" s="102" t="n">
        <v>145.56</v>
      </c>
      <c r="E555" s="103" t="n">
        <v>22.0</v>
      </c>
      <c r="F555" s="103" t="n">
        <v>114.99</v>
      </c>
      <c r="G555" s="0">
        <f>IF(ISBLANK(F555),IF(E555&gt;22.0,"Atrativo",IF(E555&lt;22.0,"Pouco atrativo","-")),IF(F555&lt;114.99,"Atrativo",IF(F555&gt;114.99,"Pouco atrativo","-")))</f>
      </c>
      <c r="H555" s="102">
        <f>IF(ISBLANK(F555),IF(E555=22,"$ 86.84","-"),IF(F555=114.99,"$ 86.84","-"))</f>
      </c>
      <c r="I555" s="103"/>
      <c r="J555" s="103"/>
      <c r="L555" s="104" t="s">
        <v>180</v>
      </c>
      <c r="M555" s="105" t="s">
        <v>181</v>
      </c>
      <c r="N555" s="106"/>
    </row>
    <row r="556">
      <c r="A556" s="101" t="s">
        <v>1889</v>
      </c>
      <c r="B556" s="100" t="s">
        <v>1888</v>
      </c>
      <c r="C556" s="100" t="s">
        <v>1890</v>
      </c>
      <c r="D556" s="102" t="n">
        <v>440.39</v>
      </c>
      <c r="E556" s="103" t="n">
        <v>21.0</v>
      </c>
      <c r="F556" s="103" t="n">
        <v>347.91</v>
      </c>
      <c r="G556" s="0">
        <f>IF(ISBLANK(F556),IF(E556&gt;21.0,"Atrativo",IF(E556&lt;21.0,"Pouco atrativo","-")),IF(F556&lt;347.91,"Atrativo",IF(F556&gt;347.91,"Pouco atrativo","-")))</f>
      </c>
      <c r="H556" s="102">
        <f>IF(ISBLANK(F556),IF(E556=21,"$ 239.42","-"),IF(F556=347.91,"$ 239.42","-"))</f>
      </c>
      <c r="I556" s="103"/>
      <c r="J556" s="103"/>
      <c r="L556" s="104" t="s">
        <v>180</v>
      </c>
      <c r="M556" s="105" t="s">
        <v>181</v>
      </c>
      <c r="N556" s="106"/>
    </row>
    <row r="557">
      <c r="A557" s="101" t="s">
        <v>1893</v>
      </c>
      <c r="B557" s="100" t="s">
        <v>1892</v>
      </c>
      <c r="C557" s="100" t="s">
        <v>1520</v>
      </c>
      <c r="D557" s="102" t="n">
        <v>174.56</v>
      </c>
      <c r="E557" s="103" t="n">
        <v>21.0</v>
      </c>
      <c r="F557" s="103" t="n">
        <v>138.98</v>
      </c>
      <c r="G557" s="0">
        <f>IF(ISBLANK(F557),IF(E557&gt;21.0,"Atrativo",IF(E557&lt;21.0,"Pouco atrativo","-")),IF(F557&lt;138.98,"Atrativo",IF(F557&gt;138.98,"Pouco atrativo","-")))</f>
      </c>
      <c r="H557" s="102">
        <f>IF(ISBLANK(F557),IF(E557=21,"$ 96.90","-"),IF(F557=138.98,"$ 96.90","-"))</f>
      </c>
      <c r="I557" s="103"/>
      <c r="J557" s="103"/>
      <c r="L557" s="104" t="s">
        <v>180</v>
      </c>
      <c r="M557" s="105" t="s">
        <v>181</v>
      </c>
      <c r="N557" s="106"/>
    </row>
    <row r="558">
      <c r="A558" s="101" t="s">
        <v>1896</v>
      </c>
      <c r="B558" s="100" t="s">
        <v>1895</v>
      </c>
      <c r="C558" s="100" t="s">
        <v>129</v>
      </c>
      <c r="D558" s="102" t="n">
        <v>175.89</v>
      </c>
      <c r="E558" s="103" t="n">
        <v>22.0</v>
      </c>
      <c r="F558" s="103" t="n">
        <v>138.95</v>
      </c>
      <c r="G558" s="0">
        <f>IF(ISBLANK(F558),IF(E558&gt;22.0,"Atrativo",IF(E558&lt;22.0,"Pouco atrativo","-")),IF(F558&lt;138.95,"Atrativo",IF(F558&gt;138.95,"Pouco atrativo","-")))</f>
      </c>
      <c r="H558" s="102">
        <f>IF(ISBLANK(F558),IF(E558=22,"$ 103.03","-"),IF(F558=138.95,"$ 103.03","-"))</f>
      </c>
      <c r="I558" s="103"/>
      <c r="J558" s="103"/>
      <c r="L558" s="104" t="s">
        <v>180</v>
      </c>
      <c r="M558" s="105" t="s">
        <v>181</v>
      </c>
      <c r="N558" s="106"/>
    </row>
    <row r="559">
      <c r="A559" s="101" t="s">
        <v>1899</v>
      </c>
      <c r="B559" s="100" t="s">
        <v>1898</v>
      </c>
      <c r="C559" s="100" t="s">
        <v>1534</v>
      </c>
      <c r="D559" s="102" t="n">
        <v>1560.65</v>
      </c>
      <c r="E559" s="103" t="n">
        <v>21.0</v>
      </c>
      <c r="F559" s="103" t="n">
        <v>1232.91</v>
      </c>
      <c r="G559" s="0">
        <f>IF(ISBLANK(F559),IF(E559&gt;21.0,"Atrativo",IF(E559&lt;21.0,"Pouco atrativo","-")),IF(F559&lt;1232.91,"Atrativo",IF(F559&gt;1232.91,"Pouco atrativo","-")))</f>
      </c>
      <c r="H559" s="102">
        <f>IF(ISBLANK(F559),IF(E559=21,"$ 953.07","-"),IF(F559=1232.91,"$ 953.07","-"))</f>
      </c>
      <c r="I559" s="103"/>
      <c r="J559" s="103"/>
      <c r="L559" s="104" t="s">
        <v>180</v>
      </c>
      <c r="M559" s="105" t="s">
        <v>181</v>
      </c>
      <c r="N559" s="106"/>
    </row>
    <row r="560">
      <c r="A560" s="101" t="s">
        <v>1902</v>
      </c>
      <c r="B560" s="100" t="s">
        <v>1901</v>
      </c>
      <c r="C560" s="100" t="s">
        <v>1534</v>
      </c>
      <c r="D560" s="102" t="n">
        <v>1570.78</v>
      </c>
      <c r="E560" s="103" t="n">
        <v>21.0</v>
      </c>
      <c r="F560" s="103" t="n">
        <v>1240.92</v>
      </c>
      <c r="G560" s="0">
        <f>IF(ISBLANK(F560),IF(E560&gt;21.0,"Atrativo",IF(E560&lt;21.0,"Pouco atrativo","-")),IF(F560&lt;1240.92,"Atrativo",IF(F560&gt;1240.92,"Pouco atrativo","-")))</f>
      </c>
      <c r="H560" s="102">
        <f>IF(ISBLANK(F560),IF(E560=21,"$ 1"&amp;CHAR(44)&amp;"000.86","-"),IF(F560=1240.92,"$ 1"&amp;CHAR(44)&amp;"000.86","-"))</f>
      </c>
      <c r="I560" s="103"/>
      <c r="J560" s="103"/>
      <c r="L560" s="104" t="s">
        <v>180</v>
      </c>
      <c r="M560" s="105" t="s">
        <v>181</v>
      </c>
      <c r="N560" s="106"/>
    </row>
    <row r="561">
      <c r="A561" s="101" t="s">
        <v>1905</v>
      </c>
      <c r="B561" s="100" t="s">
        <v>1904</v>
      </c>
      <c r="C561" s="100" t="s">
        <v>129</v>
      </c>
      <c r="D561" s="102" t="n">
        <v>856.85</v>
      </c>
      <c r="E561" s="103" t="n">
        <v>21.0</v>
      </c>
      <c r="F561" s="103" t="n">
        <v>676.91</v>
      </c>
      <c r="G561" s="0">
        <f>IF(ISBLANK(F561),IF(E561&gt;21.0,"Atrativo",IF(E561&lt;21.0,"Pouco atrativo","-")),IF(F561&lt;676.91,"Atrativo",IF(F561&gt;676.91,"Pouco atrativo","-")))</f>
      </c>
      <c r="H561" s="102">
        <f>IF(ISBLANK(F561),IF(E561=21,"$ 547.63","-"),IF(F561=676.91,"$ 547.63","-"))</f>
      </c>
      <c r="I561" s="103"/>
      <c r="J561" s="103"/>
      <c r="L561" s="104" t="s">
        <v>180</v>
      </c>
      <c r="M561" s="105" t="s">
        <v>181</v>
      </c>
      <c r="N561" s="106"/>
    </row>
    <row r="562">
      <c r="A562" s="101" t="s">
        <v>1908</v>
      </c>
      <c r="B562" s="100" t="s">
        <v>1907</v>
      </c>
      <c r="C562" s="100" t="s">
        <v>129</v>
      </c>
      <c r="D562" s="102" t="n">
        <v>815.07</v>
      </c>
      <c r="E562" s="103" t="n">
        <v>21.0</v>
      </c>
      <c r="F562" s="103" t="n">
        <v>643.91</v>
      </c>
      <c r="G562" s="0">
        <f>IF(ISBLANK(F562),IF(E562&gt;21.0,"Atrativo",IF(E562&lt;21.0,"Pouco atrativo","-")),IF(F562&lt;643.91,"Atrativo",IF(F562&gt;643.91,"Pouco atrativo","-")))</f>
      </c>
      <c r="H562" s="102">
        <f>IF(ISBLANK(F562),IF(E562=21,"$ 494.70","-"),IF(F562=643.91,"$ 494.70","-"))</f>
      </c>
      <c r="I562" s="103"/>
      <c r="J562" s="103"/>
      <c r="L562" s="104" t="s">
        <v>180</v>
      </c>
      <c r="M562" s="105" t="s">
        <v>181</v>
      </c>
      <c r="N562" s="106"/>
    </row>
    <row r="563">
      <c r="A563" s="101" t="s">
        <v>1911</v>
      </c>
      <c r="B563" s="100" t="s">
        <v>1910</v>
      </c>
      <c r="C563" s="100" t="s">
        <v>129</v>
      </c>
      <c r="D563" s="102" t="n">
        <v>815.07</v>
      </c>
      <c r="E563" s="103" t="n">
        <v>21.0</v>
      </c>
      <c r="F563" s="103" t="n">
        <v>643.91</v>
      </c>
      <c r="G563" s="0">
        <f>IF(ISBLANK(F563),IF(E563&gt;21.0,"Atrativo",IF(E563&lt;21.0,"Pouco atrativo","-")),IF(F563&lt;643.91,"Atrativo",IF(F563&gt;643.91,"Pouco atrativo","-")))</f>
      </c>
      <c r="H563" s="102">
        <f>IF(ISBLANK(F563),IF(E563=21,"$ 486.40","-"),IF(F563=643.91,"$ 486.40","-"))</f>
      </c>
      <c r="I563" s="103"/>
      <c r="J563" s="103"/>
      <c r="L563" s="104" t="s">
        <v>180</v>
      </c>
      <c r="M563" s="105" t="s">
        <v>181</v>
      </c>
      <c r="N563" s="106"/>
    </row>
    <row r="564">
      <c r="A564" s="101" t="s">
        <v>1914</v>
      </c>
      <c r="B564" s="100" t="s">
        <v>1913</v>
      </c>
      <c r="C564" s="100" t="s">
        <v>1890</v>
      </c>
      <c r="D564" s="102" t="n">
        <v>436.59</v>
      </c>
      <c r="E564" s="103" t="n">
        <v>21.0</v>
      </c>
      <c r="F564" s="103" t="n">
        <v>344.91</v>
      </c>
      <c r="G564" s="0">
        <f>IF(ISBLANK(F564),IF(E564&gt;21.0,"Atrativo",IF(E564&lt;21.0,"Pouco atrativo","-")),IF(F564&lt;344.91,"Atrativo",IF(F564&gt;344.91,"Pouco atrativo","-")))</f>
      </c>
      <c r="H564" s="102">
        <f>IF(ISBLANK(F564),IF(E564=21,"$ 254.17","-"),IF(F564=344.91,"$ 254.17","-"))</f>
      </c>
      <c r="I564" s="103"/>
      <c r="J564" s="103"/>
      <c r="L564" s="104" t="s">
        <v>180</v>
      </c>
      <c r="M564" s="105" t="s">
        <v>181</v>
      </c>
      <c r="N564" s="106"/>
    </row>
    <row r="565">
      <c r="A565" s="101" t="s">
        <v>1917</v>
      </c>
      <c r="B565" s="100" t="s">
        <v>1916</v>
      </c>
      <c r="C565" s="100" t="s">
        <v>1890</v>
      </c>
      <c r="D565" s="102" t="n">
        <v>332.9</v>
      </c>
      <c r="E565" s="103" t="n">
        <v>5.0</v>
      </c>
      <c r="F565" s="103" t="n">
        <v>316.25</v>
      </c>
      <c r="G565" s="107" t="s">
        <v>294</v>
      </c>
      <c r="H565" s="102">
        <f>IF(ISBLANK(F565),IF(E565=5,"$ 233.41","-"),IF(F565=316.25,"$ 233.41","-"))</f>
      </c>
      <c r="I565" s="103"/>
      <c r="J565" s="103"/>
      <c r="L565" s="104" t="s">
        <v>295</v>
      </c>
      <c r="M565" s="105" t="s">
        <v>181</v>
      </c>
      <c r="N565" s="101" t="s">
        <v>296</v>
      </c>
    </row>
    <row r="566">
      <c r="A566" s="101" t="s">
        <v>1920</v>
      </c>
      <c r="B566" s="100" t="s">
        <v>1919</v>
      </c>
      <c r="C566" s="100" t="s">
        <v>1890</v>
      </c>
      <c r="D566" s="102" t="n">
        <v>406.9</v>
      </c>
      <c r="E566" s="103" t="n">
        <v>5.0</v>
      </c>
      <c r="F566" s="103" t="n">
        <v>386.55</v>
      </c>
      <c r="G566" s="107" t="s">
        <v>294</v>
      </c>
      <c r="H566" s="102">
        <f>IF(ISBLANK(F566),IF(E566=5,"$ 252.19","-"),IF(F566=386.55,"$ 252.19","-"))</f>
      </c>
      <c r="I566" s="103"/>
      <c r="J566" s="103"/>
      <c r="L566" s="104" t="s">
        <v>295</v>
      </c>
      <c r="M566" s="105" t="s">
        <v>181</v>
      </c>
      <c r="N566" s="101" t="s">
        <v>296</v>
      </c>
    </row>
    <row r="567">
      <c r="A567" s="101" t="s">
        <v>1923</v>
      </c>
      <c r="B567" s="100" t="s">
        <v>1922</v>
      </c>
      <c r="C567" s="100" t="s">
        <v>1924</v>
      </c>
      <c r="D567" s="102" t="n">
        <v>507.47</v>
      </c>
      <c r="E567" s="103" t="n">
        <v>21.0</v>
      </c>
      <c r="F567" s="103" t="n">
        <v>400.9</v>
      </c>
      <c r="G567" s="0">
        <f>IF(ISBLANK(F567),IF(E567&gt;21.0,"Atrativo",IF(E567&lt;21.0,"Pouco atrativo","-")),IF(F567&lt;400.9,"Atrativo",IF(F567&gt;400.9,"Pouco atrativo","-")))</f>
      </c>
      <c r="H567" s="102">
        <f>IF(ISBLANK(F567),IF(E567=21,"$ 303.44","-"),IF(F567=400.9,"$ 303.44","-"))</f>
      </c>
      <c r="I567" s="103"/>
      <c r="J567" s="103"/>
      <c r="L567" s="104" t="s">
        <v>180</v>
      </c>
      <c r="M567" s="105" t="s">
        <v>181</v>
      </c>
      <c r="N567" s="106"/>
    </row>
    <row r="568">
      <c r="A568" s="101" t="s">
        <v>1923</v>
      </c>
      <c r="B568" s="100" t="s">
        <v>1926</v>
      </c>
      <c r="C568" s="100" t="s">
        <v>1924</v>
      </c>
      <c r="D568" s="102" t="n">
        <v>558.11</v>
      </c>
      <c r="E568" s="103" t="n">
        <v>21.0</v>
      </c>
      <c r="F568" s="103" t="n">
        <v>440.91</v>
      </c>
      <c r="G568" s="0">
        <f>IF(ISBLANK(F568),IF(E568&gt;21.0,"Atrativo",IF(E568&lt;21.0,"Pouco atrativo","-")),IF(F568&lt;440.91,"Atrativo",IF(F568&gt;440.91,"Pouco atrativo","-")))</f>
      </c>
      <c r="H568" s="102">
        <f>IF(ISBLANK(F568),IF(E568=21,"$ 316.61","-"),IF(F568=440.91,"$ 316.61","-"))</f>
      </c>
      <c r="I568" s="103"/>
      <c r="J568" s="103"/>
      <c r="L568" s="104" t="s">
        <v>180</v>
      </c>
      <c r="M568" s="105" t="s">
        <v>181</v>
      </c>
      <c r="N568" s="106"/>
    </row>
    <row r="569">
      <c r="A569" s="101" t="s">
        <v>1929</v>
      </c>
      <c r="B569" s="100" t="s">
        <v>1928</v>
      </c>
      <c r="C569" s="100" t="s">
        <v>1357</v>
      </c>
      <c r="D569" s="102" t="n">
        <v>444.18</v>
      </c>
      <c r="E569" s="103" t="n">
        <v>21.0</v>
      </c>
      <c r="F569" s="103" t="n">
        <v>350.9</v>
      </c>
      <c r="G569" s="0">
        <f>IF(ISBLANK(F569),IF(E569&gt;21.0,"Atrativo",IF(E569&lt;21.0,"Pouco atrativo","-")),IF(F569&lt;350.9,"Atrativo",IF(F569&gt;350.9,"Pouco atrativo","-")))</f>
      </c>
      <c r="H569" s="102">
        <f>IF(ISBLANK(F569),IF(E569=21,"$ 260.74","-"),IF(F569=350.9,"$ 260.74","-"))</f>
      </c>
      <c r="I569" s="103"/>
      <c r="J569" s="103"/>
      <c r="L569" s="104" t="s">
        <v>180</v>
      </c>
      <c r="M569" s="105" t="s">
        <v>181</v>
      </c>
      <c r="N569" s="106"/>
    </row>
    <row r="570">
      <c r="A570" s="101" t="s">
        <v>1932</v>
      </c>
      <c r="B570" s="100" t="s">
        <v>1931</v>
      </c>
      <c r="C570" s="100" t="s">
        <v>1544</v>
      </c>
      <c r="D570" s="102" t="n">
        <v>570.77</v>
      </c>
      <c r="E570" s="103" t="n">
        <v>21.0</v>
      </c>
      <c r="F570" s="103" t="n">
        <v>450.91</v>
      </c>
      <c r="G570" s="0">
        <f>IF(ISBLANK(F570),IF(E570&gt;21.0,"Atrativo",IF(E570&lt;21.0,"Pouco atrativo","-")),IF(F570&lt;450.91,"Atrativo",IF(F570&gt;450.91,"Pouco atrativo","-")))</f>
      </c>
      <c r="H570" s="102">
        <f>IF(ISBLANK(F570),IF(E570=21,"$ 350.61","-"),IF(F570=450.91,"$ 350.61","-"))</f>
      </c>
      <c r="I570" s="103"/>
      <c r="J570" s="103"/>
      <c r="L570" s="104" t="s">
        <v>180</v>
      </c>
      <c r="M570" s="105" t="s">
        <v>181</v>
      </c>
      <c r="N570" s="106"/>
    </row>
    <row r="571">
      <c r="A571" s="101" t="s">
        <v>1935</v>
      </c>
      <c r="B571" s="100" t="s">
        <v>1934</v>
      </c>
      <c r="C571" s="100" t="s">
        <v>1544</v>
      </c>
      <c r="D571" s="102" t="n">
        <v>392.28</v>
      </c>
      <c r="E571" s="103" t="n">
        <v>21.0</v>
      </c>
      <c r="F571" s="103" t="n">
        <v>309.9</v>
      </c>
      <c r="G571" s="0">
        <f>IF(ISBLANK(F571),IF(E571&gt;21.0,"Atrativo",IF(E571&lt;21.0,"Pouco atrativo","-")),IF(F571&lt;309.9,"Atrativo",IF(F571&gt;309.9,"Pouco atrativo","-")))</f>
      </c>
      <c r="H571" s="102">
        <f>IF(ISBLANK(F571),IF(E571=21,"$ 252.16","-"),IF(F571=309.9,"$ 252.16","-"))</f>
      </c>
      <c r="I571" s="103"/>
      <c r="J571" s="103"/>
      <c r="L571" s="104" t="s">
        <v>180</v>
      </c>
      <c r="M571" s="105" t="s">
        <v>181</v>
      </c>
      <c r="N571" s="106"/>
    </row>
    <row r="572">
      <c r="A572" s="101" t="s">
        <v>1935</v>
      </c>
      <c r="B572" s="100" t="s">
        <v>1937</v>
      </c>
      <c r="C572" s="100" t="s">
        <v>1544</v>
      </c>
      <c r="D572" s="102" t="n">
        <v>439.23</v>
      </c>
      <c r="E572" s="103" t="n">
        <v>21.0</v>
      </c>
      <c r="F572" s="103" t="n">
        <v>346.99</v>
      </c>
      <c r="G572" s="0">
        <f>IF(ISBLANK(F572),IF(E572&gt;21.0,"Atrativo",IF(E572&lt;21.0,"Pouco atrativo","-")),IF(F572&lt;346.99,"Atrativo",IF(F572&gt;346.99,"Pouco atrativo","-")))</f>
      </c>
      <c r="H572" s="102">
        <f>IF(ISBLANK(F572),IF(E572=21,"$ 264.35","-"),IF(F572=346.99,"$ 264.35","-"))</f>
      </c>
      <c r="I572" s="103"/>
      <c r="J572" s="103"/>
      <c r="L572" s="104" t="s">
        <v>180</v>
      </c>
      <c r="M572" s="105" t="s">
        <v>181</v>
      </c>
      <c r="N572" s="106"/>
    </row>
    <row r="573">
      <c r="A573" s="101" t="s">
        <v>1940</v>
      </c>
      <c r="B573" s="100" t="s">
        <v>1939</v>
      </c>
      <c r="C573" s="100" t="s">
        <v>129</v>
      </c>
      <c r="D573" s="102" t="n">
        <v>312.54</v>
      </c>
      <c r="E573" s="103" t="n">
        <v>45.0</v>
      </c>
      <c r="F573" s="103" t="n">
        <v>174.91</v>
      </c>
      <c r="G573" s="0">
        <f>IF(ISBLANK(F573),IF(E573&gt;45.0,"Atrativo",IF(E573&lt;45.0,"Pouco atrativo","-")),IF(F573&lt;174.91,"Atrativo",IF(F573&gt;174.91,"Pouco atrativo","-")))</f>
      </c>
      <c r="H573" s="102">
        <f>IF(ISBLANK(F573),IF(E573=45,"$ 133.17","-"),IF(F573=174.91,"$ 133.17","-"))</f>
      </c>
      <c r="I573" s="103"/>
      <c r="J573" s="103"/>
      <c r="L573" s="104" t="s">
        <v>180</v>
      </c>
      <c r="M573" s="105" t="s">
        <v>181</v>
      </c>
      <c r="N573" s="106"/>
    </row>
    <row r="574">
      <c r="A574" s="101" t="s">
        <v>1943</v>
      </c>
      <c r="B574" s="100" t="s">
        <v>1942</v>
      </c>
      <c r="C574" s="100" t="s">
        <v>252</v>
      </c>
      <c r="D574" s="102" t="n">
        <v>131.52</v>
      </c>
      <c r="E574" s="103" t="n">
        <v>21.0</v>
      </c>
      <c r="F574" s="103" t="n">
        <v>103.9</v>
      </c>
      <c r="G574" s="0">
        <f>IF(ISBLANK(F574),IF(E574&gt;21.0,"Atrativo",IF(E574&lt;21.0,"Pouco atrativo","-")),IF(F574&lt;103.9,"Atrativo",IF(F574&gt;103.9,"Pouco atrativo","-")))</f>
      </c>
      <c r="H574" s="102">
        <f>IF(ISBLANK(F574),IF(E574=21,"$ 74.98","-"),IF(F574=103.9,"$ 74.98","-"))</f>
      </c>
      <c r="I574" s="103"/>
      <c r="J574" s="103"/>
      <c r="L574" s="104" t="s">
        <v>180</v>
      </c>
      <c r="M574" s="105" t="s">
        <v>181</v>
      </c>
      <c r="N574" s="106"/>
    </row>
    <row r="575">
      <c r="A575" s="101" t="s">
        <v>1946</v>
      </c>
      <c r="B575" s="100" t="s">
        <v>1945</v>
      </c>
      <c r="C575" s="100" t="s">
        <v>1574</v>
      </c>
      <c r="D575" s="102" t="n">
        <v>830.39</v>
      </c>
      <c r="E575" s="103" t="n">
        <v>21.0</v>
      </c>
      <c r="F575" s="103" t="n">
        <v>656.01</v>
      </c>
      <c r="G575" s="0">
        <f>IF(ISBLANK(F575),IF(E575&gt;21.0,"Atrativo",IF(E575&lt;21.0,"Pouco atrativo","-")),IF(F575&lt;656.01,"Atrativo",IF(F575&gt;656.01,"Pouco atrativo","-")))</f>
      </c>
      <c r="H575" s="102">
        <f>IF(ISBLANK(F575),IF(E575=21,"$ 492.70","-"),IF(F575=656.01,"$ 492.70","-"))</f>
      </c>
      <c r="I575" s="103"/>
      <c r="J575" s="103"/>
      <c r="L575" s="104" t="s">
        <v>180</v>
      </c>
      <c r="M575" s="105" t="s">
        <v>181</v>
      </c>
      <c r="N575" s="106"/>
    </row>
    <row r="576">
      <c r="A576" s="101" t="s">
        <v>1949</v>
      </c>
      <c r="B576" s="100" t="s">
        <v>1948</v>
      </c>
      <c r="C576" s="100" t="s">
        <v>1574</v>
      </c>
      <c r="D576" s="102" t="n">
        <v>988.49</v>
      </c>
      <c r="E576" s="103" t="n">
        <v>21.0</v>
      </c>
      <c r="F576" s="103" t="n">
        <v>780.91</v>
      </c>
      <c r="G576" s="0">
        <f>IF(ISBLANK(F576),IF(E576&gt;21.0,"Atrativo",IF(E576&lt;21.0,"Pouco atrativo","-")),IF(F576&lt;780.91,"Atrativo",IF(F576&gt;780.91,"Pouco atrativo","-")))</f>
      </c>
      <c r="H576" s="102">
        <f>IF(ISBLANK(F576),IF(E576=21,"$ 564.81","-"),IF(F576=780.91,"$ 564.81","-"))</f>
      </c>
      <c r="I576" s="103"/>
      <c r="J576" s="103"/>
      <c r="L576" s="104" t="s">
        <v>180</v>
      </c>
      <c r="M576" s="105" t="s">
        <v>181</v>
      </c>
      <c r="N576" s="106"/>
    </row>
    <row r="577">
      <c r="A577" s="101" t="s">
        <v>1952</v>
      </c>
      <c r="B577" s="100" t="s">
        <v>1951</v>
      </c>
      <c r="C577" s="100" t="s">
        <v>1578</v>
      </c>
      <c r="D577" s="102" t="n">
        <v>65.7</v>
      </c>
      <c r="E577" s="103" t="n">
        <v>22.0</v>
      </c>
      <c r="F577" s="103" t="n">
        <v>51.9</v>
      </c>
      <c r="G577" s="0">
        <f>IF(ISBLANK(F577),IF(E577&gt;22.0,"Atrativo",IF(E577&lt;22.0,"Pouco atrativo","-")),IF(F577&lt;51.9,"Atrativo",IF(F577&gt;51.9,"Pouco atrativo","-")))</f>
      </c>
      <c r="H577" s="102">
        <f>IF(ISBLANK(F577),IF(E577=22,"$ 37.92","-"),IF(F577=51.9,"$ 37.92","-"))</f>
      </c>
      <c r="I577" s="103"/>
      <c r="J577" s="103"/>
      <c r="L577" s="104" t="s">
        <v>180</v>
      </c>
      <c r="M577" s="105" t="s">
        <v>181</v>
      </c>
      <c r="N577" s="106"/>
    </row>
    <row r="578">
      <c r="A578" s="101" t="s">
        <v>1586</v>
      </c>
      <c r="B578" s="100" t="s">
        <v>1953</v>
      </c>
      <c r="C578" s="100" t="s">
        <v>1587</v>
      </c>
      <c r="D578" s="102" t="n">
        <v>149.36</v>
      </c>
      <c r="E578" s="103" t="n">
        <v>22.0</v>
      </c>
      <c r="F578" s="103" t="n">
        <v>117.99</v>
      </c>
      <c r="G578" s="0">
        <f>IF(ISBLANK(F578),IF(E578&gt;22.0,"Atrativo",IF(E578&lt;22.0,"Pouco atrativo","-")),IF(F578&lt;117.99,"Atrativo",IF(F578&gt;117.99,"Pouco atrativo","-")))</f>
      </c>
      <c r="H578" s="102">
        <f>IF(ISBLANK(F578),IF(E578=22,"$ 89.48","-"),IF(F578=117.99,"$ 89.48","-"))</f>
      </c>
      <c r="I578" s="103"/>
      <c r="J578" s="103"/>
      <c r="L578" s="104" t="s">
        <v>180</v>
      </c>
      <c r="M578" s="105" t="s">
        <v>181</v>
      </c>
      <c r="N578" s="106"/>
    </row>
    <row r="579">
      <c r="A579" s="101" t="s">
        <v>1956</v>
      </c>
      <c r="B579" s="100" t="s">
        <v>1955</v>
      </c>
      <c r="C579" s="100" t="s">
        <v>667</v>
      </c>
      <c r="D579" s="102" t="n">
        <v>179.62</v>
      </c>
      <c r="E579" s="103" t="n">
        <v>21.0</v>
      </c>
      <c r="F579" s="103" t="n">
        <v>141.9</v>
      </c>
      <c r="G579" s="0">
        <f>IF(ISBLANK(F579),IF(E579&gt;21.0,"Atrativo",IF(E579&lt;21.0,"Pouco atrativo","-")),IF(F579&lt;141.9,"Atrativo",IF(F579&gt;141.9,"Pouco atrativo","-")))</f>
      </c>
      <c r="H579" s="102">
        <f>IF(ISBLANK(F579),IF(E579=21,"$ 107.22","-"),IF(F579=141.9,"$ 107.22","-"))</f>
      </c>
      <c r="I579" s="103"/>
      <c r="J579" s="103"/>
      <c r="L579" s="104" t="s">
        <v>180</v>
      </c>
      <c r="M579" s="105" t="s">
        <v>181</v>
      </c>
      <c r="N579" s="106"/>
    </row>
    <row r="580">
      <c r="A580" s="101" t="s">
        <v>1959</v>
      </c>
      <c r="B580" s="100" t="s">
        <v>1958</v>
      </c>
      <c r="C580" s="100" t="s">
        <v>667</v>
      </c>
      <c r="D580" s="102" t="n">
        <v>246.71</v>
      </c>
      <c r="E580" s="103" t="n">
        <v>21.0</v>
      </c>
      <c r="F580" s="103" t="n">
        <v>194.9</v>
      </c>
      <c r="G580" s="0">
        <f>IF(ISBLANK(F580),IF(E580&gt;21.0,"Atrativo",IF(E580&lt;21.0,"Pouco atrativo","-")),IF(F580&lt;194.9,"Atrativo",IF(F580&gt;194.9,"Pouco atrativo","-")))</f>
      </c>
      <c r="H580" s="102">
        <f>IF(ISBLANK(F580),IF(E580=21,"$ 153.06","-"),IF(F580=194.9,"$ 153.06","-"))</f>
      </c>
      <c r="I580" s="103"/>
      <c r="J580" s="103"/>
      <c r="L580" s="104" t="s">
        <v>180</v>
      </c>
      <c r="M580" s="105" t="s">
        <v>181</v>
      </c>
      <c r="N580" s="106"/>
    </row>
    <row r="581">
      <c r="A581" s="101" t="s">
        <v>902</v>
      </c>
      <c r="B581" s="100" t="s">
        <v>1961</v>
      </c>
      <c r="C581" s="100" t="s">
        <v>129</v>
      </c>
      <c r="D581" s="102" t="n">
        <v>477.09</v>
      </c>
      <c r="E581" s="103" t="n">
        <v>21.0</v>
      </c>
      <c r="F581" s="103" t="n">
        <v>376.9</v>
      </c>
      <c r="G581" s="0">
        <f>IF(ISBLANK(F581),IF(E581&gt;21.0,"Atrativo",IF(E581&lt;21.0,"Pouco atrativo","-")),IF(F581&lt;376.9,"Atrativo",IF(F581&gt;376.9,"Pouco atrativo","-")))</f>
      </c>
      <c r="H581" s="102">
        <f>IF(ISBLANK(F581),IF(E581=21,"$ 300.92","-"),IF(F581=376.9,"$ 300.92","-"))</f>
      </c>
      <c r="I581" s="103"/>
      <c r="J581" s="103"/>
      <c r="L581" s="104" t="s">
        <v>180</v>
      </c>
      <c r="M581" s="105" t="s">
        <v>181</v>
      </c>
      <c r="N581" s="106"/>
    </row>
    <row r="582">
      <c r="A582" s="101" t="s">
        <v>1964</v>
      </c>
      <c r="B582" s="100" t="s">
        <v>1963</v>
      </c>
      <c r="C582" s="100" t="s">
        <v>841</v>
      </c>
      <c r="D582" s="102" t="n">
        <v>211.27</v>
      </c>
      <c r="E582" s="103" t="n">
        <v>22.0</v>
      </c>
      <c r="F582" s="103" t="n">
        <v>166.9</v>
      </c>
      <c r="G582" s="0">
        <f>IF(ISBLANK(F582),IF(E582&gt;22.0,"Atrativo",IF(E582&lt;22.0,"Pouco atrativo","-")),IF(F582&lt;166.9,"Atrativo",IF(F582&gt;166.9,"Pouco atrativo","-")))</f>
      </c>
      <c r="H582" s="102">
        <f>IF(ISBLANK(F582),IF(E582=22,"$ 126.12","-"),IF(F582=166.9,"$ 126.12","-"))</f>
      </c>
      <c r="I582" s="103"/>
      <c r="J582" s="103"/>
      <c r="L582" s="104" t="s">
        <v>180</v>
      </c>
      <c r="M582" s="105" t="s">
        <v>181</v>
      </c>
      <c r="N582" s="106"/>
    </row>
    <row r="583">
      <c r="A583" s="101" t="s">
        <v>605</v>
      </c>
      <c r="B583" s="100" t="s">
        <v>1966</v>
      </c>
      <c r="C583" s="100" t="s">
        <v>606</v>
      </c>
      <c r="D583" s="102" t="n">
        <v>82.9</v>
      </c>
      <c r="E583" s="103" t="n">
        <v>5.0</v>
      </c>
      <c r="F583" s="103" t="n">
        <v>78.75</v>
      </c>
      <c r="G583" s="107" t="s">
        <v>294</v>
      </c>
      <c r="H583" s="102">
        <f>IF(ISBLANK(F583),IF(E583=5,"$ 53.01","-"),IF(F583=78.75,"$ 53.01","-"))</f>
      </c>
      <c r="I583" s="103"/>
      <c r="J583" s="103"/>
      <c r="L583" s="104" t="s">
        <v>295</v>
      </c>
      <c r="M583" s="105" t="s">
        <v>181</v>
      </c>
      <c r="N583" s="101" t="s">
        <v>296</v>
      </c>
    </row>
    <row r="584">
      <c r="A584" s="101" t="s">
        <v>605</v>
      </c>
      <c r="B584" s="100" t="s">
        <v>1968</v>
      </c>
      <c r="C584" s="100" t="s">
        <v>606</v>
      </c>
      <c r="D584" s="102" t="n">
        <v>228.99</v>
      </c>
      <c r="E584" s="103" t="n">
        <v>23.0</v>
      </c>
      <c r="F584" s="103" t="n">
        <v>177.9</v>
      </c>
      <c r="G584" s="0">
        <f>IF(ISBLANK(F584),IF(E584&gt;23.0,"Atrativo",IF(E584&lt;23.0,"Pouco atrativo","-")),IF(F584&lt;177.9,"Atrativo",IF(F584&gt;177.9,"Pouco atrativo","-")))</f>
      </c>
      <c r="H584" s="102">
        <f>IF(ISBLANK(F584),IF(E584=23,"$ 129.21","-"),IF(F584=177.9,"$ 129.21","-"))</f>
      </c>
      <c r="I584" s="103"/>
      <c r="J584" s="103"/>
      <c r="L584" s="104" t="s">
        <v>180</v>
      </c>
      <c r="M584" s="105" t="s">
        <v>181</v>
      </c>
      <c r="N584" s="106"/>
    </row>
    <row r="585">
      <c r="A585" s="101" t="s">
        <v>1971</v>
      </c>
      <c r="B585" s="100" t="s">
        <v>1970</v>
      </c>
      <c r="C585" s="100" t="s">
        <v>606</v>
      </c>
      <c r="D585" s="102" t="n">
        <v>54.9</v>
      </c>
      <c r="E585" s="103" t="n">
        <v>5.0</v>
      </c>
      <c r="F585" s="103" t="n">
        <v>52.15</v>
      </c>
      <c r="G585" s="107" t="s">
        <v>294</v>
      </c>
      <c r="H585" s="102">
        <f>IF(ISBLANK(F585),IF(E585=5,"$ 38.14","-"),IF(F585=52.15,"$ 38.14","-"))</f>
      </c>
      <c r="I585" s="103"/>
      <c r="J585" s="103"/>
      <c r="L585" s="104" t="s">
        <v>295</v>
      </c>
      <c r="M585" s="105" t="s">
        <v>181</v>
      </c>
      <c r="N585" s="101" t="s">
        <v>296</v>
      </c>
    </row>
    <row r="586">
      <c r="A586" s="101" t="s">
        <v>1974</v>
      </c>
      <c r="B586" s="100" t="s">
        <v>1973</v>
      </c>
      <c r="C586" s="100" t="s">
        <v>1646</v>
      </c>
      <c r="D586" s="102" t="n">
        <v>73.29</v>
      </c>
      <c r="E586" s="103" t="n">
        <v>21.0</v>
      </c>
      <c r="F586" s="103" t="n">
        <v>57.9</v>
      </c>
      <c r="G586" s="0">
        <f>IF(ISBLANK(F586),IF(E586&gt;21.0,"Atrativo",IF(E586&lt;21.0,"Pouco atrativo","-")),IF(F586&lt;57.9,"Atrativo",IF(F586&gt;57.9,"Pouco atrativo","-")))</f>
      </c>
      <c r="H586" s="102">
        <f>IF(ISBLANK(F586),IF(E586=21,"$ 40.31","-"),IF(F586=57.9,"$ 40.31","-"))</f>
      </c>
      <c r="I586" s="103"/>
      <c r="J586" s="103"/>
      <c r="L586" s="104" t="s">
        <v>180</v>
      </c>
      <c r="M586" s="105" t="s">
        <v>181</v>
      </c>
      <c r="N586" s="106"/>
    </row>
    <row r="587">
      <c r="A587" s="101" t="s">
        <v>1976</v>
      </c>
      <c r="B587" s="100" t="s">
        <v>1975</v>
      </c>
      <c r="C587" s="100" t="s">
        <v>1690</v>
      </c>
      <c r="D587" s="102" t="n">
        <v>235.32</v>
      </c>
      <c r="E587" s="103" t="n">
        <v>22.0</v>
      </c>
      <c r="F587" s="103" t="n">
        <v>185.9</v>
      </c>
      <c r="G587" s="0">
        <f>IF(ISBLANK(F587),IF(E587&gt;22.0,"Atrativo",IF(E587&lt;22.0,"Pouco atrativo","-")),IF(F587&lt;185.9,"Atrativo",IF(F587&gt;185.9,"Pouco atrativo","-")))</f>
      </c>
      <c r="H587" s="102">
        <f>IF(ISBLANK(F587),IF(E587=22,"$ 134.45","-"),IF(F587=185.9,"$ 134.45","-"))</f>
      </c>
      <c r="I587" s="103"/>
      <c r="J587" s="103"/>
      <c r="L587" s="104" t="s">
        <v>180</v>
      </c>
      <c r="M587" s="105" t="s">
        <v>181</v>
      </c>
      <c r="N587" s="106"/>
    </row>
    <row r="588">
      <c r="A588" s="101" t="s">
        <v>1978</v>
      </c>
      <c r="B588" s="100" t="s">
        <v>1977</v>
      </c>
      <c r="C588" s="100" t="s">
        <v>657</v>
      </c>
      <c r="D588" s="102" t="n">
        <v>331.52</v>
      </c>
      <c r="E588" s="103" t="n">
        <v>21.0</v>
      </c>
      <c r="F588" s="103" t="n">
        <v>261.9</v>
      </c>
      <c r="G588" s="0">
        <f>IF(ISBLANK(F588),IF(E588&gt;21.0,"Atrativo",IF(E588&lt;21.0,"Pouco atrativo","-")),IF(F588&lt;261.9,"Atrativo",IF(F588&gt;261.9,"Pouco atrativo","-")))</f>
      </c>
      <c r="H588" s="102">
        <f>IF(ISBLANK(F588),IF(E588=21,"$ 194.83","-"),IF(F588=261.9,"$ 194.83","-"))</f>
      </c>
      <c r="I588" s="103"/>
      <c r="J588" s="103"/>
      <c r="L588" s="104" t="s">
        <v>180</v>
      </c>
      <c r="M588" s="105" t="s">
        <v>181</v>
      </c>
      <c r="N588" s="106"/>
    </row>
    <row r="589">
      <c r="A589" s="101" t="s">
        <v>1981</v>
      </c>
      <c r="B589" s="100" t="s">
        <v>1980</v>
      </c>
      <c r="C589" s="100" t="s">
        <v>1690</v>
      </c>
      <c r="D589" s="102" t="n">
        <v>187.9</v>
      </c>
      <c r="E589" s="103" t="n">
        <v>5.0</v>
      </c>
      <c r="F589" s="103" t="n">
        <v>178.5</v>
      </c>
      <c r="G589" s="107" t="s">
        <v>294</v>
      </c>
      <c r="H589" s="102">
        <f>IF(ISBLANK(F589),IF(E589=5,"$ 127.41","-"),IF(F589=178.5,"$ 127.41","-"))</f>
      </c>
      <c r="I589" s="103"/>
      <c r="J589" s="103"/>
      <c r="L589" s="104" t="s">
        <v>295</v>
      </c>
      <c r="M589" s="105" t="s">
        <v>181</v>
      </c>
      <c r="N589" s="101" t="s">
        <v>296</v>
      </c>
    </row>
    <row r="590">
      <c r="A590" s="101" t="s">
        <v>1984</v>
      </c>
      <c r="B590" s="100" t="s">
        <v>1983</v>
      </c>
      <c r="C590" s="100" t="s">
        <v>1690</v>
      </c>
      <c r="D590" s="102" t="n">
        <v>210.0</v>
      </c>
      <c r="E590" s="103" t="n">
        <v>21.0</v>
      </c>
      <c r="F590" s="103" t="n">
        <v>165.9</v>
      </c>
      <c r="G590" s="0">
        <f>IF(ISBLANK(F590),IF(E590&gt;21.0,"Atrativo",IF(E590&lt;21.0,"Pouco atrativo","-")),IF(F590&lt;165.9,"Atrativo",IF(F590&gt;165.9,"Pouco atrativo","-")))</f>
      </c>
      <c r="H590" s="102">
        <f>IF(ISBLANK(F590),IF(E590=21,"$ 126.14","-"),IF(F590=165.9,"$ 126.14","-"))</f>
      </c>
      <c r="I590" s="103"/>
      <c r="J590" s="103"/>
      <c r="L590" s="104" t="s">
        <v>180</v>
      </c>
      <c r="M590" s="105" t="s">
        <v>181</v>
      </c>
      <c r="N590" s="106"/>
    </row>
    <row r="591">
      <c r="A591" s="101" t="s">
        <v>1987</v>
      </c>
      <c r="B591" s="100" t="s">
        <v>1986</v>
      </c>
      <c r="C591" s="100" t="s">
        <v>623</v>
      </c>
      <c r="D591" s="102" t="n">
        <v>435.44</v>
      </c>
      <c r="E591" s="103" t="n">
        <v>21.0</v>
      </c>
      <c r="F591" s="103" t="n">
        <v>344.0</v>
      </c>
      <c r="G591" s="0">
        <f>IF(ISBLANK(F591),IF(E591&gt;21.0,"Atrativo",IF(E591&lt;21.0,"Pouco atrativo","-")),IF(F591&lt;344.0,"Atrativo",IF(F591&gt;344.0,"Pouco atrativo","-")))</f>
      </c>
      <c r="H591" s="102">
        <f>IF(ISBLANK(F591),IF(E591=21,"$ 262.97","-"),IF(F591=344,"$ 262.97","-"))</f>
      </c>
      <c r="I591" s="103"/>
      <c r="J591" s="103"/>
      <c r="L591" s="104" t="s">
        <v>180</v>
      </c>
      <c r="M591" s="105" t="s">
        <v>181</v>
      </c>
      <c r="N591" s="106"/>
    </row>
    <row r="592">
      <c r="A592" s="101" t="s">
        <v>1990</v>
      </c>
      <c r="B592" s="100" t="s">
        <v>1989</v>
      </c>
      <c r="C592" s="100" t="s">
        <v>453</v>
      </c>
      <c r="D592" s="102" t="n">
        <v>125.19</v>
      </c>
      <c r="E592" s="103" t="n">
        <v>21.0</v>
      </c>
      <c r="F592" s="103" t="n">
        <v>98.9</v>
      </c>
      <c r="G592" s="0">
        <f>IF(ISBLANK(F592),IF(E592&gt;21.0,"Atrativo",IF(E592&lt;21.0,"Pouco atrativo","-")),IF(F592&lt;98.9,"Atrativo",IF(F592&gt;98.9,"Pouco atrativo","-")))</f>
      </c>
      <c r="H592" s="102">
        <f>IF(ISBLANK(F592),IF(E592=21,"$ 68.84","-"),IF(F592=98.9,"$ 68.84","-"))</f>
      </c>
      <c r="I592" s="103"/>
      <c r="J592" s="103"/>
      <c r="L592" s="104" t="s">
        <v>180</v>
      </c>
      <c r="M592" s="105" t="s">
        <v>181</v>
      </c>
      <c r="N592" s="106"/>
    </row>
    <row r="593">
      <c r="A593" s="101" t="s">
        <v>1993</v>
      </c>
      <c r="B593" s="100" t="s">
        <v>1992</v>
      </c>
      <c r="C593" s="100" t="s">
        <v>536</v>
      </c>
      <c r="D593" s="102" t="n">
        <v>351.78</v>
      </c>
      <c r="E593" s="103" t="n">
        <v>21.0</v>
      </c>
      <c r="F593" s="103" t="n">
        <v>277.91</v>
      </c>
      <c r="G593" s="0">
        <f>IF(ISBLANK(F593),IF(E593&gt;21.0,"Atrativo",IF(E593&lt;21.0,"Pouco atrativo","-")),IF(F593&lt;277.91,"Atrativo",IF(F593&gt;277.91,"Pouco atrativo","-")))</f>
      </c>
      <c r="H593" s="102">
        <f>IF(ISBLANK(F593),IF(E593=21,"$ 208.12","-"),IF(F593=277.91,"$ 208.12","-"))</f>
      </c>
      <c r="I593" s="103"/>
      <c r="J593" s="103"/>
      <c r="L593" s="104" t="s">
        <v>180</v>
      </c>
      <c r="M593" s="105" t="s">
        <v>181</v>
      </c>
      <c r="N593" s="106"/>
    </row>
    <row r="594">
      <c r="A594" s="101" t="s">
        <v>1996</v>
      </c>
      <c r="B594" s="100" t="s">
        <v>1995</v>
      </c>
      <c r="C594" s="100" t="s">
        <v>536</v>
      </c>
      <c r="D594" s="102" t="n">
        <v>207.47</v>
      </c>
      <c r="E594" s="103" t="n">
        <v>21.0</v>
      </c>
      <c r="F594" s="103" t="n">
        <v>163.9</v>
      </c>
      <c r="G594" s="0">
        <f>IF(ISBLANK(F594),IF(E594&gt;21.0,"Atrativo",IF(E594&lt;21.0,"Pouco atrativo","-")),IF(F594&lt;163.9,"Atrativo",IF(F594&gt;163.9,"Pouco atrativo","-")))</f>
      </c>
      <c r="H594" s="102">
        <f>IF(ISBLANK(F594),IF(E594=21,"$ 116.19","-"),IF(F594=163.9,"$ 116.19","-"))</f>
      </c>
      <c r="I594" s="103"/>
      <c r="J594" s="103"/>
      <c r="L594" s="104" t="s">
        <v>180</v>
      </c>
      <c r="M594" s="105" t="s">
        <v>181</v>
      </c>
      <c r="N594" s="106"/>
    </row>
    <row r="595">
      <c r="A595" s="101" t="s">
        <v>1999</v>
      </c>
      <c r="B595" s="100" t="s">
        <v>1998</v>
      </c>
      <c r="C595" s="100" t="s">
        <v>657</v>
      </c>
      <c r="D595" s="102" t="n">
        <v>351.78</v>
      </c>
      <c r="E595" s="103" t="n">
        <v>21.0</v>
      </c>
      <c r="F595" s="103" t="n">
        <v>277.91</v>
      </c>
      <c r="G595" s="0">
        <f>IF(ISBLANK(F595),IF(E595&gt;21.0,"Atrativo",IF(E595&lt;21.0,"Pouco atrativo","-")),IF(F595&lt;277.91,"Atrativo",IF(F595&gt;277.91,"Pouco atrativo","-")))</f>
      </c>
      <c r="H595" s="102">
        <f>IF(ISBLANK(F595),IF(E595=21,"$ 207.02","-"),IF(F595=277.91,"$ 207.02","-"))</f>
      </c>
      <c r="I595" s="103"/>
      <c r="J595" s="103"/>
      <c r="L595" s="104" t="s">
        <v>180</v>
      </c>
      <c r="M595" s="105" t="s">
        <v>181</v>
      </c>
      <c r="N595" s="106"/>
    </row>
    <row r="596">
      <c r="A596" s="101" t="s">
        <v>2002</v>
      </c>
      <c r="B596" s="100" t="s">
        <v>2001</v>
      </c>
      <c r="C596" s="100" t="s">
        <v>1706</v>
      </c>
      <c r="D596" s="102" t="n">
        <v>32.9</v>
      </c>
      <c r="E596" s="103" t="n">
        <v>9.0</v>
      </c>
      <c r="F596" s="103" t="n">
        <v>29.93</v>
      </c>
      <c r="G596" s="107" t="s">
        <v>294</v>
      </c>
      <c r="H596" s="102">
        <f>IF(ISBLANK(F596),IF(E596=9,"$ 20.07","-"),IF(F596=29.93,"$ 20.07","-"))</f>
      </c>
      <c r="I596" s="103"/>
      <c r="J596" s="103"/>
      <c r="L596" s="104" t="s">
        <v>295</v>
      </c>
      <c r="M596" s="105" t="s">
        <v>181</v>
      </c>
      <c r="N596" s="101" t="s">
        <v>296</v>
      </c>
    </row>
    <row r="597">
      <c r="A597" s="101" t="s">
        <v>2005</v>
      </c>
      <c r="B597" s="100" t="s">
        <v>2004</v>
      </c>
      <c r="C597" s="100" t="s">
        <v>1710</v>
      </c>
      <c r="D597" s="102" t="n">
        <v>45.44</v>
      </c>
      <c r="E597" s="103" t="n">
        <v>21.0</v>
      </c>
      <c r="F597" s="103" t="n">
        <v>35.9</v>
      </c>
      <c r="G597" s="0">
        <f>IF(ISBLANK(F597),IF(E597&gt;21.0,"Atrativo",IF(E597&lt;21.0,"Pouco atrativo","-")),IF(F597&lt;35.9,"Atrativo",IF(F597&gt;35.9,"Pouco atrativo","-")))</f>
      </c>
      <c r="H597" s="102">
        <f>IF(ISBLANK(F597),IF(E597=21,"$ 25.04","-"),IF(F597=35.9,"$ 25.04","-"))</f>
      </c>
      <c r="I597" s="103"/>
      <c r="J597" s="103"/>
      <c r="L597" s="104" t="s">
        <v>180</v>
      </c>
      <c r="M597" s="105" t="s">
        <v>181</v>
      </c>
      <c r="N597" s="106"/>
    </row>
    <row r="598">
      <c r="A598" s="101" t="s">
        <v>2008</v>
      </c>
      <c r="B598" s="100" t="s">
        <v>2007</v>
      </c>
      <c r="C598" s="100" t="s">
        <v>2009</v>
      </c>
      <c r="D598" s="102" t="n">
        <v>42.41</v>
      </c>
      <c r="E598" s="103" t="n">
        <v>22.0</v>
      </c>
      <c r="F598" s="103" t="n">
        <v>33.5</v>
      </c>
      <c r="G598" s="0">
        <f>IF(ISBLANK(F598),IF(E598&gt;22.0,"Atrativo",IF(E598&lt;22.0,"Pouco atrativo","-")),IF(F598&lt;33.5,"Atrativo",IF(F598&gt;33.5,"Pouco atrativo","-")))</f>
      </c>
      <c r="H598" s="102">
        <f>IF(ISBLANK(F598),IF(E598=22,"$ 23","-"),IF(F598=33.5,"$ 23","-"))</f>
      </c>
      <c r="I598" s="103"/>
      <c r="J598" s="103"/>
      <c r="L598" s="104" t="s">
        <v>180</v>
      </c>
      <c r="M598" s="105" t="s">
        <v>181</v>
      </c>
      <c r="N598" s="106"/>
    </row>
    <row r="599">
      <c r="A599" s="101" t="s">
        <v>2012</v>
      </c>
      <c r="B599" s="100" t="s">
        <v>2011</v>
      </c>
      <c r="C599" s="100" t="s">
        <v>1714</v>
      </c>
      <c r="D599" s="102" t="n">
        <v>55.9</v>
      </c>
      <c r="E599" s="103" t="n">
        <v>5.0</v>
      </c>
      <c r="F599" s="103" t="n">
        <v>53.1</v>
      </c>
      <c r="G599" s="107" t="s">
        <v>294</v>
      </c>
      <c r="H599" s="102">
        <f>IF(ISBLANK(F599),IF(E599=5,"$ 38.98","-"),IF(F599=53.1,"$ 38.98","-"))</f>
      </c>
      <c r="I599" s="103"/>
      <c r="J599" s="103"/>
      <c r="L599" s="104" t="s">
        <v>295</v>
      </c>
      <c r="M599" s="105" t="s">
        <v>181</v>
      </c>
      <c r="N599" s="101" t="s">
        <v>296</v>
      </c>
    </row>
    <row r="600">
      <c r="A600" s="101" t="s">
        <v>2015</v>
      </c>
      <c r="B600" s="100" t="s">
        <v>2014</v>
      </c>
      <c r="C600" s="100" t="s">
        <v>2009</v>
      </c>
      <c r="D600" s="102" t="n">
        <v>41.14</v>
      </c>
      <c r="E600" s="103" t="n">
        <v>22.0</v>
      </c>
      <c r="F600" s="103" t="n">
        <v>32.5</v>
      </c>
      <c r="G600" s="0">
        <f>IF(ISBLANK(F600),IF(E600&gt;22.0,"Atrativo",IF(E600&lt;22.0,"Pouco atrativo","-")),IF(F600&lt;32.5,"Atrativo",IF(F600&gt;32.5,"Pouco atrativo","-")))</f>
      </c>
      <c r="H600" s="102">
        <f>IF(ISBLANK(F600),IF(E600=22,"$ 22.11","-"),IF(F600=32.5,"$ 22.11","-"))</f>
      </c>
      <c r="I600" s="103"/>
      <c r="J600" s="103"/>
      <c r="L600" s="104" t="s">
        <v>180</v>
      </c>
      <c r="M600" s="105" t="s">
        <v>181</v>
      </c>
      <c r="N600" s="106"/>
    </row>
    <row r="601">
      <c r="A601" s="101" t="s">
        <v>2018</v>
      </c>
      <c r="B601" s="100" t="s">
        <v>2017</v>
      </c>
      <c r="C601" s="100" t="s">
        <v>1714</v>
      </c>
      <c r="D601" s="102" t="n">
        <v>34.05</v>
      </c>
      <c r="E601" s="103" t="n">
        <v>21.0</v>
      </c>
      <c r="F601" s="103" t="n">
        <v>26.9</v>
      </c>
      <c r="G601" s="0">
        <f>IF(ISBLANK(F601),IF(E601&gt;21.0,"Atrativo",IF(E601&lt;21.0,"Pouco atrativo","-")),IF(F601&lt;26.9,"Atrativo",IF(F601&gt;26.9,"Pouco atrativo","-")))</f>
      </c>
      <c r="H601" s="102">
        <f>IF(ISBLANK(F601),IF(E601=21,"$ 17.26","-"),IF(F601=26.9,"$ 17.26","-"))</f>
      </c>
      <c r="I601" s="103"/>
      <c r="J601" s="103"/>
      <c r="L601" s="104" t="s">
        <v>180</v>
      </c>
      <c r="M601" s="105" t="s">
        <v>181</v>
      </c>
      <c r="N601" s="106"/>
    </row>
    <row r="602">
      <c r="A602" s="101" t="s">
        <v>2021</v>
      </c>
      <c r="B602" s="100" t="s">
        <v>2020</v>
      </c>
      <c r="C602" s="100" t="s">
        <v>2009</v>
      </c>
      <c r="D602" s="102" t="n">
        <v>41.65</v>
      </c>
      <c r="E602" s="103" t="n">
        <v>22.0</v>
      </c>
      <c r="F602" s="103" t="n">
        <v>32.9</v>
      </c>
      <c r="G602" s="0">
        <f>IF(ISBLANK(F602),IF(E602&gt;22.0,"Atrativo",IF(E602&lt;22.0,"Pouco atrativo","-")),IF(F602&lt;32.9,"Atrativo",IF(F602&gt;32.9,"Pouco atrativo","-")))</f>
      </c>
      <c r="H602" s="102">
        <f>IF(ISBLANK(F602),IF(E602=22,"$ 22.47","-"),IF(F602=32.9,"$ 22.47","-"))</f>
      </c>
      <c r="I602" s="103"/>
      <c r="J602" s="103"/>
      <c r="L602" s="104" t="s">
        <v>180</v>
      </c>
      <c r="M602" s="105" t="s">
        <v>181</v>
      </c>
      <c r="N602" s="106"/>
    </row>
    <row r="603">
      <c r="A603" s="101" t="s">
        <v>2024</v>
      </c>
      <c r="B603" s="100" t="s">
        <v>2023</v>
      </c>
      <c r="C603" s="100" t="s">
        <v>1045</v>
      </c>
      <c r="D603" s="102" t="n">
        <v>396.99</v>
      </c>
      <c r="E603" s="103" t="n">
        <v>5.0</v>
      </c>
      <c r="F603" s="103" t="n">
        <v>377.14</v>
      </c>
      <c r="G603" s="107" t="s">
        <v>294</v>
      </c>
      <c r="H603" s="102">
        <f>IF(ISBLANK(F603),IF(E603=5,"$ 290.48","-"),IF(F603=377.14,"$ 290.48","-"))</f>
      </c>
      <c r="I603" s="103"/>
      <c r="J603" s="103"/>
      <c r="L603" s="104" t="s">
        <v>295</v>
      </c>
      <c r="M603" s="105" t="s">
        <v>181</v>
      </c>
      <c r="N603" s="101" t="s">
        <v>296</v>
      </c>
    </row>
    <row r="604">
      <c r="A604" s="101" t="s">
        <v>2027</v>
      </c>
      <c r="B604" s="100" t="s">
        <v>2026</v>
      </c>
      <c r="C604" s="100" t="s">
        <v>1553</v>
      </c>
      <c r="D604" s="102" t="n">
        <v>687.9</v>
      </c>
      <c r="E604" s="103" t="n">
        <v>5.0</v>
      </c>
      <c r="F604" s="103" t="n">
        <v>653.5</v>
      </c>
      <c r="G604" s="107" t="s">
        <v>294</v>
      </c>
      <c r="H604" s="102">
        <f>IF(ISBLANK(F604),IF(E604=5,"$ 502.65","-"),IF(F604=653.5,"$ 502.65","-"))</f>
      </c>
      <c r="I604" s="103"/>
      <c r="J604" s="103"/>
      <c r="L604" s="104" t="s">
        <v>295</v>
      </c>
      <c r="M604" s="105" t="s">
        <v>181</v>
      </c>
      <c r="N604" s="101" t="s">
        <v>296</v>
      </c>
    </row>
    <row r="605">
      <c r="A605" s="101" t="s">
        <v>2030</v>
      </c>
      <c r="B605" s="100" t="s">
        <v>2029</v>
      </c>
      <c r="C605" s="100" t="s">
        <v>336</v>
      </c>
      <c r="D605" s="102" t="n">
        <v>1165.9</v>
      </c>
      <c r="E605" s="103" t="n">
        <v>5.0</v>
      </c>
      <c r="F605" s="103" t="n">
        <v>1107.6</v>
      </c>
      <c r="G605" s="107" t="s">
        <v>294</v>
      </c>
      <c r="H605" s="102">
        <f>IF(ISBLANK(F605),IF(E605=5,"$ 896.76","-"),IF(F605=1107.6,"$ 896.76","-"))</f>
      </c>
      <c r="I605" s="103"/>
      <c r="J605" s="103"/>
      <c r="L605" s="104" t="s">
        <v>295</v>
      </c>
      <c r="M605" s="105" t="s">
        <v>181</v>
      </c>
      <c r="N605" s="101" t="s">
        <v>296</v>
      </c>
    </row>
    <row r="606">
      <c r="A606" s="101" t="s">
        <v>2033</v>
      </c>
      <c r="B606" s="100" t="s">
        <v>2032</v>
      </c>
      <c r="C606" s="100" t="s">
        <v>781</v>
      </c>
      <c r="D606" s="102" t="n">
        <v>646.72</v>
      </c>
      <c r="E606" s="103" t="n">
        <v>21.0</v>
      </c>
      <c r="F606" s="103" t="n">
        <v>510.91</v>
      </c>
      <c r="G606" s="0">
        <f>IF(ISBLANK(F606),IF(E606&gt;21.0,"Atrativo",IF(E606&lt;21.0,"Pouco atrativo","-")),IF(F606&lt;510.91,"Atrativo",IF(F606&gt;510.91,"Pouco atrativo","-")))</f>
      </c>
      <c r="H606" s="102">
        <f>IF(ISBLANK(F606),IF(E606=21,"$ 424.95","-"),IF(F606=510.91,"$ 424.95","-"))</f>
      </c>
      <c r="I606" s="103"/>
      <c r="J606" s="103"/>
      <c r="L606" s="104" t="s">
        <v>180</v>
      </c>
      <c r="M606" s="105" t="s">
        <v>181</v>
      </c>
      <c r="N606" s="106"/>
    </row>
    <row r="607">
      <c r="A607" s="101" t="s">
        <v>2035</v>
      </c>
      <c r="B607" s="100" t="s">
        <v>2034</v>
      </c>
      <c r="C607" s="100" t="s">
        <v>781</v>
      </c>
      <c r="D607" s="102" t="n">
        <v>647.98</v>
      </c>
      <c r="E607" s="103" t="n">
        <v>22.0</v>
      </c>
      <c r="F607" s="103" t="n">
        <v>506.78</v>
      </c>
      <c r="G607" s="0">
        <f>IF(ISBLANK(F607),IF(E607&gt;22.0,"Atrativo",IF(E607&lt;22.0,"Pouco atrativo","-")),IF(F607&lt;506.78,"Atrativo",IF(F607&gt;506.78,"Pouco atrativo","-")))</f>
      </c>
      <c r="H607" s="102">
        <f>IF(ISBLANK(F607),IF(E607=22,"$ 421.32","-"),IF(F607=506.78,"$ 421.32","-"))</f>
      </c>
      <c r="I607" s="103"/>
      <c r="J607" s="103"/>
      <c r="L607" s="104" t="s">
        <v>180</v>
      </c>
      <c r="M607" s="105" t="s">
        <v>181</v>
      </c>
      <c r="N607" s="106"/>
    </row>
    <row r="608">
      <c r="A608" s="101" t="s">
        <v>2038</v>
      </c>
      <c r="B608" s="100" t="s">
        <v>2037</v>
      </c>
      <c r="C608" s="100" t="s">
        <v>619</v>
      </c>
      <c r="D608" s="102" t="n">
        <v>127.9</v>
      </c>
      <c r="E608" s="103" t="n">
        <v>8.0</v>
      </c>
      <c r="F608" s="103" t="n">
        <v>117.66</v>
      </c>
      <c r="G608" s="107" t="s">
        <v>294</v>
      </c>
      <c r="H608" s="102">
        <f>IF(ISBLANK(F608),IF(E608=8,"$ 82.37","-"),IF(F608=117.66,"$ 82.37","-"))</f>
      </c>
      <c r="I608" s="103"/>
      <c r="J608" s="103"/>
      <c r="L608" s="104" t="s">
        <v>295</v>
      </c>
      <c r="M608" s="105" t="s">
        <v>181</v>
      </c>
      <c r="N608" s="101" t="s">
        <v>296</v>
      </c>
    </row>
    <row r="609">
      <c r="A609" s="101" t="s">
        <v>2041</v>
      </c>
      <c r="B609" s="100" t="s">
        <v>2040</v>
      </c>
      <c r="C609" s="100" t="s">
        <v>1832</v>
      </c>
      <c r="D609" s="102" t="n">
        <v>252.9</v>
      </c>
      <c r="E609" s="103" t="n">
        <v>5.0</v>
      </c>
      <c r="F609" s="103" t="n">
        <v>240.25</v>
      </c>
      <c r="G609" s="107" t="s">
        <v>294</v>
      </c>
      <c r="H609" s="102">
        <f>IF(ISBLANK(F609),IF(E609=5,"$ 175.76","-"),IF(F609=240.25,"$ 175.76","-"))</f>
      </c>
      <c r="I609" s="103"/>
      <c r="J609" s="103"/>
      <c r="L609" s="104" t="s">
        <v>295</v>
      </c>
      <c r="M609" s="105" t="s">
        <v>181</v>
      </c>
      <c r="N609" s="101" t="s">
        <v>296</v>
      </c>
    </row>
    <row r="610">
      <c r="A610" s="101" t="s">
        <v>2044</v>
      </c>
      <c r="B610" s="100" t="s">
        <v>2043</v>
      </c>
      <c r="C610" s="100" t="s">
        <v>1832</v>
      </c>
      <c r="D610" s="102" t="n">
        <v>278.36</v>
      </c>
      <c r="E610" s="103" t="n">
        <v>22.0</v>
      </c>
      <c r="F610" s="103" t="n">
        <v>219.9</v>
      </c>
      <c r="G610" s="0">
        <f>IF(ISBLANK(F610),IF(E610&gt;22.0,"Atrativo",IF(E610&lt;22.0,"Pouco atrativo","-")),IF(F610&lt;219.9,"Atrativo",IF(F610&gt;219.9,"Pouco atrativo","-")))</f>
      </c>
      <c r="H610" s="102">
        <f>IF(ISBLANK(F610),IF(E610=22,"$ 158.87","-"),IF(F610=219.9,"$ 158.87","-"))</f>
      </c>
      <c r="I610" s="103"/>
      <c r="J610" s="103"/>
      <c r="L610" s="104" t="s">
        <v>180</v>
      </c>
      <c r="M610" s="105" t="s">
        <v>181</v>
      </c>
      <c r="N610" s="106"/>
    </row>
    <row r="611">
      <c r="A611" s="101" t="s">
        <v>1831</v>
      </c>
      <c r="B611" s="100" t="s">
        <v>2046</v>
      </c>
      <c r="C611" s="100" t="s">
        <v>1832</v>
      </c>
      <c r="D611" s="102" t="n">
        <v>191.9</v>
      </c>
      <c r="E611" s="103" t="n">
        <v>5.0</v>
      </c>
      <c r="F611" s="103" t="n">
        <v>182.3</v>
      </c>
      <c r="G611" s="107" t="s">
        <v>294</v>
      </c>
      <c r="H611" s="102">
        <f>IF(ISBLANK(F611),IF(E611=5,"$ 139.67","-"),IF(F611=182.3,"$ 139.67","-"))</f>
      </c>
      <c r="I611" s="103"/>
      <c r="J611" s="103"/>
      <c r="L611" s="104" t="s">
        <v>295</v>
      </c>
      <c r="M611" s="105" t="s">
        <v>181</v>
      </c>
      <c r="N611" s="101" t="s">
        <v>296</v>
      </c>
    </row>
    <row r="612">
      <c r="A612" s="101" t="s">
        <v>2049</v>
      </c>
      <c r="B612" s="100" t="s">
        <v>2048</v>
      </c>
      <c r="C612" s="100" t="s">
        <v>1839</v>
      </c>
      <c r="D612" s="102" t="n">
        <v>78.8</v>
      </c>
      <c r="E612" s="103" t="n">
        <v>5.0</v>
      </c>
      <c r="F612" s="103" t="n">
        <v>74.86</v>
      </c>
      <c r="G612" s="107" t="s">
        <v>294</v>
      </c>
      <c r="H612" s="102">
        <f>IF(ISBLANK(F612),IF(E612=5,"$ 58.13","-"),IF(F612=74.86,"$ 58.13","-"))</f>
      </c>
      <c r="I612" s="103"/>
      <c r="J612" s="103"/>
      <c r="L612" s="104" t="s">
        <v>295</v>
      </c>
      <c r="M612" s="105" t="s">
        <v>181</v>
      </c>
      <c r="N612" s="101" t="s">
        <v>296</v>
      </c>
    </row>
    <row r="613">
      <c r="A613" s="101" t="s">
        <v>2049</v>
      </c>
      <c r="B613" s="100" t="s">
        <v>2051</v>
      </c>
      <c r="C613" s="100" t="s">
        <v>1839</v>
      </c>
      <c r="D613" s="102" t="n">
        <v>75.44</v>
      </c>
      <c r="E613" s="103" t="n">
        <v>5.0</v>
      </c>
      <c r="F613" s="103" t="n">
        <v>71.66</v>
      </c>
      <c r="G613" s="107" t="s">
        <v>294</v>
      </c>
      <c r="H613" s="102">
        <f>IF(ISBLANK(F613),IF(E613=5,"$ 51.73","-"),IF(F613=71.66,"$ 51.73","-"))</f>
      </c>
      <c r="I613" s="103"/>
      <c r="J613" s="103"/>
      <c r="L613" s="104" t="s">
        <v>295</v>
      </c>
      <c r="M613" s="105" t="s">
        <v>181</v>
      </c>
      <c r="N613" s="101" t="s">
        <v>296</v>
      </c>
    </row>
    <row r="614">
      <c r="A614" s="101" t="s">
        <v>2053</v>
      </c>
      <c r="B614" s="100" t="s">
        <v>2052</v>
      </c>
      <c r="C614" s="100" t="s">
        <v>1839</v>
      </c>
      <c r="D614" s="102" t="n">
        <v>90.9</v>
      </c>
      <c r="E614" s="103" t="n">
        <v>47.0</v>
      </c>
      <c r="F614" s="103" t="n">
        <v>48.17</v>
      </c>
      <c r="G614" s="107" t="s">
        <v>294</v>
      </c>
      <c r="H614" s="102">
        <f>IF(ISBLANK(F614),IF(E614=47,"$ 27.94","-"),IF(F614=48.17,"$ 27.94","-"))</f>
      </c>
      <c r="I614" s="103"/>
      <c r="J614" s="103"/>
      <c r="L614" s="104" t="s">
        <v>295</v>
      </c>
      <c r="M614" s="105" t="s">
        <v>181</v>
      </c>
      <c r="N614" s="101" t="s">
        <v>296</v>
      </c>
    </row>
  </sheetData>
  <mergeCells count="22">
    <mergeCell ref="A2:A3"/>
    <mergeCell ref="A4:A5"/>
    <mergeCell ref="B2:B3"/>
    <mergeCell ref="B4:B5"/>
    <mergeCell ref="C2:C3"/>
    <mergeCell ref="C4:C5"/>
    <mergeCell ref="D2:D3"/>
    <mergeCell ref="D4:D5"/>
    <mergeCell ref="E4:E5"/>
    <mergeCell ref="F4:F5"/>
    <mergeCell ref="G4:G5"/>
    <mergeCell ref="H4:H5"/>
    <mergeCell ref="I4:I5"/>
    <mergeCell ref="J4:J5"/>
    <mergeCell ref="K4:K5"/>
    <mergeCell ref="L2:L3"/>
    <mergeCell ref="L4:L5"/>
    <mergeCell ref="M2:M3"/>
    <mergeCell ref="M4:M5"/>
    <mergeCell ref="N2:N3"/>
    <mergeCell ref="E2:H2"/>
    <mergeCell ref="I2:K2"/>
  </mergeCells>
  <conditionalFormatting sqref="G6">
    <cfRule type="expression" dxfId="1" priority="1">
      <formula>INDIRECT(ADDRESS(ROW(),COLUMN())) = "Atrativo"</formula>
    </cfRule>
  </conditionalFormatting>
  <conditionalFormatting sqref="G6">
    <cfRule type="expression" dxfId="2" priority="2">
      <formula>INDIRECT(ADDRESS(ROW(),COLUMN())) = "Pouco atrativo"</formula>
    </cfRule>
  </conditionalFormatting>
  <conditionalFormatting sqref="M6">
    <cfRule type="cellIs" operator="equal" dxfId="3" priority="3">
      <formula>"Participar"</formula>
    </cfRule>
  </conditionalFormatting>
  <conditionalFormatting sqref="G7">
    <cfRule type="expression" dxfId="4" priority="4">
      <formula>INDIRECT(ADDRESS(ROW(),COLUMN())) = "Atrativo"</formula>
    </cfRule>
  </conditionalFormatting>
  <conditionalFormatting sqref="G7">
    <cfRule type="expression" dxfId="5" priority="5">
      <formula>INDIRECT(ADDRESS(ROW(),COLUMN())) = "Pouco atrativo"</formula>
    </cfRule>
  </conditionalFormatting>
  <conditionalFormatting sqref="M7">
    <cfRule type="cellIs" operator="equal" dxfId="6" priority="6">
      <formula>"Participar"</formula>
    </cfRule>
  </conditionalFormatting>
  <conditionalFormatting sqref="G8">
    <cfRule type="expression" dxfId="7" priority="7">
      <formula>INDIRECT(ADDRESS(ROW(),COLUMN())) = "Atrativo"</formula>
    </cfRule>
  </conditionalFormatting>
  <conditionalFormatting sqref="G8">
    <cfRule type="expression" dxfId="8" priority="8">
      <formula>INDIRECT(ADDRESS(ROW(),COLUMN())) = "Pouco atrativo"</formula>
    </cfRule>
  </conditionalFormatting>
  <conditionalFormatting sqref="M8">
    <cfRule type="cellIs" operator="equal" dxfId="9" priority="9">
      <formula>"Participar"</formula>
    </cfRule>
  </conditionalFormatting>
  <conditionalFormatting sqref="G9">
    <cfRule type="expression" dxfId="10" priority="10">
      <formula>INDIRECT(ADDRESS(ROW(),COLUMN())) = "Atrativo"</formula>
    </cfRule>
  </conditionalFormatting>
  <conditionalFormatting sqref="G9">
    <cfRule type="expression" dxfId="11" priority="11">
      <formula>INDIRECT(ADDRESS(ROW(),COLUMN())) = "Pouco atrativo"</formula>
    </cfRule>
  </conditionalFormatting>
  <conditionalFormatting sqref="M9">
    <cfRule type="cellIs" operator="equal" dxfId="12" priority="12">
      <formula>"Participar"</formula>
    </cfRule>
  </conditionalFormatting>
  <conditionalFormatting sqref="G10">
    <cfRule type="expression" dxfId="13" priority="13">
      <formula>INDIRECT(ADDRESS(ROW(),COLUMN())) = "Atrativo"</formula>
    </cfRule>
  </conditionalFormatting>
  <conditionalFormatting sqref="G10">
    <cfRule type="expression" dxfId="14" priority="14">
      <formula>INDIRECT(ADDRESS(ROW(),COLUMN())) = "Pouco atrativo"</formula>
    </cfRule>
  </conditionalFormatting>
  <conditionalFormatting sqref="M10">
    <cfRule type="cellIs" operator="equal" dxfId="15" priority="15">
      <formula>"Participar"</formula>
    </cfRule>
  </conditionalFormatting>
  <conditionalFormatting sqref="G11">
    <cfRule type="expression" dxfId="16" priority="16">
      <formula>INDIRECT(ADDRESS(ROW(),COLUMN())) = "Atrativo"</formula>
    </cfRule>
  </conditionalFormatting>
  <conditionalFormatting sqref="G11">
    <cfRule type="expression" dxfId="17" priority="17">
      <formula>INDIRECT(ADDRESS(ROW(),COLUMN())) = "Pouco atrativo"</formula>
    </cfRule>
  </conditionalFormatting>
  <conditionalFormatting sqref="M11">
    <cfRule type="cellIs" operator="equal" dxfId="18" priority="18">
      <formula>"Participar"</formula>
    </cfRule>
  </conditionalFormatting>
  <conditionalFormatting sqref="G12">
    <cfRule type="expression" dxfId="19" priority="19">
      <formula>INDIRECT(ADDRESS(ROW(),COLUMN())) = "Atrativo"</formula>
    </cfRule>
  </conditionalFormatting>
  <conditionalFormatting sqref="G12">
    <cfRule type="expression" dxfId="20" priority="20">
      <formula>INDIRECT(ADDRESS(ROW(),COLUMN())) = "Pouco atrativo"</formula>
    </cfRule>
  </conditionalFormatting>
  <conditionalFormatting sqref="M12">
    <cfRule type="cellIs" operator="equal" dxfId="21" priority="21">
      <formula>"Participar"</formula>
    </cfRule>
  </conditionalFormatting>
  <conditionalFormatting sqref="G13">
    <cfRule type="expression" dxfId="22" priority="22">
      <formula>INDIRECT(ADDRESS(ROW(),COLUMN())) = "Atrativo"</formula>
    </cfRule>
  </conditionalFormatting>
  <conditionalFormatting sqref="G13">
    <cfRule type="expression" dxfId="23" priority="23">
      <formula>INDIRECT(ADDRESS(ROW(),COLUMN())) = "Pouco atrativo"</formula>
    </cfRule>
  </conditionalFormatting>
  <conditionalFormatting sqref="M13">
    <cfRule type="cellIs" operator="equal" dxfId="24" priority="24">
      <formula>"Participar"</formula>
    </cfRule>
  </conditionalFormatting>
  <conditionalFormatting sqref="G14">
    <cfRule type="expression" dxfId="25" priority="25">
      <formula>INDIRECT(ADDRESS(ROW(),COLUMN())) = "Atrativo"</formula>
    </cfRule>
  </conditionalFormatting>
  <conditionalFormatting sqref="G14">
    <cfRule type="expression" dxfId="26" priority="26">
      <formula>INDIRECT(ADDRESS(ROW(),COLUMN())) = "Pouco atrativo"</formula>
    </cfRule>
  </conditionalFormatting>
  <conditionalFormatting sqref="M14">
    <cfRule type="cellIs" operator="equal" dxfId="27" priority="27">
      <formula>"Participar"</formula>
    </cfRule>
  </conditionalFormatting>
  <conditionalFormatting sqref="G15">
    <cfRule type="expression" dxfId="28" priority="28">
      <formula>INDIRECT(ADDRESS(ROW(),COLUMN())) = "Atrativo"</formula>
    </cfRule>
  </conditionalFormatting>
  <conditionalFormatting sqref="G15">
    <cfRule type="expression" dxfId="29" priority="29">
      <formula>INDIRECT(ADDRESS(ROW(),COLUMN())) = "Pouco atrativo"</formula>
    </cfRule>
  </conditionalFormatting>
  <conditionalFormatting sqref="M15">
    <cfRule type="cellIs" operator="equal" dxfId="30" priority="30">
      <formula>"Participar"</formula>
    </cfRule>
  </conditionalFormatting>
  <conditionalFormatting sqref="G16">
    <cfRule type="expression" dxfId="31" priority="31">
      <formula>INDIRECT(ADDRESS(ROW(),COLUMN())) = "Atrativo"</formula>
    </cfRule>
  </conditionalFormatting>
  <conditionalFormatting sqref="G16">
    <cfRule type="expression" dxfId="32" priority="32">
      <formula>INDIRECT(ADDRESS(ROW(),COLUMN())) = "Pouco atrativo"</formula>
    </cfRule>
  </conditionalFormatting>
  <conditionalFormatting sqref="M16">
    <cfRule type="cellIs" operator="equal" dxfId="33" priority="33">
      <formula>"Participar"</formula>
    </cfRule>
  </conditionalFormatting>
  <conditionalFormatting sqref="G17">
    <cfRule type="expression" dxfId="34" priority="34">
      <formula>INDIRECT(ADDRESS(ROW(),COLUMN())) = "Atrativo"</formula>
    </cfRule>
  </conditionalFormatting>
  <conditionalFormatting sqref="G17">
    <cfRule type="expression" dxfId="35" priority="35">
      <formula>INDIRECT(ADDRESS(ROW(),COLUMN())) = "Pouco atrativo"</formula>
    </cfRule>
  </conditionalFormatting>
  <conditionalFormatting sqref="M17">
    <cfRule type="cellIs" operator="equal" dxfId="36" priority="36">
      <formula>"Participar"</formula>
    </cfRule>
  </conditionalFormatting>
  <conditionalFormatting sqref="G18">
    <cfRule type="expression" dxfId="37" priority="37">
      <formula>INDIRECT(ADDRESS(ROW(),COLUMN())) = "Atrativo"</formula>
    </cfRule>
  </conditionalFormatting>
  <conditionalFormatting sqref="G18">
    <cfRule type="expression" dxfId="38" priority="38">
      <formula>INDIRECT(ADDRESS(ROW(),COLUMN())) = "Pouco atrativo"</formula>
    </cfRule>
  </conditionalFormatting>
  <conditionalFormatting sqref="M18">
    <cfRule type="cellIs" operator="equal" dxfId="39" priority="39">
      <formula>"Participar"</formula>
    </cfRule>
  </conditionalFormatting>
  <conditionalFormatting sqref="G19">
    <cfRule type="expression" dxfId="40" priority="40">
      <formula>INDIRECT(ADDRESS(ROW(),COLUMN())) = "Atrativo"</formula>
    </cfRule>
  </conditionalFormatting>
  <conditionalFormatting sqref="G19">
    <cfRule type="expression" dxfId="41" priority="41">
      <formula>INDIRECT(ADDRESS(ROW(),COLUMN())) = "Pouco atrativo"</formula>
    </cfRule>
  </conditionalFormatting>
  <conditionalFormatting sqref="M19">
    <cfRule type="cellIs" operator="equal" dxfId="42" priority="42">
      <formula>"Participar"</formula>
    </cfRule>
  </conditionalFormatting>
  <conditionalFormatting sqref="G20">
    <cfRule type="expression" dxfId="43" priority="43">
      <formula>INDIRECT(ADDRESS(ROW(),COLUMN())) = "Atrativo"</formula>
    </cfRule>
  </conditionalFormatting>
  <conditionalFormatting sqref="G20">
    <cfRule type="expression" dxfId="44" priority="44">
      <formula>INDIRECT(ADDRESS(ROW(),COLUMN())) = "Pouco atrativo"</formula>
    </cfRule>
  </conditionalFormatting>
  <conditionalFormatting sqref="M20">
    <cfRule type="cellIs" operator="equal" dxfId="45" priority="45">
      <formula>"Participar"</formula>
    </cfRule>
  </conditionalFormatting>
  <conditionalFormatting sqref="G21">
    <cfRule type="expression" dxfId="46" priority="46">
      <formula>INDIRECT(ADDRESS(ROW(),COLUMN())) = "Atrativo"</formula>
    </cfRule>
  </conditionalFormatting>
  <conditionalFormatting sqref="G21">
    <cfRule type="expression" dxfId="47" priority="47">
      <formula>INDIRECT(ADDRESS(ROW(),COLUMN())) = "Pouco atrativo"</formula>
    </cfRule>
  </conditionalFormatting>
  <conditionalFormatting sqref="M21">
    <cfRule type="cellIs" operator="equal" dxfId="48" priority="48">
      <formula>"Participar"</formula>
    </cfRule>
  </conditionalFormatting>
  <conditionalFormatting sqref="G22">
    <cfRule type="expression" dxfId="49" priority="49">
      <formula>INDIRECT(ADDRESS(ROW(),COLUMN())) = "Atrativo"</formula>
    </cfRule>
  </conditionalFormatting>
  <conditionalFormatting sqref="G22">
    <cfRule type="expression" dxfId="50" priority="50">
      <formula>INDIRECT(ADDRESS(ROW(),COLUMN())) = "Pouco atrativo"</formula>
    </cfRule>
  </conditionalFormatting>
  <conditionalFormatting sqref="M22">
    <cfRule type="cellIs" operator="equal" dxfId="51" priority="51">
      <formula>"Participar"</formula>
    </cfRule>
  </conditionalFormatting>
  <conditionalFormatting sqref="G23">
    <cfRule type="expression" dxfId="52" priority="52">
      <formula>INDIRECT(ADDRESS(ROW(),COLUMN())) = "Atrativo"</formula>
    </cfRule>
  </conditionalFormatting>
  <conditionalFormatting sqref="G23">
    <cfRule type="expression" dxfId="53" priority="53">
      <formula>INDIRECT(ADDRESS(ROW(),COLUMN())) = "Pouco atrativo"</formula>
    </cfRule>
  </conditionalFormatting>
  <conditionalFormatting sqref="M23">
    <cfRule type="cellIs" operator="equal" dxfId="54" priority="54">
      <formula>"Participar"</formula>
    </cfRule>
  </conditionalFormatting>
  <conditionalFormatting sqref="G24">
    <cfRule type="expression" dxfId="55" priority="55">
      <formula>INDIRECT(ADDRESS(ROW(),COLUMN())) = "Atrativo"</formula>
    </cfRule>
  </conditionalFormatting>
  <conditionalFormatting sqref="G24">
    <cfRule type="expression" dxfId="56" priority="56">
      <formula>INDIRECT(ADDRESS(ROW(),COLUMN())) = "Pouco atrativo"</formula>
    </cfRule>
  </conditionalFormatting>
  <conditionalFormatting sqref="M24">
    <cfRule type="cellIs" operator="equal" dxfId="57" priority="57">
      <formula>"Participar"</formula>
    </cfRule>
  </conditionalFormatting>
  <conditionalFormatting sqref="G25">
    <cfRule type="expression" dxfId="58" priority="58">
      <formula>INDIRECT(ADDRESS(ROW(),COLUMN())) = "Atrativo"</formula>
    </cfRule>
  </conditionalFormatting>
  <conditionalFormatting sqref="G25">
    <cfRule type="expression" dxfId="59" priority="59">
      <formula>INDIRECT(ADDRESS(ROW(),COLUMN())) = "Pouco atrativo"</formula>
    </cfRule>
  </conditionalFormatting>
  <conditionalFormatting sqref="M25">
    <cfRule type="cellIs" operator="equal" dxfId="60" priority="60">
      <formula>"Participar"</formula>
    </cfRule>
  </conditionalFormatting>
  <conditionalFormatting sqref="G26">
    <cfRule type="expression" dxfId="61" priority="61">
      <formula>INDIRECT(ADDRESS(ROW(),COLUMN())) = "Atrativo"</formula>
    </cfRule>
  </conditionalFormatting>
  <conditionalFormatting sqref="G26">
    <cfRule type="expression" dxfId="62" priority="62">
      <formula>INDIRECT(ADDRESS(ROW(),COLUMN())) = "Pouco atrativo"</formula>
    </cfRule>
  </conditionalFormatting>
  <conditionalFormatting sqref="M26">
    <cfRule type="cellIs" operator="equal" dxfId="63" priority="63">
      <formula>"Participar"</formula>
    </cfRule>
  </conditionalFormatting>
  <conditionalFormatting sqref="G27">
    <cfRule type="expression" dxfId="64" priority="64">
      <formula>INDIRECT(ADDRESS(ROW(),COLUMN())) = "Atrativo"</formula>
    </cfRule>
  </conditionalFormatting>
  <conditionalFormatting sqref="G27">
    <cfRule type="expression" dxfId="65" priority="65">
      <formula>INDIRECT(ADDRESS(ROW(),COLUMN())) = "Pouco atrativo"</formula>
    </cfRule>
  </conditionalFormatting>
  <conditionalFormatting sqref="M27">
    <cfRule type="cellIs" operator="equal" dxfId="66" priority="66">
      <formula>"Participar"</formula>
    </cfRule>
  </conditionalFormatting>
  <conditionalFormatting sqref="G28">
    <cfRule type="expression" dxfId="67" priority="67">
      <formula>INDIRECT(ADDRESS(ROW(),COLUMN())) = "Atrativo"</formula>
    </cfRule>
  </conditionalFormatting>
  <conditionalFormatting sqref="G28">
    <cfRule type="expression" dxfId="68" priority="68">
      <formula>INDIRECT(ADDRESS(ROW(),COLUMN())) = "Pouco atrativo"</formula>
    </cfRule>
  </conditionalFormatting>
  <conditionalFormatting sqref="M28">
    <cfRule type="cellIs" operator="equal" dxfId="69" priority="69">
      <formula>"Participar"</formula>
    </cfRule>
  </conditionalFormatting>
  <conditionalFormatting sqref="G29">
    <cfRule type="expression" dxfId="70" priority="70">
      <formula>INDIRECT(ADDRESS(ROW(),COLUMN())) = "Atrativo"</formula>
    </cfRule>
  </conditionalFormatting>
  <conditionalFormatting sqref="G29">
    <cfRule type="expression" dxfId="71" priority="71">
      <formula>INDIRECT(ADDRESS(ROW(),COLUMN())) = "Pouco atrativo"</formula>
    </cfRule>
  </conditionalFormatting>
  <conditionalFormatting sqref="M29">
    <cfRule type="cellIs" operator="equal" dxfId="72" priority="72">
      <formula>"Participar"</formula>
    </cfRule>
  </conditionalFormatting>
  <conditionalFormatting sqref="G30">
    <cfRule type="expression" dxfId="73" priority="73">
      <formula>INDIRECT(ADDRESS(ROW(),COLUMN())) = "Atrativo"</formula>
    </cfRule>
  </conditionalFormatting>
  <conditionalFormatting sqref="G30">
    <cfRule type="expression" dxfId="74" priority="74">
      <formula>INDIRECT(ADDRESS(ROW(),COLUMN())) = "Pouco atrativo"</formula>
    </cfRule>
  </conditionalFormatting>
  <conditionalFormatting sqref="M30">
    <cfRule type="cellIs" operator="equal" dxfId="75" priority="75">
      <formula>"Participar"</formula>
    </cfRule>
  </conditionalFormatting>
  <conditionalFormatting sqref="G31">
    <cfRule type="expression" dxfId="76" priority="76">
      <formula>INDIRECT(ADDRESS(ROW(),COLUMN())) = "Atrativo"</formula>
    </cfRule>
  </conditionalFormatting>
  <conditionalFormatting sqref="G31">
    <cfRule type="expression" dxfId="77" priority="77">
      <formula>INDIRECT(ADDRESS(ROW(),COLUMN())) = "Pouco atrativo"</formula>
    </cfRule>
  </conditionalFormatting>
  <conditionalFormatting sqref="M31">
    <cfRule type="cellIs" operator="equal" dxfId="78" priority="78">
      <formula>"Participar"</formula>
    </cfRule>
  </conditionalFormatting>
  <conditionalFormatting sqref="G32">
    <cfRule type="expression" dxfId="79" priority="79">
      <formula>INDIRECT(ADDRESS(ROW(),COLUMN())) = "Atrativo"</formula>
    </cfRule>
  </conditionalFormatting>
  <conditionalFormatting sqref="G32">
    <cfRule type="expression" dxfId="80" priority="80">
      <formula>INDIRECT(ADDRESS(ROW(),COLUMN())) = "Pouco atrativo"</formula>
    </cfRule>
  </conditionalFormatting>
  <conditionalFormatting sqref="M32">
    <cfRule type="cellIs" operator="equal" dxfId="81" priority="81">
      <formula>"Participar"</formula>
    </cfRule>
  </conditionalFormatting>
  <conditionalFormatting sqref="G33">
    <cfRule type="expression" dxfId="82" priority="82">
      <formula>INDIRECT(ADDRESS(ROW(),COLUMN())) = "Atrativo"</formula>
    </cfRule>
  </conditionalFormatting>
  <conditionalFormatting sqref="G33">
    <cfRule type="expression" dxfId="83" priority="83">
      <formula>INDIRECT(ADDRESS(ROW(),COLUMN())) = "Pouco atrativo"</formula>
    </cfRule>
  </conditionalFormatting>
  <conditionalFormatting sqref="M33">
    <cfRule type="cellIs" operator="equal" dxfId="84" priority="84">
      <formula>"Participar"</formula>
    </cfRule>
  </conditionalFormatting>
  <conditionalFormatting sqref="G34">
    <cfRule type="expression" dxfId="85" priority="85">
      <formula>INDIRECT(ADDRESS(ROW(),COLUMN())) = "Atrativo"</formula>
    </cfRule>
  </conditionalFormatting>
  <conditionalFormatting sqref="G34">
    <cfRule type="expression" dxfId="86" priority="86">
      <formula>INDIRECT(ADDRESS(ROW(),COLUMN())) = "Pouco atrativo"</formula>
    </cfRule>
  </conditionalFormatting>
  <conditionalFormatting sqref="M34">
    <cfRule type="cellIs" operator="equal" dxfId="87" priority="87">
      <formula>"Participar"</formula>
    </cfRule>
  </conditionalFormatting>
  <conditionalFormatting sqref="G35">
    <cfRule type="expression" dxfId="88" priority="88">
      <formula>INDIRECT(ADDRESS(ROW(),COLUMN())) = "Atrativo"</formula>
    </cfRule>
  </conditionalFormatting>
  <conditionalFormatting sqref="G35">
    <cfRule type="expression" dxfId="89" priority="89">
      <formula>INDIRECT(ADDRESS(ROW(),COLUMN())) = "Pouco atrativo"</formula>
    </cfRule>
  </conditionalFormatting>
  <conditionalFormatting sqref="M35">
    <cfRule type="cellIs" operator="equal" dxfId="90" priority="90">
      <formula>"Participar"</formula>
    </cfRule>
  </conditionalFormatting>
  <conditionalFormatting sqref="G36">
    <cfRule type="expression" dxfId="91" priority="91">
      <formula>INDIRECT(ADDRESS(ROW(),COLUMN())) = "Atrativo"</formula>
    </cfRule>
  </conditionalFormatting>
  <conditionalFormatting sqref="G36">
    <cfRule type="expression" dxfId="92" priority="92">
      <formula>INDIRECT(ADDRESS(ROW(),COLUMN())) = "Pouco atrativo"</formula>
    </cfRule>
  </conditionalFormatting>
  <conditionalFormatting sqref="M36">
    <cfRule type="cellIs" operator="equal" dxfId="93" priority="93">
      <formula>"Participar"</formula>
    </cfRule>
  </conditionalFormatting>
  <conditionalFormatting sqref="G37">
    <cfRule type="expression" dxfId="94" priority="94">
      <formula>INDIRECT(ADDRESS(ROW(),COLUMN())) = "Atrativo"</formula>
    </cfRule>
  </conditionalFormatting>
  <conditionalFormatting sqref="G37">
    <cfRule type="expression" dxfId="95" priority="95">
      <formula>INDIRECT(ADDRESS(ROW(),COLUMN())) = "Pouco atrativo"</formula>
    </cfRule>
  </conditionalFormatting>
  <conditionalFormatting sqref="M37">
    <cfRule type="cellIs" operator="equal" dxfId="96" priority="96">
      <formula>"Participar"</formula>
    </cfRule>
  </conditionalFormatting>
  <conditionalFormatting sqref="G38">
    <cfRule type="expression" dxfId="97" priority="97">
      <formula>INDIRECT(ADDRESS(ROW(),COLUMN())) = "Atrativo"</formula>
    </cfRule>
  </conditionalFormatting>
  <conditionalFormatting sqref="G38">
    <cfRule type="expression" dxfId="98" priority="98">
      <formula>INDIRECT(ADDRESS(ROW(),COLUMN())) = "Pouco atrativo"</formula>
    </cfRule>
  </conditionalFormatting>
  <conditionalFormatting sqref="M38">
    <cfRule type="cellIs" operator="equal" dxfId="99" priority="99">
      <formula>"Participar"</formula>
    </cfRule>
  </conditionalFormatting>
  <conditionalFormatting sqref="G39">
    <cfRule type="expression" dxfId="100" priority="100">
      <formula>INDIRECT(ADDRESS(ROW(),COLUMN())) = "Atrativo"</formula>
    </cfRule>
  </conditionalFormatting>
  <conditionalFormatting sqref="G39">
    <cfRule type="expression" dxfId="101" priority="101">
      <formula>INDIRECT(ADDRESS(ROW(),COLUMN())) = "Pouco atrativo"</formula>
    </cfRule>
  </conditionalFormatting>
  <conditionalFormatting sqref="M39">
    <cfRule type="cellIs" operator="equal" dxfId="102" priority="102">
      <formula>"Participar"</formula>
    </cfRule>
  </conditionalFormatting>
  <conditionalFormatting sqref="G40">
    <cfRule type="expression" dxfId="103" priority="103">
      <formula>INDIRECT(ADDRESS(ROW(),COLUMN())) = "Atrativo"</formula>
    </cfRule>
  </conditionalFormatting>
  <conditionalFormatting sqref="G40">
    <cfRule type="expression" dxfId="104" priority="104">
      <formula>INDIRECT(ADDRESS(ROW(),COLUMN())) = "Pouco atrativo"</formula>
    </cfRule>
  </conditionalFormatting>
  <conditionalFormatting sqref="M40">
    <cfRule type="cellIs" operator="equal" dxfId="105" priority="105">
      <formula>"Participar"</formula>
    </cfRule>
  </conditionalFormatting>
  <conditionalFormatting sqref="G41">
    <cfRule type="expression" dxfId="106" priority="106">
      <formula>INDIRECT(ADDRESS(ROW(),COLUMN())) = "Atrativo"</formula>
    </cfRule>
  </conditionalFormatting>
  <conditionalFormatting sqref="G41">
    <cfRule type="expression" dxfId="107" priority="107">
      <formula>INDIRECT(ADDRESS(ROW(),COLUMN())) = "Pouco atrativo"</formula>
    </cfRule>
  </conditionalFormatting>
  <conditionalFormatting sqref="M41">
    <cfRule type="cellIs" operator="equal" dxfId="108" priority="108">
      <formula>"Participar"</formula>
    </cfRule>
  </conditionalFormatting>
  <conditionalFormatting sqref="G42">
    <cfRule type="expression" dxfId="109" priority="109">
      <formula>INDIRECT(ADDRESS(ROW(),COLUMN())) = "Atrativo"</formula>
    </cfRule>
  </conditionalFormatting>
  <conditionalFormatting sqref="G42">
    <cfRule type="expression" dxfId="110" priority="110">
      <formula>INDIRECT(ADDRESS(ROW(),COLUMN())) = "Pouco atrativo"</formula>
    </cfRule>
  </conditionalFormatting>
  <conditionalFormatting sqref="M42">
    <cfRule type="cellIs" operator="equal" dxfId="111" priority="111">
      <formula>"Participar"</formula>
    </cfRule>
  </conditionalFormatting>
  <conditionalFormatting sqref="G43">
    <cfRule type="expression" dxfId="112" priority="112">
      <formula>INDIRECT(ADDRESS(ROW(),COLUMN())) = "Atrativo"</formula>
    </cfRule>
  </conditionalFormatting>
  <conditionalFormatting sqref="G43">
    <cfRule type="expression" dxfId="113" priority="113">
      <formula>INDIRECT(ADDRESS(ROW(),COLUMN())) = "Pouco atrativo"</formula>
    </cfRule>
  </conditionalFormatting>
  <conditionalFormatting sqref="M43">
    <cfRule type="cellIs" operator="equal" dxfId="114" priority="114">
      <formula>"Participar"</formula>
    </cfRule>
  </conditionalFormatting>
  <conditionalFormatting sqref="G44">
    <cfRule type="expression" dxfId="115" priority="115">
      <formula>INDIRECT(ADDRESS(ROW(),COLUMN())) = "Atrativo"</formula>
    </cfRule>
  </conditionalFormatting>
  <conditionalFormatting sqref="G44">
    <cfRule type="expression" dxfId="116" priority="116">
      <formula>INDIRECT(ADDRESS(ROW(),COLUMN())) = "Pouco atrativo"</formula>
    </cfRule>
  </conditionalFormatting>
  <conditionalFormatting sqref="M44">
    <cfRule type="cellIs" operator="equal" dxfId="117" priority="117">
      <formula>"Participar"</formula>
    </cfRule>
  </conditionalFormatting>
  <conditionalFormatting sqref="G45">
    <cfRule type="expression" dxfId="118" priority="118">
      <formula>INDIRECT(ADDRESS(ROW(),COLUMN())) = "Atrativo"</formula>
    </cfRule>
  </conditionalFormatting>
  <conditionalFormatting sqref="G45">
    <cfRule type="expression" dxfId="119" priority="119">
      <formula>INDIRECT(ADDRESS(ROW(),COLUMN())) = "Pouco atrativo"</formula>
    </cfRule>
  </conditionalFormatting>
  <conditionalFormatting sqref="M45">
    <cfRule type="cellIs" operator="equal" dxfId="120" priority="120">
      <formula>"Participar"</formula>
    </cfRule>
  </conditionalFormatting>
  <conditionalFormatting sqref="G46">
    <cfRule type="expression" dxfId="121" priority="121">
      <formula>INDIRECT(ADDRESS(ROW(),COLUMN())) = "Atrativo"</formula>
    </cfRule>
  </conditionalFormatting>
  <conditionalFormatting sqref="G46">
    <cfRule type="expression" dxfId="122" priority="122">
      <formula>INDIRECT(ADDRESS(ROW(),COLUMN())) = "Pouco atrativo"</formula>
    </cfRule>
  </conditionalFormatting>
  <conditionalFormatting sqref="M46">
    <cfRule type="cellIs" operator="equal" dxfId="123" priority="123">
      <formula>"Participar"</formula>
    </cfRule>
  </conditionalFormatting>
  <conditionalFormatting sqref="G47">
    <cfRule type="expression" dxfId="124" priority="124">
      <formula>INDIRECT(ADDRESS(ROW(),COLUMN())) = "Atrativo"</formula>
    </cfRule>
  </conditionalFormatting>
  <conditionalFormatting sqref="G47">
    <cfRule type="expression" dxfId="125" priority="125">
      <formula>INDIRECT(ADDRESS(ROW(),COLUMN())) = "Pouco atrativo"</formula>
    </cfRule>
  </conditionalFormatting>
  <conditionalFormatting sqref="M47">
    <cfRule type="cellIs" operator="equal" dxfId="126" priority="126">
      <formula>"Participar"</formula>
    </cfRule>
  </conditionalFormatting>
  <conditionalFormatting sqref="G48">
    <cfRule type="expression" dxfId="127" priority="127">
      <formula>INDIRECT(ADDRESS(ROW(),COLUMN())) = "Atrativo"</formula>
    </cfRule>
  </conditionalFormatting>
  <conditionalFormatting sqref="G48">
    <cfRule type="expression" dxfId="128" priority="128">
      <formula>INDIRECT(ADDRESS(ROW(),COLUMN())) = "Pouco atrativo"</formula>
    </cfRule>
  </conditionalFormatting>
  <conditionalFormatting sqref="M48">
    <cfRule type="cellIs" operator="equal" dxfId="129" priority="129">
      <formula>"Participar"</formula>
    </cfRule>
  </conditionalFormatting>
  <conditionalFormatting sqref="G49">
    <cfRule type="expression" dxfId="130" priority="130">
      <formula>INDIRECT(ADDRESS(ROW(),COLUMN())) = "Atrativo"</formula>
    </cfRule>
  </conditionalFormatting>
  <conditionalFormatting sqref="G49">
    <cfRule type="expression" dxfId="131" priority="131">
      <formula>INDIRECT(ADDRESS(ROW(),COLUMN())) = "Pouco atrativo"</formula>
    </cfRule>
  </conditionalFormatting>
  <conditionalFormatting sqref="M49">
    <cfRule type="cellIs" operator="equal" dxfId="132" priority="132">
      <formula>"Participar"</formula>
    </cfRule>
  </conditionalFormatting>
  <conditionalFormatting sqref="G50">
    <cfRule type="expression" dxfId="133" priority="133">
      <formula>INDIRECT(ADDRESS(ROW(),COLUMN())) = "Atrativo"</formula>
    </cfRule>
  </conditionalFormatting>
  <conditionalFormatting sqref="G50">
    <cfRule type="expression" dxfId="134" priority="134">
      <formula>INDIRECT(ADDRESS(ROW(),COLUMN())) = "Pouco atrativo"</formula>
    </cfRule>
  </conditionalFormatting>
  <conditionalFormatting sqref="M50">
    <cfRule type="cellIs" operator="equal" dxfId="135" priority="135">
      <formula>"Participar"</formula>
    </cfRule>
  </conditionalFormatting>
  <conditionalFormatting sqref="G51">
    <cfRule type="expression" dxfId="136" priority="136">
      <formula>INDIRECT(ADDRESS(ROW(),COLUMN())) = "Atrativo"</formula>
    </cfRule>
  </conditionalFormatting>
  <conditionalFormatting sqref="G51">
    <cfRule type="expression" dxfId="137" priority="137">
      <formula>INDIRECT(ADDRESS(ROW(),COLUMN())) = "Pouco atrativo"</formula>
    </cfRule>
  </conditionalFormatting>
  <conditionalFormatting sqref="M51">
    <cfRule type="cellIs" operator="equal" dxfId="138" priority="138">
      <formula>"Participar"</formula>
    </cfRule>
  </conditionalFormatting>
  <conditionalFormatting sqref="G52">
    <cfRule type="expression" dxfId="139" priority="139">
      <formula>INDIRECT(ADDRESS(ROW(),COLUMN())) = "Atrativo"</formula>
    </cfRule>
  </conditionalFormatting>
  <conditionalFormatting sqref="G52">
    <cfRule type="expression" dxfId="140" priority="140">
      <formula>INDIRECT(ADDRESS(ROW(),COLUMN())) = "Pouco atrativo"</formula>
    </cfRule>
  </conditionalFormatting>
  <conditionalFormatting sqref="M52">
    <cfRule type="cellIs" operator="equal" dxfId="141" priority="141">
      <formula>"Participar"</formula>
    </cfRule>
  </conditionalFormatting>
  <conditionalFormatting sqref="G53">
    <cfRule type="expression" dxfId="142" priority="142">
      <formula>INDIRECT(ADDRESS(ROW(),COLUMN())) = "Atrativo"</formula>
    </cfRule>
  </conditionalFormatting>
  <conditionalFormatting sqref="G53">
    <cfRule type="expression" dxfId="143" priority="143">
      <formula>INDIRECT(ADDRESS(ROW(),COLUMN())) = "Pouco atrativo"</formula>
    </cfRule>
  </conditionalFormatting>
  <conditionalFormatting sqref="M53">
    <cfRule type="cellIs" operator="equal" dxfId="144" priority="144">
      <formula>"Participar"</formula>
    </cfRule>
  </conditionalFormatting>
  <conditionalFormatting sqref="G54">
    <cfRule type="expression" dxfId="145" priority="145">
      <formula>INDIRECT(ADDRESS(ROW(),COLUMN())) = "Atrativo"</formula>
    </cfRule>
  </conditionalFormatting>
  <conditionalFormatting sqref="G54">
    <cfRule type="expression" dxfId="146" priority="146">
      <formula>INDIRECT(ADDRESS(ROW(),COLUMN())) = "Pouco atrativo"</formula>
    </cfRule>
  </conditionalFormatting>
  <conditionalFormatting sqref="M54">
    <cfRule type="cellIs" operator="equal" dxfId="147" priority="147">
      <formula>"Participar"</formula>
    </cfRule>
  </conditionalFormatting>
  <conditionalFormatting sqref="G55">
    <cfRule type="expression" dxfId="148" priority="148">
      <formula>INDIRECT(ADDRESS(ROW(),COLUMN())) = "Atrativo"</formula>
    </cfRule>
  </conditionalFormatting>
  <conditionalFormatting sqref="G55">
    <cfRule type="expression" dxfId="149" priority="149">
      <formula>INDIRECT(ADDRESS(ROW(),COLUMN())) = "Pouco atrativo"</formula>
    </cfRule>
  </conditionalFormatting>
  <conditionalFormatting sqref="M55">
    <cfRule type="cellIs" operator="equal" dxfId="150" priority="150">
      <formula>"Participar"</formula>
    </cfRule>
  </conditionalFormatting>
  <conditionalFormatting sqref="G56">
    <cfRule type="expression" dxfId="151" priority="151">
      <formula>INDIRECT(ADDRESS(ROW(),COLUMN())) = "Atrativo"</formula>
    </cfRule>
  </conditionalFormatting>
  <conditionalFormatting sqref="G56">
    <cfRule type="expression" dxfId="152" priority="152">
      <formula>INDIRECT(ADDRESS(ROW(),COLUMN())) = "Pouco atrativo"</formula>
    </cfRule>
  </conditionalFormatting>
  <conditionalFormatting sqref="M56">
    <cfRule type="cellIs" operator="equal" dxfId="153" priority="153">
      <formula>"Participar"</formula>
    </cfRule>
  </conditionalFormatting>
  <conditionalFormatting sqref="G57">
    <cfRule type="expression" dxfId="154" priority="154">
      <formula>INDIRECT(ADDRESS(ROW(),COLUMN())) = "Atrativo"</formula>
    </cfRule>
  </conditionalFormatting>
  <conditionalFormatting sqref="G57">
    <cfRule type="expression" dxfId="155" priority="155">
      <formula>INDIRECT(ADDRESS(ROW(),COLUMN())) = "Pouco atrativo"</formula>
    </cfRule>
  </conditionalFormatting>
  <conditionalFormatting sqref="M57">
    <cfRule type="cellIs" operator="equal" dxfId="156" priority="156">
      <formula>"Participar"</formula>
    </cfRule>
  </conditionalFormatting>
  <conditionalFormatting sqref="G58">
    <cfRule type="expression" dxfId="157" priority="157">
      <formula>INDIRECT(ADDRESS(ROW(),COLUMN())) = "Atrativo"</formula>
    </cfRule>
  </conditionalFormatting>
  <conditionalFormatting sqref="G58">
    <cfRule type="expression" dxfId="158" priority="158">
      <formula>INDIRECT(ADDRESS(ROW(),COLUMN())) = "Pouco atrativo"</formula>
    </cfRule>
  </conditionalFormatting>
  <conditionalFormatting sqref="M58">
    <cfRule type="cellIs" operator="equal" dxfId="159" priority="159">
      <formula>"Participar"</formula>
    </cfRule>
  </conditionalFormatting>
  <conditionalFormatting sqref="G59">
    <cfRule type="expression" dxfId="160" priority="160">
      <formula>INDIRECT(ADDRESS(ROW(),COLUMN())) = "Atrativo"</formula>
    </cfRule>
  </conditionalFormatting>
  <conditionalFormatting sqref="G59">
    <cfRule type="expression" dxfId="161" priority="161">
      <formula>INDIRECT(ADDRESS(ROW(),COLUMN())) = "Pouco atrativo"</formula>
    </cfRule>
  </conditionalFormatting>
  <conditionalFormatting sqref="M59">
    <cfRule type="cellIs" operator="equal" dxfId="162" priority="162">
      <formula>"Participar"</formula>
    </cfRule>
  </conditionalFormatting>
  <conditionalFormatting sqref="G60">
    <cfRule type="expression" dxfId="163" priority="163">
      <formula>INDIRECT(ADDRESS(ROW(),COLUMN())) = "Atrativo"</formula>
    </cfRule>
  </conditionalFormatting>
  <conditionalFormatting sqref="G60">
    <cfRule type="expression" dxfId="164" priority="164">
      <formula>INDIRECT(ADDRESS(ROW(),COLUMN())) = "Pouco atrativo"</formula>
    </cfRule>
  </conditionalFormatting>
  <conditionalFormatting sqref="M60">
    <cfRule type="cellIs" operator="equal" dxfId="165" priority="165">
      <formula>"Participar"</formula>
    </cfRule>
  </conditionalFormatting>
  <conditionalFormatting sqref="G61">
    <cfRule type="expression" dxfId="166" priority="166">
      <formula>INDIRECT(ADDRESS(ROW(),COLUMN())) = "Atrativo"</formula>
    </cfRule>
  </conditionalFormatting>
  <conditionalFormatting sqref="G61">
    <cfRule type="expression" dxfId="167" priority="167">
      <formula>INDIRECT(ADDRESS(ROW(),COLUMN())) = "Pouco atrativo"</formula>
    </cfRule>
  </conditionalFormatting>
  <conditionalFormatting sqref="M61">
    <cfRule type="cellIs" operator="equal" dxfId="168" priority="168">
      <formula>"Participar"</formula>
    </cfRule>
  </conditionalFormatting>
  <conditionalFormatting sqref="G62">
    <cfRule type="expression" dxfId="169" priority="169">
      <formula>INDIRECT(ADDRESS(ROW(),COLUMN())) = "Atrativo"</formula>
    </cfRule>
  </conditionalFormatting>
  <conditionalFormatting sqref="G62">
    <cfRule type="expression" dxfId="170" priority="170">
      <formula>INDIRECT(ADDRESS(ROW(),COLUMN())) = "Pouco atrativo"</formula>
    </cfRule>
  </conditionalFormatting>
  <conditionalFormatting sqref="M62">
    <cfRule type="cellIs" operator="equal" dxfId="171" priority="171">
      <formula>"Participar"</formula>
    </cfRule>
  </conditionalFormatting>
  <conditionalFormatting sqref="G63">
    <cfRule type="expression" dxfId="172" priority="172">
      <formula>INDIRECT(ADDRESS(ROW(),COLUMN())) = "Atrativo"</formula>
    </cfRule>
  </conditionalFormatting>
  <conditionalFormatting sqref="G63">
    <cfRule type="expression" dxfId="173" priority="173">
      <formula>INDIRECT(ADDRESS(ROW(),COLUMN())) = "Pouco atrativo"</formula>
    </cfRule>
  </conditionalFormatting>
  <conditionalFormatting sqref="M63">
    <cfRule type="cellIs" operator="equal" dxfId="174" priority="174">
      <formula>"Participar"</formula>
    </cfRule>
  </conditionalFormatting>
  <conditionalFormatting sqref="G64">
    <cfRule type="expression" dxfId="175" priority="175">
      <formula>INDIRECT(ADDRESS(ROW(),COLUMN())) = "Atrativo"</formula>
    </cfRule>
  </conditionalFormatting>
  <conditionalFormatting sqref="G64">
    <cfRule type="expression" dxfId="176" priority="176">
      <formula>INDIRECT(ADDRESS(ROW(),COLUMN())) = "Pouco atrativo"</formula>
    </cfRule>
  </conditionalFormatting>
  <conditionalFormatting sqref="M64">
    <cfRule type="cellIs" operator="equal" dxfId="177" priority="177">
      <formula>"Participar"</formula>
    </cfRule>
  </conditionalFormatting>
  <conditionalFormatting sqref="G65">
    <cfRule type="expression" dxfId="178" priority="178">
      <formula>INDIRECT(ADDRESS(ROW(),COLUMN())) = "Atrativo"</formula>
    </cfRule>
  </conditionalFormatting>
  <conditionalFormatting sqref="G65">
    <cfRule type="expression" dxfId="179" priority="179">
      <formula>INDIRECT(ADDRESS(ROW(),COLUMN())) = "Pouco atrativo"</formula>
    </cfRule>
  </conditionalFormatting>
  <conditionalFormatting sqref="M65">
    <cfRule type="cellIs" operator="equal" dxfId="180" priority="180">
      <formula>"Participar"</formula>
    </cfRule>
  </conditionalFormatting>
  <conditionalFormatting sqref="G66">
    <cfRule type="expression" dxfId="181" priority="181">
      <formula>INDIRECT(ADDRESS(ROW(),COLUMN())) = "Atrativo"</formula>
    </cfRule>
  </conditionalFormatting>
  <conditionalFormatting sqref="G66">
    <cfRule type="expression" dxfId="182" priority="182">
      <formula>INDIRECT(ADDRESS(ROW(),COLUMN())) = "Pouco atrativo"</formula>
    </cfRule>
  </conditionalFormatting>
  <conditionalFormatting sqref="M66">
    <cfRule type="cellIs" operator="equal" dxfId="183" priority="183">
      <formula>"Participar"</formula>
    </cfRule>
  </conditionalFormatting>
  <conditionalFormatting sqref="G67">
    <cfRule type="expression" dxfId="184" priority="184">
      <formula>INDIRECT(ADDRESS(ROW(),COLUMN())) = "Atrativo"</formula>
    </cfRule>
  </conditionalFormatting>
  <conditionalFormatting sqref="G67">
    <cfRule type="expression" dxfId="185" priority="185">
      <formula>INDIRECT(ADDRESS(ROW(),COLUMN())) = "Pouco atrativo"</formula>
    </cfRule>
  </conditionalFormatting>
  <conditionalFormatting sqref="M67">
    <cfRule type="cellIs" operator="equal" dxfId="186" priority="186">
      <formula>"Participar"</formula>
    </cfRule>
  </conditionalFormatting>
  <conditionalFormatting sqref="G68">
    <cfRule type="expression" dxfId="187" priority="187">
      <formula>INDIRECT(ADDRESS(ROW(),COLUMN())) = "Atrativo"</formula>
    </cfRule>
  </conditionalFormatting>
  <conditionalFormatting sqref="G68">
    <cfRule type="expression" dxfId="188" priority="188">
      <formula>INDIRECT(ADDRESS(ROW(),COLUMN())) = "Pouco atrativo"</formula>
    </cfRule>
  </conditionalFormatting>
  <conditionalFormatting sqref="M68">
    <cfRule type="cellIs" operator="equal" dxfId="189" priority="189">
      <formula>"Participar"</formula>
    </cfRule>
  </conditionalFormatting>
  <conditionalFormatting sqref="G69">
    <cfRule type="expression" dxfId="190" priority="190">
      <formula>INDIRECT(ADDRESS(ROW(),COLUMN())) = "Atrativo"</formula>
    </cfRule>
  </conditionalFormatting>
  <conditionalFormatting sqref="G69">
    <cfRule type="expression" dxfId="191" priority="191">
      <formula>INDIRECT(ADDRESS(ROW(),COLUMN())) = "Pouco atrativo"</formula>
    </cfRule>
  </conditionalFormatting>
  <conditionalFormatting sqref="M69">
    <cfRule type="cellIs" operator="equal" dxfId="192" priority="192">
      <formula>"Participar"</formula>
    </cfRule>
  </conditionalFormatting>
  <conditionalFormatting sqref="G70">
    <cfRule type="expression" dxfId="193" priority="193">
      <formula>INDIRECT(ADDRESS(ROW(),COLUMN())) = "Atrativo"</formula>
    </cfRule>
  </conditionalFormatting>
  <conditionalFormatting sqref="G70">
    <cfRule type="expression" dxfId="194" priority="194">
      <formula>INDIRECT(ADDRESS(ROW(),COLUMN())) = "Pouco atrativo"</formula>
    </cfRule>
  </conditionalFormatting>
  <conditionalFormatting sqref="M70">
    <cfRule type="cellIs" operator="equal" dxfId="195" priority="195">
      <formula>"Participar"</formula>
    </cfRule>
  </conditionalFormatting>
  <conditionalFormatting sqref="G71">
    <cfRule type="expression" dxfId="196" priority="196">
      <formula>INDIRECT(ADDRESS(ROW(),COLUMN())) = "Atrativo"</formula>
    </cfRule>
  </conditionalFormatting>
  <conditionalFormatting sqref="G71">
    <cfRule type="expression" dxfId="197" priority="197">
      <formula>INDIRECT(ADDRESS(ROW(),COLUMN())) = "Pouco atrativo"</formula>
    </cfRule>
  </conditionalFormatting>
  <conditionalFormatting sqref="M71">
    <cfRule type="cellIs" operator="equal" dxfId="198" priority="198">
      <formula>"Participar"</formula>
    </cfRule>
  </conditionalFormatting>
  <conditionalFormatting sqref="G72">
    <cfRule type="expression" dxfId="199" priority="199">
      <formula>INDIRECT(ADDRESS(ROW(),COLUMN())) = "Atrativo"</formula>
    </cfRule>
  </conditionalFormatting>
  <conditionalFormatting sqref="G72">
    <cfRule type="expression" dxfId="200" priority="200">
      <formula>INDIRECT(ADDRESS(ROW(),COLUMN())) = "Pouco atrativo"</formula>
    </cfRule>
  </conditionalFormatting>
  <conditionalFormatting sqref="M72">
    <cfRule type="cellIs" operator="equal" dxfId="201" priority="201">
      <formula>"Participar"</formula>
    </cfRule>
  </conditionalFormatting>
  <conditionalFormatting sqref="G73">
    <cfRule type="expression" dxfId="202" priority="202">
      <formula>INDIRECT(ADDRESS(ROW(),COLUMN())) = "Atrativo"</formula>
    </cfRule>
  </conditionalFormatting>
  <conditionalFormatting sqref="G73">
    <cfRule type="expression" dxfId="203" priority="203">
      <formula>INDIRECT(ADDRESS(ROW(),COLUMN())) = "Pouco atrativo"</formula>
    </cfRule>
  </conditionalFormatting>
  <conditionalFormatting sqref="M73">
    <cfRule type="cellIs" operator="equal" dxfId="204" priority="204">
      <formula>"Participar"</formula>
    </cfRule>
  </conditionalFormatting>
  <conditionalFormatting sqref="G74">
    <cfRule type="expression" dxfId="205" priority="205">
      <formula>INDIRECT(ADDRESS(ROW(),COLUMN())) = "Atrativo"</formula>
    </cfRule>
  </conditionalFormatting>
  <conditionalFormatting sqref="G74">
    <cfRule type="expression" dxfId="206" priority="206">
      <formula>INDIRECT(ADDRESS(ROW(),COLUMN())) = "Pouco atrativo"</formula>
    </cfRule>
  </conditionalFormatting>
  <conditionalFormatting sqref="M74">
    <cfRule type="cellIs" operator="equal" dxfId="207" priority="207">
      <formula>"Participar"</formula>
    </cfRule>
  </conditionalFormatting>
  <conditionalFormatting sqref="G75">
    <cfRule type="expression" dxfId="208" priority="208">
      <formula>INDIRECT(ADDRESS(ROW(),COLUMN())) = "Atrativo"</formula>
    </cfRule>
  </conditionalFormatting>
  <conditionalFormatting sqref="G75">
    <cfRule type="expression" dxfId="209" priority="209">
      <formula>INDIRECT(ADDRESS(ROW(),COLUMN())) = "Pouco atrativo"</formula>
    </cfRule>
  </conditionalFormatting>
  <conditionalFormatting sqref="M75">
    <cfRule type="cellIs" operator="equal" dxfId="210" priority="210">
      <formula>"Participar"</formula>
    </cfRule>
  </conditionalFormatting>
  <conditionalFormatting sqref="G76">
    <cfRule type="expression" dxfId="211" priority="211">
      <formula>INDIRECT(ADDRESS(ROW(),COLUMN())) = "Atrativo"</formula>
    </cfRule>
  </conditionalFormatting>
  <conditionalFormatting sqref="G76">
    <cfRule type="expression" dxfId="212" priority="212">
      <formula>INDIRECT(ADDRESS(ROW(),COLUMN())) = "Pouco atrativo"</formula>
    </cfRule>
  </conditionalFormatting>
  <conditionalFormatting sqref="M76">
    <cfRule type="cellIs" operator="equal" dxfId="213" priority="213">
      <formula>"Participar"</formula>
    </cfRule>
  </conditionalFormatting>
  <conditionalFormatting sqref="G77">
    <cfRule type="expression" dxfId="214" priority="214">
      <formula>INDIRECT(ADDRESS(ROW(),COLUMN())) = "Atrativo"</formula>
    </cfRule>
  </conditionalFormatting>
  <conditionalFormatting sqref="G77">
    <cfRule type="expression" dxfId="215" priority="215">
      <formula>INDIRECT(ADDRESS(ROW(),COLUMN())) = "Pouco atrativo"</formula>
    </cfRule>
  </conditionalFormatting>
  <conditionalFormatting sqref="M77">
    <cfRule type="cellIs" operator="equal" dxfId="216" priority="216">
      <formula>"Participar"</formula>
    </cfRule>
  </conditionalFormatting>
  <conditionalFormatting sqref="G78">
    <cfRule type="expression" dxfId="217" priority="217">
      <formula>INDIRECT(ADDRESS(ROW(),COLUMN())) = "Atrativo"</formula>
    </cfRule>
  </conditionalFormatting>
  <conditionalFormatting sqref="G78">
    <cfRule type="expression" dxfId="218" priority="218">
      <formula>INDIRECT(ADDRESS(ROW(),COLUMN())) = "Pouco atrativo"</formula>
    </cfRule>
  </conditionalFormatting>
  <conditionalFormatting sqref="M78">
    <cfRule type="cellIs" operator="equal" dxfId="219" priority="219">
      <formula>"Participar"</formula>
    </cfRule>
  </conditionalFormatting>
  <conditionalFormatting sqref="G79">
    <cfRule type="expression" dxfId="220" priority="220">
      <formula>INDIRECT(ADDRESS(ROW(),COLUMN())) = "Atrativo"</formula>
    </cfRule>
  </conditionalFormatting>
  <conditionalFormatting sqref="G79">
    <cfRule type="expression" dxfId="221" priority="221">
      <formula>INDIRECT(ADDRESS(ROW(),COLUMN())) = "Pouco atrativo"</formula>
    </cfRule>
  </conditionalFormatting>
  <conditionalFormatting sqref="M79">
    <cfRule type="cellIs" operator="equal" dxfId="222" priority="222">
      <formula>"Participar"</formula>
    </cfRule>
  </conditionalFormatting>
  <conditionalFormatting sqref="G80">
    <cfRule type="expression" dxfId="223" priority="223">
      <formula>INDIRECT(ADDRESS(ROW(),COLUMN())) = "Atrativo"</formula>
    </cfRule>
  </conditionalFormatting>
  <conditionalFormatting sqref="G80">
    <cfRule type="expression" dxfId="224" priority="224">
      <formula>INDIRECT(ADDRESS(ROW(),COLUMN())) = "Pouco atrativo"</formula>
    </cfRule>
  </conditionalFormatting>
  <conditionalFormatting sqref="M80">
    <cfRule type="cellIs" operator="equal" dxfId="225" priority="225">
      <formula>"Participar"</formula>
    </cfRule>
  </conditionalFormatting>
  <conditionalFormatting sqref="G81">
    <cfRule type="expression" dxfId="226" priority="226">
      <formula>INDIRECT(ADDRESS(ROW(),COLUMN())) = "Atrativo"</formula>
    </cfRule>
  </conditionalFormatting>
  <conditionalFormatting sqref="G81">
    <cfRule type="expression" dxfId="227" priority="227">
      <formula>INDIRECT(ADDRESS(ROW(),COLUMN())) = "Pouco atrativo"</formula>
    </cfRule>
  </conditionalFormatting>
  <conditionalFormatting sqref="M81">
    <cfRule type="cellIs" operator="equal" dxfId="228" priority="228">
      <formula>"Participar"</formula>
    </cfRule>
  </conditionalFormatting>
  <conditionalFormatting sqref="G82">
    <cfRule type="expression" dxfId="229" priority="229">
      <formula>INDIRECT(ADDRESS(ROW(),COLUMN())) = "Atrativo"</formula>
    </cfRule>
  </conditionalFormatting>
  <conditionalFormatting sqref="G82">
    <cfRule type="expression" dxfId="230" priority="230">
      <formula>INDIRECT(ADDRESS(ROW(),COLUMN())) = "Pouco atrativo"</formula>
    </cfRule>
  </conditionalFormatting>
  <conditionalFormatting sqref="M82">
    <cfRule type="cellIs" operator="equal" dxfId="231" priority="231">
      <formula>"Participar"</formula>
    </cfRule>
  </conditionalFormatting>
  <conditionalFormatting sqref="G83">
    <cfRule type="expression" dxfId="232" priority="232">
      <formula>INDIRECT(ADDRESS(ROW(),COLUMN())) = "Atrativo"</formula>
    </cfRule>
  </conditionalFormatting>
  <conditionalFormatting sqref="G83">
    <cfRule type="expression" dxfId="233" priority="233">
      <formula>INDIRECT(ADDRESS(ROW(),COLUMN())) = "Pouco atrativo"</formula>
    </cfRule>
  </conditionalFormatting>
  <conditionalFormatting sqref="M83">
    <cfRule type="cellIs" operator="equal" dxfId="234" priority="234">
      <formula>"Participar"</formula>
    </cfRule>
  </conditionalFormatting>
  <conditionalFormatting sqref="G84">
    <cfRule type="expression" dxfId="235" priority="235">
      <formula>INDIRECT(ADDRESS(ROW(),COLUMN())) = "Atrativo"</formula>
    </cfRule>
  </conditionalFormatting>
  <conditionalFormatting sqref="G84">
    <cfRule type="expression" dxfId="236" priority="236">
      <formula>INDIRECT(ADDRESS(ROW(),COLUMN())) = "Pouco atrativo"</formula>
    </cfRule>
  </conditionalFormatting>
  <conditionalFormatting sqref="M84">
    <cfRule type="cellIs" operator="equal" dxfId="237" priority="237">
      <formula>"Participar"</formula>
    </cfRule>
  </conditionalFormatting>
  <conditionalFormatting sqref="G85">
    <cfRule type="expression" dxfId="238" priority="238">
      <formula>INDIRECT(ADDRESS(ROW(),COLUMN())) = "Atrativo"</formula>
    </cfRule>
  </conditionalFormatting>
  <conditionalFormatting sqref="G85">
    <cfRule type="expression" dxfId="239" priority="239">
      <formula>INDIRECT(ADDRESS(ROW(),COLUMN())) = "Pouco atrativo"</formula>
    </cfRule>
  </conditionalFormatting>
  <conditionalFormatting sqref="M85">
    <cfRule type="cellIs" operator="equal" dxfId="240" priority="240">
      <formula>"Participar"</formula>
    </cfRule>
  </conditionalFormatting>
  <conditionalFormatting sqref="G86">
    <cfRule type="expression" dxfId="241" priority="241">
      <formula>INDIRECT(ADDRESS(ROW(),COLUMN())) = "Atrativo"</formula>
    </cfRule>
  </conditionalFormatting>
  <conditionalFormatting sqref="G86">
    <cfRule type="expression" dxfId="242" priority="242">
      <formula>INDIRECT(ADDRESS(ROW(),COLUMN())) = "Pouco atrativo"</formula>
    </cfRule>
  </conditionalFormatting>
  <conditionalFormatting sqref="M86">
    <cfRule type="cellIs" operator="equal" dxfId="243" priority="243">
      <formula>"Participar"</formula>
    </cfRule>
  </conditionalFormatting>
  <conditionalFormatting sqref="G87">
    <cfRule type="expression" dxfId="244" priority="244">
      <formula>INDIRECT(ADDRESS(ROW(),COLUMN())) = "Atrativo"</formula>
    </cfRule>
  </conditionalFormatting>
  <conditionalFormatting sqref="G87">
    <cfRule type="expression" dxfId="245" priority="245">
      <formula>INDIRECT(ADDRESS(ROW(),COLUMN())) = "Pouco atrativo"</formula>
    </cfRule>
  </conditionalFormatting>
  <conditionalFormatting sqref="M87">
    <cfRule type="cellIs" operator="equal" dxfId="246" priority="246">
      <formula>"Participar"</formula>
    </cfRule>
  </conditionalFormatting>
  <conditionalFormatting sqref="G88">
    <cfRule type="expression" dxfId="247" priority="247">
      <formula>INDIRECT(ADDRESS(ROW(),COLUMN())) = "Atrativo"</formula>
    </cfRule>
  </conditionalFormatting>
  <conditionalFormatting sqref="G88">
    <cfRule type="expression" dxfId="248" priority="248">
      <formula>INDIRECT(ADDRESS(ROW(),COLUMN())) = "Pouco atrativo"</formula>
    </cfRule>
  </conditionalFormatting>
  <conditionalFormatting sqref="M88">
    <cfRule type="cellIs" operator="equal" dxfId="249" priority="249">
      <formula>"Participar"</formula>
    </cfRule>
  </conditionalFormatting>
  <conditionalFormatting sqref="G89">
    <cfRule type="expression" dxfId="250" priority="250">
      <formula>INDIRECT(ADDRESS(ROW(),COLUMN())) = "Atrativo"</formula>
    </cfRule>
  </conditionalFormatting>
  <conditionalFormatting sqref="G89">
    <cfRule type="expression" dxfId="251" priority="251">
      <formula>INDIRECT(ADDRESS(ROW(),COLUMN())) = "Pouco atrativo"</formula>
    </cfRule>
  </conditionalFormatting>
  <conditionalFormatting sqref="M89">
    <cfRule type="cellIs" operator="equal" dxfId="252" priority="252">
      <formula>"Participar"</formula>
    </cfRule>
  </conditionalFormatting>
  <conditionalFormatting sqref="G90">
    <cfRule type="expression" dxfId="253" priority="253">
      <formula>INDIRECT(ADDRESS(ROW(),COLUMN())) = "Atrativo"</formula>
    </cfRule>
  </conditionalFormatting>
  <conditionalFormatting sqref="G90">
    <cfRule type="expression" dxfId="254" priority="254">
      <formula>INDIRECT(ADDRESS(ROW(),COLUMN())) = "Pouco atrativo"</formula>
    </cfRule>
  </conditionalFormatting>
  <conditionalFormatting sqref="M90">
    <cfRule type="cellIs" operator="equal" dxfId="255" priority="255">
      <formula>"Participar"</formula>
    </cfRule>
  </conditionalFormatting>
  <conditionalFormatting sqref="G91">
    <cfRule type="expression" dxfId="256" priority="256">
      <formula>INDIRECT(ADDRESS(ROW(),COLUMN())) = "Atrativo"</formula>
    </cfRule>
  </conditionalFormatting>
  <conditionalFormatting sqref="G91">
    <cfRule type="expression" dxfId="257" priority="257">
      <formula>INDIRECT(ADDRESS(ROW(),COLUMN())) = "Pouco atrativo"</formula>
    </cfRule>
  </conditionalFormatting>
  <conditionalFormatting sqref="M91">
    <cfRule type="cellIs" operator="equal" dxfId="258" priority="258">
      <formula>"Participar"</formula>
    </cfRule>
  </conditionalFormatting>
  <conditionalFormatting sqref="G92">
    <cfRule type="expression" dxfId="259" priority="259">
      <formula>INDIRECT(ADDRESS(ROW(),COLUMN())) = "Atrativo"</formula>
    </cfRule>
  </conditionalFormatting>
  <conditionalFormatting sqref="G92">
    <cfRule type="expression" dxfId="260" priority="260">
      <formula>INDIRECT(ADDRESS(ROW(),COLUMN())) = "Pouco atrativo"</formula>
    </cfRule>
  </conditionalFormatting>
  <conditionalFormatting sqref="M92">
    <cfRule type="cellIs" operator="equal" dxfId="261" priority="261">
      <formula>"Participar"</formula>
    </cfRule>
  </conditionalFormatting>
  <conditionalFormatting sqref="G93">
    <cfRule type="expression" dxfId="262" priority="262">
      <formula>INDIRECT(ADDRESS(ROW(),COLUMN())) = "Atrativo"</formula>
    </cfRule>
  </conditionalFormatting>
  <conditionalFormatting sqref="G93">
    <cfRule type="expression" dxfId="263" priority="263">
      <formula>INDIRECT(ADDRESS(ROW(),COLUMN())) = "Pouco atrativo"</formula>
    </cfRule>
  </conditionalFormatting>
  <conditionalFormatting sqref="M93">
    <cfRule type="cellIs" operator="equal" dxfId="264" priority="264">
      <formula>"Participar"</formula>
    </cfRule>
  </conditionalFormatting>
  <conditionalFormatting sqref="G94">
    <cfRule type="expression" dxfId="265" priority="265">
      <formula>INDIRECT(ADDRESS(ROW(),COLUMN())) = "Atrativo"</formula>
    </cfRule>
  </conditionalFormatting>
  <conditionalFormatting sqref="G94">
    <cfRule type="expression" dxfId="266" priority="266">
      <formula>INDIRECT(ADDRESS(ROW(),COLUMN())) = "Pouco atrativo"</formula>
    </cfRule>
  </conditionalFormatting>
  <conditionalFormatting sqref="M94">
    <cfRule type="cellIs" operator="equal" dxfId="267" priority="267">
      <formula>"Participar"</formula>
    </cfRule>
  </conditionalFormatting>
  <conditionalFormatting sqref="G95">
    <cfRule type="expression" dxfId="268" priority="268">
      <formula>INDIRECT(ADDRESS(ROW(),COLUMN())) = "Atrativo"</formula>
    </cfRule>
  </conditionalFormatting>
  <conditionalFormatting sqref="G95">
    <cfRule type="expression" dxfId="269" priority="269">
      <formula>INDIRECT(ADDRESS(ROW(),COLUMN())) = "Pouco atrativo"</formula>
    </cfRule>
  </conditionalFormatting>
  <conditionalFormatting sqref="M95">
    <cfRule type="cellIs" operator="equal" dxfId="270" priority="270">
      <formula>"Participar"</formula>
    </cfRule>
  </conditionalFormatting>
  <conditionalFormatting sqref="G96">
    <cfRule type="expression" dxfId="271" priority="271">
      <formula>INDIRECT(ADDRESS(ROW(),COLUMN())) = "Atrativo"</formula>
    </cfRule>
  </conditionalFormatting>
  <conditionalFormatting sqref="G96">
    <cfRule type="expression" dxfId="272" priority="272">
      <formula>INDIRECT(ADDRESS(ROW(),COLUMN())) = "Pouco atrativo"</formula>
    </cfRule>
  </conditionalFormatting>
  <conditionalFormatting sqref="M96">
    <cfRule type="cellIs" operator="equal" dxfId="273" priority="273">
      <formula>"Participar"</formula>
    </cfRule>
  </conditionalFormatting>
  <conditionalFormatting sqref="G97">
    <cfRule type="expression" dxfId="274" priority="274">
      <formula>INDIRECT(ADDRESS(ROW(),COLUMN())) = "Atrativo"</formula>
    </cfRule>
  </conditionalFormatting>
  <conditionalFormatting sqref="G97">
    <cfRule type="expression" dxfId="275" priority="275">
      <formula>INDIRECT(ADDRESS(ROW(),COLUMN())) = "Pouco atrativo"</formula>
    </cfRule>
  </conditionalFormatting>
  <conditionalFormatting sqref="M97">
    <cfRule type="cellIs" operator="equal" dxfId="276" priority="276">
      <formula>"Participar"</formula>
    </cfRule>
  </conditionalFormatting>
  <conditionalFormatting sqref="G98">
    <cfRule type="expression" dxfId="277" priority="277">
      <formula>INDIRECT(ADDRESS(ROW(),COLUMN())) = "Atrativo"</formula>
    </cfRule>
  </conditionalFormatting>
  <conditionalFormatting sqref="G98">
    <cfRule type="expression" dxfId="278" priority="278">
      <formula>INDIRECT(ADDRESS(ROW(),COLUMN())) = "Pouco atrativo"</formula>
    </cfRule>
  </conditionalFormatting>
  <conditionalFormatting sqref="M98">
    <cfRule type="cellIs" operator="equal" dxfId="279" priority="279">
      <formula>"Participar"</formula>
    </cfRule>
  </conditionalFormatting>
  <conditionalFormatting sqref="G99">
    <cfRule type="expression" dxfId="280" priority="280">
      <formula>INDIRECT(ADDRESS(ROW(),COLUMN())) = "Atrativo"</formula>
    </cfRule>
  </conditionalFormatting>
  <conditionalFormatting sqref="G99">
    <cfRule type="expression" dxfId="281" priority="281">
      <formula>INDIRECT(ADDRESS(ROW(),COLUMN())) = "Pouco atrativo"</formula>
    </cfRule>
  </conditionalFormatting>
  <conditionalFormatting sqref="M99">
    <cfRule type="cellIs" operator="equal" dxfId="282" priority="282">
      <formula>"Participar"</formula>
    </cfRule>
  </conditionalFormatting>
  <conditionalFormatting sqref="G100">
    <cfRule type="expression" dxfId="283" priority="283">
      <formula>INDIRECT(ADDRESS(ROW(),COLUMN())) = "Atrativo"</formula>
    </cfRule>
  </conditionalFormatting>
  <conditionalFormatting sqref="G100">
    <cfRule type="expression" dxfId="284" priority="284">
      <formula>INDIRECT(ADDRESS(ROW(),COLUMN())) = "Pouco atrativo"</formula>
    </cfRule>
  </conditionalFormatting>
  <conditionalFormatting sqref="M100">
    <cfRule type="cellIs" operator="equal" dxfId="285" priority="285">
      <formula>"Participar"</formula>
    </cfRule>
  </conditionalFormatting>
  <conditionalFormatting sqref="G101">
    <cfRule type="expression" dxfId="286" priority="286">
      <formula>INDIRECT(ADDRESS(ROW(),COLUMN())) = "Atrativo"</formula>
    </cfRule>
  </conditionalFormatting>
  <conditionalFormatting sqref="G101">
    <cfRule type="expression" dxfId="287" priority="287">
      <formula>INDIRECT(ADDRESS(ROW(),COLUMN())) = "Pouco atrativo"</formula>
    </cfRule>
  </conditionalFormatting>
  <conditionalFormatting sqref="M101">
    <cfRule type="cellIs" operator="equal" dxfId="288" priority="288">
      <formula>"Participar"</formula>
    </cfRule>
  </conditionalFormatting>
  <conditionalFormatting sqref="G102">
    <cfRule type="expression" dxfId="289" priority="289">
      <formula>INDIRECT(ADDRESS(ROW(),COLUMN())) = "Atrativo"</formula>
    </cfRule>
  </conditionalFormatting>
  <conditionalFormatting sqref="G102">
    <cfRule type="expression" dxfId="290" priority="290">
      <formula>INDIRECT(ADDRESS(ROW(),COLUMN())) = "Pouco atrativo"</formula>
    </cfRule>
  </conditionalFormatting>
  <conditionalFormatting sqref="M102">
    <cfRule type="cellIs" operator="equal" dxfId="291" priority="291">
      <formula>"Participar"</formula>
    </cfRule>
  </conditionalFormatting>
  <conditionalFormatting sqref="G103">
    <cfRule type="expression" dxfId="292" priority="292">
      <formula>INDIRECT(ADDRESS(ROW(),COLUMN())) = "Atrativo"</formula>
    </cfRule>
  </conditionalFormatting>
  <conditionalFormatting sqref="G103">
    <cfRule type="expression" dxfId="293" priority="293">
      <formula>INDIRECT(ADDRESS(ROW(),COLUMN())) = "Pouco atrativo"</formula>
    </cfRule>
  </conditionalFormatting>
  <conditionalFormatting sqref="M103">
    <cfRule type="cellIs" operator="equal" dxfId="294" priority="294">
      <formula>"Participar"</formula>
    </cfRule>
  </conditionalFormatting>
  <conditionalFormatting sqref="G104">
    <cfRule type="expression" dxfId="295" priority="295">
      <formula>INDIRECT(ADDRESS(ROW(),COLUMN())) = "Atrativo"</formula>
    </cfRule>
  </conditionalFormatting>
  <conditionalFormatting sqref="G104">
    <cfRule type="expression" dxfId="296" priority="296">
      <formula>INDIRECT(ADDRESS(ROW(),COLUMN())) = "Pouco atrativo"</formula>
    </cfRule>
  </conditionalFormatting>
  <conditionalFormatting sqref="M104">
    <cfRule type="cellIs" operator="equal" dxfId="297" priority="297">
      <formula>"Participar"</formula>
    </cfRule>
  </conditionalFormatting>
  <conditionalFormatting sqref="G105">
    <cfRule type="expression" dxfId="298" priority="298">
      <formula>INDIRECT(ADDRESS(ROW(),COLUMN())) = "Atrativo"</formula>
    </cfRule>
  </conditionalFormatting>
  <conditionalFormatting sqref="G105">
    <cfRule type="expression" dxfId="299" priority="299">
      <formula>INDIRECT(ADDRESS(ROW(),COLUMN())) = "Pouco atrativo"</formula>
    </cfRule>
  </conditionalFormatting>
  <conditionalFormatting sqref="M105">
    <cfRule type="cellIs" operator="equal" dxfId="300" priority="300">
      <formula>"Participar"</formula>
    </cfRule>
  </conditionalFormatting>
  <conditionalFormatting sqref="G106">
    <cfRule type="expression" dxfId="301" priority="301">
      <formula>INDIRECT(ADDRESS(ROW(),COLUMN())) = "Atrativo"</formula>
    </cfRule>
  </conditionalFormatting>
  <conditionalFormatting sqref="G106">
    <cfRule type="expression" dxfId="302" priority="302">
      <formula>INDIRECT(ADDRESS(ROW(),COLUMN())) = "Pouco atrativo"</formula>
    </cfRule>
  </conditionalFormatting>
  <conditionalFormatting sqref="M106">
    <cfRule type="cellIs" operator="equal" dxfId="303" priority="303">
      <formula>"Participar"</formula>
    </cfRule>
  </conditionalFormatting>
  <conditionalFormatting sqref="G107">
    <cfRule type="expression" dxfId="304" priority="304">
      <formula>INDIRECT(ADDRESS(ROW(),COLUMN())) = "Atrativo"</formula>
    </cfRule>
  </conditionalFormatting>
  <conditionalFormatting sqref="G107">
    <cfRule type="expression" dxfId="305" priority="305">
      <formula>INDIRECT(ADDRESS(ROW(),COLUMN())) = "Pouco atrativo"</formula>
    </cfRule>
  </conditionalFormatting>
  <conditionalFormatting sqref="M107">
    <cfRule type="cellIs" operator="equal" dxfId="306" priority="306">
      <formula>"Participar"</formula>
    </cfRule>
  </conditionalFormatting>
  <conditionalFormatting sqref="G108">
    <cfRule type="expression" dxfId="307" priority="307">
      <formula>INDIRECT(ADDRESS(ROW(),COLUMN())) = "Atrativo"</formula>
    </cfRule>
  </conditionalFormatting>
  <conditionalFormatting sqref="G108">
    <cfRule type="expression" dxfId="308" priority="308">
      <formula>INDIRECT(ADDRESS(ROW(),COLUMN())) = "Pouco atrativo"</formula>
    </cfRule>
  </conditionalFormatting>
  <conditionalFormatting sqref="M108">
    <cfRule type="cellIs" operator="equal" dxfId="309" priority="309">
      <formula>"Participar"</formula>
    </cfRule>
  </conditionalFormatting>
  <conditionalFormatting sqref="G109">
    <cfRule type="expression" dxfId="310" priority="310">
      <formula>INDIRECT(ADDRESS(ROW(),COLUMN())) = "Atrativo"</formula>
    </cfRule>
  </conditionalFormatting>
  <conditionalFormatting sqref="G109">
    <cfRule type="expression" dxfId="311" priority="311">
      <formula>INDIRECT(ADDRESS(ROW(),COLUMN())) = "Pouco atrativo"</formula>
    </cfRule>
  </conditionalFormatting>
  <conditionalFormatting sqref="M109">
    <cfRule type="cellIs" operator="equal" dxfId="312" priority="312">
      <formula>"Participar"</formula>
    </cfRule>
  </conditionalFormatting>
  <conditionalFormatting sqref="G110">
    <cfRule type="expression" dxfId="313" priority="313">
      <formula>INDIRECT(ADDRESS(ROW(),COLUMN())) = "Atrativo"</formula>
    </cfRule>
  </conditionalFormatting>
  <conditionalFormatting sqref="G110">
    <cfRule type="expression" dxfId="314" priority="314">
      <formula>INDIRECT(ADDRESS(ROW(),COLUMN())) = "Pouco atrativo"</formula>
    </cfRule>
  </conditionalFormatting>
  <conditionalFormatting sqref="M110">
    <cfRule type="cellIs" operator="equal" dxfId="315" priority="315">
      <formula>"Participar"</formula>
    </cfRule>
  </conditionalFormatting>
  <conditionalFormatting sqref="G111">
    <cfRule type="expression" dxfId="316" priority="316">
      <formula>INDIRECT(ADDRESS(ROW(),COLUMN())) = "Atrativo"</formula>
    </cfRule>
  </conditionalFormatting>
  <conditionalFormatting sqref="G111">
    <cfRule type="expression" dxfId="317" priority="317">
      <formula>INDIRECT(ADDRESS(ROW(),COLUMN())) = "Pouco atrativo"</formula>
    </cfRule>
  </conditionalFormatting>
  <conditionalFormatting sqref="M111">
    <cfRule type="cellIs" operator="equal" dxfId="318" priority="318">
      <formula>"Participar"</formula>
    </cfRule>
  </conditionalFormatting>
  <conditionalFormatting sqref="G112">
    <cfRule type="expression" dxfId="319" priority="319">
      <formula>INDIRECT(ADDRESS(ROW(),COLUMN())) = "Atrativo"</formula>
    </cfRule>
  </conditionalFormatting>
  <conditionalFormatting sqref="G112">
    <cfRule type="expression" dxfId="320" priority="320">
      <formula>INDIRECT(ADDRESS(ROW(),COLUMN())) = "Pouco atrativo"</formula>
    </cfRule>
  </conditionalFormatting>
  <conditionalFormatting sqref="M112">
    <cfRule type="cellIs" operator="equal" dxfId="321" priority="321">
      <formula>"Participar"</formula>
    </cfRule>
  </conditionalFormatting>
  <conditionalFormatting sqref="G113">
    <cfRule type="expression" dxfId="322" priority="322">
      <formula>INDIRECT(ADDRESS(ROW(),COLUMN())) = "Atrativo"</formula>
    </cfRule>
  </conditionalFormatting>
  <conditionalFormatting sqref="G113">
    <cfRule type="expression" dxfId="323" priority="323">
      <formula>INDIRECT(ADDRESS(ROW(),COLUMN())) = "Pouco atrativo"</formula>
    </cfRule>
  </conditionalFormatting>
  <conditionalFormatting sqref="M113">
    <cfRule type="cellIs" operator="equal" dxfId="324" priority="324">
      <formula>"Participar"</formula>
    </cfRule>
  </conditionalFormatting>
  <conditionalFormatting sqref="G114">
    <cfRule type="expression" dxfId="325" priority="325">
      <formula>INDIRECT(ADDRESS(ROW(),COLUMN())) = "Atrativo"</formula>
    </cfRule>
  </conditionalFormatting>
  <conditionalFormatting sqref="G114">
    <cfRule type="expression" dxfId="326" priority="326">
      <formula>INDIRECT(ADDRESS(ROW(),COLUMN())) = "Pouco atrativo"</formula>
    </cfRule>
  </conditionalFormatting>
  <conditionalFormatting sqref="M114">
    <cfRule type="cellIs" operator="equal" dxfId="327" priority="327">
      <formula>"Participar"</formula>
    </cfRule>
  </conditionalFormatting>
  <conditionalFormatting sqref="G115">
    <cfRule type="expression" dxfId="328" priority="328">
      <formula>INDIRECT(ADDRESS(ROW(),COLUMN())) = "Atrativo"</formula>
    </cfRule>
  </conditionalFormatting>
  <conditionalFormatting sqref="G115">
    <cfRule type="expression" dxfId="329" priority="329">
      <formula>INDIRECT(ADDRESS(ROW(),COLUMN())) = "Pouco atrativo"</formula>
    </cfRule>
  </conditionalFormatting>
  <conditionalFormatting sqref="M115">
    <cfRule type="cellIs" operator="equal" dxfId="330" priority="330">
      <formula>"Participar"</formula>
    </cfRule>
  </conditionalFormatting>
  <conditionalFormatting sqref="G116">
    <cfRule type="expression" dxfId="331" priority="331">
      <formula>INDIRECT(ADDRESS(ROW(),COLUMN())) = "Atrativo"</formula>
    </cfRule>
  </conditionalFormatting>
  <conditionalFormatting sqref="G116">
    <cfRule type="expression" dxfId="332" priority="332">
      <formula>INDIRECT(ADDRESS(ROW(),COLUMN())) = "Pouco atrativo"</formula>
    </cfRule>
  </conditionalFormatting>
  <conditionalFormatting sqref="M116">
    <cfRule type="cellIs" operator="equal" dxfId="333" priority="333">
      <formula>"Participar"</formula>
    </cfRule>
  </conditionalFormatting>
  <conditionalFormatting sqref="G117">
    <cfRule type="expression" dxfId="334" priority="334">
      <formula>INDIRECT(ADDRESS(ROW(),COLUMN())) = "Atrativo"</formula>
    </cfRule>
  </conditionalFormatting>
  <conditionalFormatting sqref="G117">
    <cfRule type="expression" dxfId="335" priority="335">
      <formula>INDIRECT(ADDRESS(ROW(),COLUMN())) = "Pouco atrativo"</formula>
    </cfRule>
  </conditionalFormatting>
  <conditionalFormatting sqref="M117">
    <cfRule type="cellIs" operator="equal" dxfId="336" priority="336">
      <formula>"Participar"</formula>
    </cfRule>
  </conditionalFormatting>
  <conditionalFormatting sqref="G118">
    <cfRule type="expression" dxfId="337" priority="337">
      <formula>INDIRECT(ADDRESS(ROW(),COLUMN())) = "Atrativo"</formula>
    </cfRule>
  </conditionalFormatting>
  <conditionalFormatting sqref="G118">
    <cfRule type="expression" dxfId="338" priority="338">
      <formula>INDIRECT(ADDRESS(ROW(),COLUMN())) = "Pouco atrativo"</formula>
    </cfRule>
  </conditionalFormatting>
  <conditionalFormatting sqref="M118">
    <cfRule type="cellIs" operator="equal" dxfId="339" priority="339">
      <formula>"Participar"</formula>
    </cfRule>
  </conditionalFormatting>
  <conditionalFormatting sqref="G119">
    <cfRule type="expression" dxfId="340" priority="340">
      <formula>INDIRECT(ADDRESS(ROW(),COLUMN())) = "Atrativo"</formula>
    </cfRule>
  </conditionalFormatting>
  <conditionalFormatting sqref="G119">
    <cfRule type="expression" dxfId="341" priority="341">
      <formula>INDIRECT(ADDRESS(ROW(),COLUMN())) = "Pouco atrativo"</formula>
    </cfRule>
  </conditionalFormatting>
  <conditionalFormatting sqref="M119">
    <cfRule type="cellIs" operator="equal" dxfId="342" priority="342">
      <formula>"Participar"</formula>
    </cfRule>
  </conditionalFormatting>
  <conditionalFormatting sqref="G120">
    <cfRule type="expression" dxfId="343" priority="343">
      <formula>INDIRECT(ADDRESS(ROW(),COLUMN())) = "Atrativo"</formula>
    </cfRule>
  </conditionalFormatting>
  <conditionalFormatting sqref="G120">
    <cfRule type="expression" dxfId="344" priority="344">
      <formula>INDIRECT(ADDRESS(ROW(),COLUMN())) = "Pouco atrativo"</formula>
    </cfRule>
  </conditionalFormatting>
  <conditionalFormatting sqref="M120">
    <cfRule type="cellIs" operator="equal" dxfId="345" priority="345">
      <formula>"Participar"</formula>
    </cfRule>
  </conditionalFormatting>
  <conditionalFormatting sqref="G121">
    <cfRule type="expression" dxfId="346" priority="346">
      <formula>INDIRECT(ADDRESS(ROW(),COLUMN())) = "Atrativo"</formula>
    </cfRule>
  </conditionalFormatting>
  <conditionalFormatting sqref="G121">
    <cfRule type="expression" dxfId="347" priority="347">
      <formula>INDIRECT(ADDRESS(ROW(),COLUMN())) = "Pouco atrativo"</formula>
    </cfRule>
  </conditionalFormatting>
  <conditionalFormatting sqref="M121">
    <cfRule type="cellIs" operator="equal" dxfId="348" priority="348">
      <formula>"Participar"</formula>
    </cfRule>
  </conditionalFormatting>
  <conditionalFormatting sqref="G122">
    <cfRule type="expression" dxfId="349" priority="349">
      <formula>INDIRECT(ADDRESS(ROW(),COLUMN())) = "Atrativo"</formula>
    </cfRule>
  </conditionalFormatting>
  <conditionalFormatting sqref="G122">
    <cfRule type="expression" dxfId="350" priority="350">
      <formula>INDIRECT(ADDRESS(ROW(),COLUMN())) = "Pouco atrativo"</formula>
    </cfRule>
  </conditionalFormatting>
  <conditionalFormatting sqref="M122">
    <cfRule type="cellIs" operator="equal" dxfId="351" priority="351">
      <formula>"Participar"</formula>
    </cfRule>
  </conditionalFormatting>
  <conditionalFormatting sqref="G123">
    <cfRule type="expression" dxfId="352" priority="352">
      <formula>INDIRECT(ADDRESS(ROW(),COLUMN())) = "Atrativo"</formula>
    </cfRule>
  </conditionalFormatting>
  <conditionalFormatting sqref="G123">
    <cfRule type="expression" dxfId="353" priority="353">
      <formula>INDIRECT(ADDRESS(ROW(),COLUMN())) = "Pouco atrativo"</formula>
    </cfRule>
  </conditionalFormatting>
  <conditionalFormatting sqref="M123">
    <cfRule type="cellIs" operator="equal" dxfId="354" priority="354">
      <formula>"Participar"</formula>
    </cfRule>
  </conditionalFormatting>
  <conditionalFormatting sqref="G124">
    <cfRule type="expression" dxfId="355" priority="355">
      <formula>INDIRECT(ADDRESS(ROW(),COLUMN())) = "Atrativo"</formula>
    </cfRule>
  </conditionalFormatting>
  <conditionalFormatting sqref="G124">
    <cfRule type="expression" dxfId="356" priority="356">
      <formula>INDIRECT(ADDRESS(ROW(),COLUMN())) = "Pouco atrativo"</formula>
    </cfRule>
  </conditionalFormatting>
  <conditionalFormatting sqref="M124">
    <cfRule type="cellIs" operator="equal" dxfId="357" priority="357">
      <formula>"Participar"</formula>
    </cfRule>
  </conditionalFormatting>
  <conditionalFormatting sqref="G125">
    <cfRule type="expression" dxfId="358" priority="358">
      <formula>INDIRECT(ADDRESS(ROW(),COLUMN())) = "Atrativo"</formula>
    </cfRule>
  </conditionalFormatting>
  <conditionalFormatting sqref="G125">
    <cfRule type="expression" dxfId="359" priority="359">
      <formula>INDIRECT(ADDRESS(ROW(),COLUMN())) = "Pouco atrativo"</formula>
    </cfRule>
  </conditionalFormatting>
  <conditionalFormatting sqref="M125">
    <cfRule type="cellIs" operator="equal" dxfId="360" priority="360">
      <formula>"Participar"</formula>
    </cfRule>
  </conditionalFormatting>
  <conditionalFormatting sqref="G126">
    <cfRule type="expression" dxfId="361" priority="361">
      <formula>INDIRECT(ADDRESS(ROW(),COLUMN())) = "Atrativo"</formula>
    </cfRule>
  </conditionalFormatting>
  <conditionalFormatting sqref="G126">
    <cfRule type="expression" dxfId="362" priority="362">
      <formula>INDIRECT(ADDRESS(ROW(),COLUMN())) = "Pouco atrativo"</formula>
    </cfRule>
  </conditionalFormatting>
  <conditionalFormatting sqref="M126">
    <cfRule type="cellIs" operator="equal" dxfId="363" priority="363">
      <formula>"Participar"</formula>
    </cfRule>
  </conditionalFormatting>
  <conditionalFormatting sqref="G127">
    <cfRule type="expression" dxfId="364" priority="364">
      <formula>INDIRECT(ADDRESS(ROW(),COLUMN())) = "Atrativo"</formula>
    </cfRule>
  </conditionalFormatting>
  <conditionalFormatting sqref="G127">
    <cfRule type="expression" dxfId="365" priority="365">
      <formula>INDIRECT(ADDRESS(ROW(),COLUMN())) = "Pouco atrativo"</formula>
    </cfRule>
  </conditionalFormatting>
  <conditionalFormatting sqref="M127">
    <cfRule type="cellIs" operator="equal" dxfId="366" priority="366">
      <formula>"Participar"</formula>
    </cfRule>
  </conditionalFormatting>
  <conditionalFormatting sqref="G128">
    <cfRule type="expression" dxfId="367" priority="367">
      <formula>INDIRECT(ADDRESS(ROW(),COLUMN())) = "Atrativo"</formula>
    </cfRule>
  </conditionalFormatting>
  <conditionalFormatting sqref="G128">
    <cfRule type="expression" dxfId="368" priority="368">
      <formula>INDIRECT(ADDRESS(ROW(),COLUMN())) = "Pouco atrativo"</formula>
    </cfRule>
  </conditionalFormatting>
  <conditionalFormatting sqref="M128">
    <cfRule type="cellIs" operator="equal" dxfId="369" priority="369">
      <formula>"Participar"</formula>
    </cfRule>
  </conditionalFormatting>
  <conditionalFormatting sqref="G129">
    <cfRule type="expression" dxfId="370" priority="370">
      <formula>INDIRECT(ADDRESS(ROW(),COLUMN())) = "Atrativo"</formula>
    </cfRule>
  </conditionalFormatting>
  <conditionalFormatting sqref="G129">
    <cfRule type="expression" dxfId="371" priority="371">
      <formula>INDIRECT(ADDRESS(ROW(),COLUMN())) = "Pouco atrativo"</formula>
    </cfRule>
  </conditionalFormatting>
  <conditionalFormatting sqref="M129">
    <cfRule type="cellIs" operator="equal" dxfId="372" priority="372">
      <formula>"Participar"</formula>
    </cfRule>
  </conditionalFormatting>
  <conditionalFormatting sqref="G130">
    <cfRule type="expression" dxfId="373" priority="373">
      <formula>INDIRECT(ADDRESS(ROW(),COLUMN())) = "Atrativo"</formula>
    </cfRule>
  </conditionalFormatting>
  <conditionalFormatting sqref="G130">
    <cfRule type="expression" dxfId="374" priority="374">
      <formula>INDIRECT(ADDRESS(ROW(),COLUMN())) = "Pouco atrativo"</formula>
    </cfRule>
  </conditionalFormatting>
  <conditionalFormatting sqref="M130">
    <cfRule type="cellIs" operator="equal" dxfId="375" priority="375">
      <formula>"Participar"</formula>
    </cfRule>
  </conditionalFormatting>
  <conditionalFormatting sqref="G131">
    <cfRule type="expression" dxfId="376" priority="376">
      <formula>INDIRECT(ADDRESS(ROW(),COLUMN())) = "Atrativo"</formula>
    </cfRule>
  </conditionalFormatting>
  <conditionalFormatting sqref="G131">
    <cfRule type="expression" dxfId="377" priority="377">
      <formula>INDIRECT(ADDRESS(ROW(),COLUMN())) = "Pouco atrativo"</formula>
    </cfRule>
  </conditionalFormatting>
  <conditionalFormatting sqref="M131">
    <cfRule type="cellIs" operator="equal" dxfId="378" priority="378">
      <formula>"Participar"</formula>
    </cfRule>
  </conditionalFormatting>
  <conditionalFormatting sqref="G132">
    <cfRule type="expression" dxfId="379" priority="379">
      <formula>INDIRECT(ADDRESS(ROW(),COLUMN())) = "Atrativo"</formula>
    </cfRule>
  </conditionalFormatting>
  <conditionalFormatting sqref="G132">
    <cfRule type="expression" dxfId="380" priority="380">
      <formula>INDIRECT(ADDRESS(ROW(),COLUMN())) = "Pouco atrativo"</formula>
    </cfRule>
  </conditionalFormatting>
  <conditionalFormatting sqref="M132">
    <cfRule type="cellIs" operator="equal" dxfId="381" priority="381">
      <formula>"Participar"</formula>
    </cfRule>
  </conditionalFormatting>
  <conditionalFormatting sqref="G133">
    <cfRule type="expression" dxfId="382" priority="382">
      <formula>INDIRECT(ADDRESS(ROW(),COLUMN())) = "Atrativo"</formula>
    </cfRule>
  </conditionalFormatting>
  <conditionalFormatting sqref="G133">
    <cfRule type="expression" dxfId="383" priority="383">
      <formula>INDIRECT(ADDRESS(ROW(),COLUMN())) = "Pouco atrativo"</formula>
    </cfRule>
  </conditionalFormatting>
  <conditionalFormatting sqref="M133">
    <cfRule type="cellIs" operator="equal" dxfId="384" priority="384">
      <formula>"Participar"</formula>
    </cfRule>
  </conditionalFormatting>
  <conditionalFormatting sqref="G134">
    <cfRule type="expression" dxfId="385" priority="385">
      <formula>INDIRECT(ADDRESS(ROW(),COLUMN())) = "Atrativo"</formula>
    </cfRule>
  </conditionalFormatting>
  <conditionalFormatting sqref="G134">
    <cfRule type="expression" dxfId="386" priority="386">
      <formula>INDIRECT(ADDRESS(ROW(),COLUMN())) = "Pouco atrativo"</formula>
    </cfRule>
  </conditionalFormatting>
  <conditionalFormatting sqref="M134">
    <cfRule type="cellIs" operator="equal" dxfId="387" priority="387">
      <formula>"Participar"</formula>
    </cfRule>
  </conditionalFormatting>
  <conditionalFormatting sqref="G135">
    <cfRule type="expression" dxfId="388" priority="388">
      <formula>INDIRECT(ADDRESS(ROW(),COLUMN())) = "Atrativo"</formula>
    </cfRule>
  </conditionalFormatting>
  <conditionalFormatting sqref="G135">
    <cfRule type="expression" dxfId="389" priority="389">
      <formula>INDIRECT(ADDRESS(ROW(),COLUMN())) = "Pouco atrativo"</formula>
    </cfRule>
  </conditionalFormatting>
  <conditionalFormatting sqref="M135">
    <cfRule type="cellIs" operator="equal" dxfId="390" priority="390">
      <formula>"Participar"</formula>
    </cfRule>
  </conditionalFormatting>
  <conditionalFormatting sqref="G136">
    <cfRule type="expression" dxfId="391" priority="391">
      <formula>INDIRECT(ADDRESS(ROW(),COLUMN())) = "Atrativo"</formula>
    </cfRule>
  </conditionalFormatting>
  <conditionalFormatting sqref="G136">
    <cfRule type="expression" dxfId="392" priority="392">
      <formula>INDIRECT(ADDRESS(ROW(),COLUMN())) = "Pouco atrativo"</formula>
    </cfRule>
  </conditionalFormatting>
  <conditionalFormatting sqref="M136">
    <cfRule type="cellIs" operator="equal" dxfId="393" priority="393">
      <formula>"Participar"</formula>
    </cfRule>
  </conditionalFormatting>
  <conditionalFormatting sqref="G137">
    <cfRule type="expression" dxfId="394" priority="394">
      <formula>INDIRECT(ADDRESS(ROW(),COLUMN())) = "Atrativo"</formula>
    </cfRule>
  </conditionalFormatting>
  <conditionalFormatting sqref="G137">
    <cfRule type="expression" dxfId="395" priority="395">
      <formula>INDIRECT(ADDRESS(ROW(),COLUMN())) = "Pouco atrativo"</formula>
    </cfRule>
  </conditionalFormatting>
  <conditionalFormatting sqref="M137">
    <cfRule type="cellIs" operator="equal" dxfId="396" priority="396">
      <formula>"Participar"</formula>
    </cfRule>
  </conditionalFormatting>
  <conditionalFormatting sqref="G138">
    <cfRule type="expression" dxfId="397" priority="397">
      <formula>INDIRECT(ADDRESS(ROW(),COLUMN())) = "Atrativo"</formula>
    </cfRule>
  </conditionalFormatting>
  <conditionalFormatting sqref="G138">
    <cfRule type="expression" dxfId="398" priority="398">
      <formula>INDIRECT(ADDRESS(ROW(),COLUMN())) = "Pouco atrativo"</formula>
    </cfRule>
  </conditionalFormatting>
  <conditionalFormatting sqref="M138">
    <cfRule type="cellIs" operator="equal" dxfId="399" priority="399">
      <formula>"Participar"</formula>
    </cfRule>
  </conditionalFormatting>
  <conditionalFormatting sqref="G139">
    <cfRule type="expression" dxfId="400" priority="400">
      <formula>INDIRECT(ADDRESS(ROW(),COLUMN())) = "Atrativo"</formula>
    </cfRule>
  </conditionalFormatting>
  <conditionalFormatting sqref="G139">
    <cfRule type="expression" dxfId="401" priority="401">
      <formula>INDIRECT(ADDRESS(ROW(),COLUMN())) = "Pouco atrativo"</formula>
    </cfRule>
  </conditionalFormatting>
  <conditionalFormatting sqref="M139">
    <cfRule type="cellIs" operator="equal" dxfId="402" priority="402">
      <formula>"Participar"</formula>
    </cfRule>
  </conditionalFormatting>
  <conditionalFormatting sqref="G140">
    <cfRule type="expression" dxfId="403" priority="403">
      <formula>INDIRECT(ADDRESS(ROW(),COLUMN())) = "Atrativo"</formula>
    </cfRule>
  </conditionalFormatting>
  <conditionalFormatting sqref="G140">
    <cfRule type="expression" dxfId="404" priority="404">
      <formula>INDIRECT(ADDRESS(ROW(),COLUMN())) = "Pouco atrativo"</formula>
    </cfRule>
  </conditionalFormatting>
  <conditionalFormatting sqref="M140">
    <cfRule type="cellIs" operator="equal" dxfId="405" priority="405">
      <formula>"Participar"</formula>
    </cfRule>
  </conditionalFormatting>
  <conditionalFormatting sqref="G141">
    <cfRule type="expression" dxfId="406" priority="406">
      <formula>INDIRECT(ADDRESS(ROW(),COLUMN())) = "Atrativo"</formula>
    </cfRule>
  </conditionalFormatting>
  <conditionalFormatting sqref="G141">
    <cfRule type="expression" dxfId="407" priority="407">
      <formula>INDIRECT(ADDRESS(ROW(),COLUMN())) = "Pouco atrativo"</formula>
    </cfRule>
  </conditionalFormatting>
  <conditionalFormatting sqref="M141">
    <cfRule type="cellIs" operator="equal" dxfId="408" priority="408">
      <formula>"Participar"</formula>
    </cfRule>
  </conditionalFormatting>
  <conditionalFormatting sqref="G142">
    <cfRule type="expression" dxfId="409" priority="409">
      <formula>INDIRECT(ADDRESS(ROW(),COLUMN())) = "Atrativo"</formula>
    </cfRule>
  </conditionalFormatting>
  <conditionalFormatting sqref="G142">
    <cfRule type="expression" dxfId="410" priority="410">
      <formula>INDIRECT(ADDRESS(ROW(),COLUMN())) = "Pouco atrativo"</formula>
    </cfRule>
  </conditionalFormatting>
  <conditionalFormatting sqref="M142">
    <cfRule type="cellIs" operator="equal" dxfId="411" priority="411">
      <formula>"Participar"</formula>
    </cfRule>
  </conditionalFormatting>
  <conditionalFormatting sqref="G143">
    <cfRule type="expression" dxfId="412" priority="412">
      <formula>INDIRECT(ADDRESS(ROW(),COLUMN())) = "Atrativo"</formula>
    </cfRule>
  </conditionalFormatting>
  <conditionalFormatting sqref="G143">
    <cfRule type="expression" dxfId="413" priority="413">
      <formula>INDIRECT(ADDRESS(ROW(),COLUMN())) = "Pouco atrativo"</formula>
    </cfRule>
  </conditionalFormatting>
  <conditionalFormatting sqref="M143">
    <cfRule type="cellIs" operator="equal" dxfId="414" priority="414">
      <formula>"Participar"</formula>
    </cfRule>
  </conditionalFormatting>
  <conditionalFormatting sqref="G144">
    <cfRule type="expression" dxfId="415" priority="415">
      <formula>INDIRECT(ADDRESS(ROW(),COLUMN())) = "Atrativo"</formula>
    </cfRule>
  </conditionalFormatting>
  <conditionalFormatting sqref="G144">
    <cfRule type="expression" dxfId="416" priority="416">
      <formula>INDIRECT(ADDRESS(ROW(),COLUMN())) = "Pouco atrativo"</formula>
    </cfRule>
  </conditionalFormatting>
  <conditionalFormatting sqref="M144">
    <cfRule type="cellIs" operator="equal" dxfId="417" priority="417">
      <formula>"Participar"</formula>
    </cfRule>
  </conditionalFormatting>
  <conditionalFormatting sqref="G145">
    <cfRule type="expression" dxfId="418" priority="418">
      <formula>INDIRECT(ADDRESS(ROW(),COLUMN())) = "Atrativo"</formula>
    </cfRule>
  </conditionalFormatting>
  <conditionalFormatting sqref="G145">
    <cfRule type="expression" dxfId="419" priority="419">
      <formula>INDIRECT(ADDRESS(ROW(),COLUMN())) = "Pouco atrativo"</formula>
    </cfRule>
  </conditionalFormatting>
  <conditionalFormatting sqref="M145">
    <cfRule type="cellIs" operator="equal" dxfId="420" priority="420">
      <formula>"Participar"</formula>
    </cfRule>
  </conditionalFormatting>
  <conditionalFormatting sqref="G146">
    <cfRule type="expression" dxfId="421" priority="421">
      <formula>INDIRECT(ADDRESS(ROW(),COLUMN())) = "Atrativo"</formula>
    </cfRule>
  </conditionalFormatting>
  <conditionalFormatting sqref="G146">
    <cfRule type="expression" dxfId="422" priority="422">
      <formula>INDIRECT(ADDRESS(ROW(),COLUMN())) = "Pouco atrativo"</formula>
    </cfRule>
  </conditionalFormatting>
  <conditionalFormatting sqref="M146">
    <cfRule type="cellIs" operator="equal" dxfId="423" priority="423">
      <formula>"Participar"</formula>
    </cfRule>
  </conditionalFormatting>
  <conditionalFormatting sqref="G147">
    <cfRule type="expression" dxfId="424" priority="424">
      <formula>INDIRECT(ADDRESS(ROW(),COLUMN())) = "Atrativo"</formula>
    </cfRule>
  </conditionalFormatting>
  <conditionalFormatting sqref="G147">
    <cfRule type="expression" dxfId="425" priority="425">
      <formula>INDIRECT(ADDRESS(ROW(),COLUMN())) = "Pouco atrativo"</formula>
    </cfRule>
  </conditionalFormatting>
  <conditionalFormatting sqref="M147">
    <cfRule type="cellIs" operator="equal" dxfId="426" priority="426">
      <formula>"Participar"</formula>
    </cfRule>
  </conditionalFormatting>
  <conditionalFormatting sqref="G148">
    <cfRule type="expression" dxfId="427" priority="427">
      <formula>INDIRECT(ADDRESS(ROW(),COLUMN())) = "Atrativo"</formula>
    </cfRule>
  </conditionalFormatting>
  <conditionalFormatting sqref="G148">
    <cfRule type="expression" dxfId="428" priority="428">
      <formula>INDIRECT(ADDRESS(ROW(),COLUMN())) = "Pouco atrativo"</formula>
    </cfRule>
  </conditionalFormatting>
  <conditionalFormatting sqref="M148">
    <cfRule type="cellIs" operator="equal" dxfId="429" priority="429">
      <formula>"Participar"</formula>
    </cfRule>
  </conditionalFormatting>
  <conditionalFormatting sqref="G149">
    <cfRule type="expression" dxfId="430" priority="430">
      <formula>INDIRECT(ADDRESS(ROW(),COLUMN())) = "Atrativo"</formula>
    </cfRule>
  </conditionalFormatting>
  <conditionalFormatting sqref="G149">
    <cfRule type="expression" dxfId="431" priority="431">
      <formula>INDIRECT(ADDRESS(ROW(),COLUMN())) = "Pouco atrativo"</formula>
    </cfRule>
  </conditionalFormatting>
  <conditionalFormatting sqref="M149">
    <cfRule type="cellIs" operator="equal" dxfId="432" priority="432">
      <formula>"Participar"</formula>
    </cfRule>
  </conditionalFormatting>
  <conditionalFormatting sqref="G150">
    <cfRule type="expression" dxfId="433" priority="433">
      <formula>INDIRECT(ADDRESS(ROW(),COLUMN())) = "Atrativo"</formula>
    </cfRule>
  </conditionalFormatting>
  <conditionalFormatting sqref="G150">
    <cfRule type="expression" dxfId="434" priority="434">
      <formula>INDIRECT(ADDRESS(ROW(),COLUMN())) = "Pouco atrativo"</formula>
    </cfRule>
  </conditionalFormatting>
  <conditionalFormatting sqref="M150">
    <cfRule type="cellIs" operator="equal" dxfId="435" priority="435">
      <formula>"Participar"</formula>
    </cfRule>
  </conditionalFormatting>
  <conditionalFormatting sqref="G151">
    <cfRule type="expression" dxfId="436" priority="436">
      <formula>INDIRECT(ADDRESS(ROW(),COLUMN())) = "Atrativo"</formula>
    </cfRule>
  </conditionalFormatting>
  <conditionalFormatting sqref="G151">
    <cfRule type="expression" dxfId="437" priority="437">
      <formula>INDIRECT(ADDRESS(ROW(),COLUMN())) = "Pouco atrativo"</formula>
    </cfRule>
  </conditionalFormatting>
  <conditionalFormatting sqref="M151">
    <cfRule type="cellIs" operator="equal" dxfId="438" priority="438">
      <formula>"Participar"</formula>
    </cfRule>
  </conditionalFormatting>
  <conditionalFormatting sqref="G152">
    <cfRule type="expression" dxfId="439" priority="439">
      <formula>INDIRECT(ADDRESS(ROW(),COLUMN())) = "Atrativo"</formula>
    </cfRule>
  </conditionalFormatting>
  <conditionalFormatting sqref="G152">
    <cfRule type="expression" dxfId="440" priority="440">
      <formula>INDIRECT(ADDRESS(ROW(),COLUMN())) = "Pouco atrativo"</formula>
    </cfRule>
  </conditionalFormatting>
  <conditionalFormatting sqref="M152">
    <cfRule type="cellIs" operator="equal" dxfId="441" priority="441">
      <formula>"Participar"</formula>
    </cfRule>
  </conditionalFormatting>
  <conditionalFormatting sqref="G153">
    <cfRule type="expression" dxfId="442" priority="442">
      <formula>INDIRECT(ADDRESS(ROW(),COLUMN())) = "Atrativo"</formula>
    </cfRule>
  </conditionalFormatting>
  <conditionalFormatting sqref="G153">
    <cfRule type="expression" dxfId="443" priority="443">
      <formula>INDIRECT(ADDRESS(ROW(),COLUMN())) = "Pouco atrativo"</formula>
    </cfRule>
  </conditionalFormatting>
  <conditionalFormatting sqref="M153">
    <cfRule type="cellIs" operator="equal" dxfId="444" priority="444">
      <formula>"Participar"</formula>
    </cfRule>
  </conditionalFormatting>
  <conditionalFormatting sqref="G154">
    <cfRule type="expression" dxfId="445" priority="445">
      <formula>INDIRECT(ADDRESS(ROW(),COLUMN())) = "Atrativo"</formula>
    </cfRule>
  </conditionalFormatting>
  <conditionalFormatting sqref="G154">
    <cfRule type="expression" dxfId="446" priority="446">
      <formula>INDIRECT(ADDRESS(ROW(),COLUMN())) = "Pouco atrativo"</formula>
    </cfRule>
  </conditionalFormatting>
  <conditionalFormatting sqref="M154">
    <cfRule type="cellIs" operator="equal" dxfId="447" priority="447">
      <formula>"Participar"</formula>
    </cfRule>
  </conditionalFormatting>
  <conditionalFormatting sqref="G155">
    <cfRule type="expression" dxfId="448" priority="448">
      <formula>INDIRECT(ADDRESS(ROW(),COLUMN())) = "Atrativo"</formula>
    </cfRule>
  </conditionalFormatting>
  <conditionalFormatting sqref="G155">
    <cfRule type="expression" dxfId="449" priority="449">
      <formula>INDIRECT(ADDRESS(ROW(),COLUMN())) = "Pouco atrativo"</formula>
    </cfRule>
  </conditionalFormatting>
  <conditionalFormatting sqref="M155">
    <cfRule type="cellIs" operator="equal" dxfId="450" priority="450">
      <formula>"Participar"</formula>
    </cfRule>
  </conditionalFormatting>
  <conditionalFormatting sqref="G156">
    <cfRule type="expression" dxfId="451" priority="451">
      <formula>INDIRECT(ADDRESS(ROW(),COLUMN())) = "Atrativo"</formula>
    </cfRule>
  </conditionalFormatting>
  <conditionalFormatting sqref="G156">
    <cfRule type="expression" dxfId="452" priority="452">
      <formula>INDIRECT(ADDRESS(ROW(),COLUMN())) = "Pouco atrativo"</formula>
    </cfRule>
  </conditionalFormatting>
  <conditionalFormatting sqref="M156">
    <cfRule type="cellIs" operator="equal" dxfId="453" priority="453">
      <formula>"Participar"</formula>
    </cfRule>
  </conditionalFormatting>
  <conditionalFormatting sqref="G157">
    <cfRule type="expression" dxfId="454" priority="454">
      <formula>INDIRECT(ADDRESS(ROW(),COLUMN())) = "Atrativo"</formula>
    </cfRule>
  </conditionalFormatting>
  <conditionalFormatting sqref="G157">
    <cfRule type="expression" dxfId="455" priority="455">
      <formula>INDIRECT(ADDRESS(ROW(),COLUMN())) = "Pouco atrativo"</formula>
    </cfRule>
  </conditionalFormatting>
  <conditionalFormatting sqref="M157">
    <cfRule type="cellIs" operator="equal" dxfId="456" priority="456">
      <formula>"Participar"</formula>
    </cfRule>
  </conditionalFormatting>
  <conditionalFormatting sqref="G158">
    <cfRule type="expression" dxfId="457" priority="457">
      <formula>INDIRECT(ADDRESS(ROW(),COLUMN())) = "Atrativo"</formula>
    </cfRule>
  </conditionalFormatting>
  <conditionalFormatting sqref="G158">
    <cfRule type="expression" dxfId="458" priority="458">
      <formula>INDIRECT(ADDRESS(ROW(),COLUMN())) = "Pouco atrativo"</formula>
    </cfRule>
  </conditionalFormatting>
  <conditionalFormatting sqref="M158">
    <cfRule type="cellIs" operator="equal" dxfId="459" priority="459">
      <formula>"Participar"</formula>
    </cfRule>
  </conditionalFormatting>
  <conditionalFormatting sqref="G159">
    <cfRule type="expression" dxfId="460" priority="460">
      <formula>INDIRECT(ADDRESS(ROW(),COLUMN())) = "Atrativo"</formula>
    </cfRule>
  </conditionalFormatting>
  <conditionalFormatting sqref="G159">
    <cfRule type="expression" dxfId="461" priority="461">
      <formula>INDIRECT(ADDRESS(ROW(),COLUMN())) = "Pouco atrativo"</formula>
    </cfRule>
  </conditionalFormatting>
  <conditionalFormatting sqref="M159">
    <cfRule type="cellIs" operator="equal" dxfId="462" priority="462">
      <formula>"Participar"</formula>
    </cfRule>
  </conditionalFormatting>
  <conditionalFormatting sqref="G160">
    <cfRule type="expression" dxfId="463" priority="463">
      <formula>INDIRECT(ADDRESS(ROW(),COLUMN())) = "Atrativo"</formula>
    </cfRule>
  </conditionalFormatting>
  <conditionalFormatting sqref="G160">
    <cfRule type="expression" dxfId="464" priority="464">
      <formula>INDIRECT(ADDRESS(ROW(),COLUMN())) = "Pouco atrativo"</formula>
    </cfRule>
  </conditionalFormatting>
  <conditionalFormatting sqref="M160">
    <cfRule type="cellIs" operator="equal" dxfId="465" priority="465">
      <formula>"Participar"</formula>
    </cfRule>
  </conditionalFormatting>
  <conditionalFormatting sqref="G161">
    <cfRule type="expression" dxfId="466" priority="466">
      <formula>INDIRECT(ADDRESS(ROW(),COLUMN())) = "Atrativo"</formula>
    </cfRule>
  </conditionalFormatting>
  <conditionalFormatting sqref="G161">
    <cfRule type="expression" dxfId="467" priority="467">
      <formula>INDIRECT(ADDRESS(ROW(),COLUMN())) = "Pouco atrativo"</formula>
    </cfRule>
  </conditionalFormatting>
  <conditionalFormatting sqref="M161">
    <cfRule type="cellIs" operator="equal" dxfId="468" priority="468">
      <formula>"Participar"</formula>
    </cfRule>
  </conditionalFormatting>
  <conditionalFormatting sqref="G162">
    <cfRule type="expression" dxfId="469" priority="469">
      <formula>INDIRECT(ADDRESS(ROW(),COLUMN())) = "Atrativo"</formula>
    </cfRule>
  </conditionalFormatting>
  <conditionalFormatting sqref="G162">
    <cfRule type="expression" dxfId="470" priority="470">
      <formula>INDIRECT(ADDRESS(ROW(),COLUMN())) = "Pouco atrativo"</formula>
    </cfRule>
  </conditionalFormatting>
  <conditionalFormatting sqref="M162">
    <cfRule type="cellIs" operator="equal" dxfId="471" priority="471">
      <formula>"Participar"</formula>
    </cfRule>
  </conditionalFormatting>
  <conditionalFormatting sqref="G163">
    <cfRule type="expression" dxfId="472" priority="472">
      <formula>INDIRECT(ADDRESS(ROW(),COLUMN())) = "Atrativo"</formula>
    </cfRule>
  </conditionalFormatting>
  <conditionalFormatting sqref="G163">
    <cfRule type="expression" dxfId="473" priority="473">
      <formula>INDIRECT(ADDRESS(ROW(),COLUMN())) = "Pouco atrativo"</formula>
    </cfRule>
  </conditionalFormatting>
  <conditionalFormatting sqref="M163">
    <cfRule type="cellIs" operator="equal" dxfId="474" priority="474">
      <formula>"Participar"</formula>
    </cfRule>
  </conditionalFormatting>
  <conditionalFormatting sqref="G164">
    <cfRule type="expression" dxfId="475" priority="475">
      <formula>INDIRECT(ADDRESS(ROW(),COLUMN())) = "Atrativo"</formula>
    </cfRule>
  </conditionalFormatting>
  <conditionalFormatting sqref="G164">
    <cfRule type="expression" dxfId="476" priority="476">
      <formula>INDIRECT(ADDRESS(ROW(),COLUMN())) = "Pouco atrativo"</formula>
    </cfRule>
  </conditionalFormatting>
  <conditionalFormatting sqref="M164">
    <cfRule type="cellIs" operator="equal" dxfId="477" priority="477">
      <formula>"Participar"</formula>
    </cfRule>
  </conditionalFormatting>
  <conditionalFormatting sqref="G165">
    <cfRule type="expression" dxfId="478" priority="478">
      <formula>INDIRECT(ADDRESS(ROW(),COLUMN())) = "Atrativo"</formula>
    </cfRule>
  </conditionalFormatting>
  <conditionalFormatting sqref="G165">
    <cfRule type="expression" dxfId="479" priority="479">
      <formula>INDIRECT(ADDRESS(ROW(),COLUMN())) = "Pouco atrativo"</formula>
    </cfRule>
  </conditionalFormatting>
  <conditionalFormatting sqref="M165">
    <cfRule type="cellIs" operator="equal" dxfId="480" priority="480">
      <formula>"Participar"</formula>
    </cfRule>
  </conditionalFormatting>
  <conditionalFormatting sqref="G166">
    <cfRule type="expression" dxfId="481" priority="481">
      <formula>INDIRECT(ADDRESS(ROW(),COLUMN())) = "Atrativo"</formula>
    </cfRule>
  </conditionalFormatting>
  <conditionalFormatting sqref="G166">
    <cfRule type="expression" dxfId="482" priority="482">
      <formula>INDIRECT(ADDRESS(ROW(),COLUMN())) = "Pouco atrativo"</formula>
    </cfRule>
  </conditionalFormatting>
  <conditionalFormatting sqref="M166">
    <cfRule type="cellIs" operator="equal" dxfId="483" priority="483">
      <formula>"Participar"</formula>
    </cfRule>
  </conditionalFormatting>
  <conditionalFormatting sqref="G167">
    <cfRule type="expression" dxfId="484" priority="484">
      <formula>INDIRECT(ADDRESS(ROW(),COLUMN())) = "Atrativo"</formula>
    </cfRule>
  </conditionalFormatting>
  <conditionalFormatting sqref="G167">
    <cfRule type="expression" dxfId="485" priority="485">
      <formula>INDIRECT(ADDRESS(ROW(),COLUMN())) = "Pouco atrativo"</formula>
    </cfRule>
  </conditionalFormatting>
  <conditionalFormatting sqref="M167">
    <cfRule type="cellIs" operator="equal" dxfId="486" priority="486">
      <formula>"Participar"</formula>
    </cfRule>
  </conditionalFormatting>
  <conditionalFormatting sqref="G168">
    <cfRule type="expression" dxfId="487" priority="487">
      <formula>INDIRECT(ADDRESS(ROW(),COLUMN())) = "Atrativo"</formula>
    </cfRule>
  </conditionalFormatting>
  <conditionalFormatting sqref="G168">
    <cfRule type="expression" dxfId="488" priority="488">
      <formula>INDIRECT(ADDRESS(ROW(),COLUMN())) = "Pouco atrativo"</formula>
    </cfRule>
  </conditionalFormatting>
  <conditionalFormatting sqref="M168">
    <cfRule type="cellIs" operator="equal" dxfId="489" priority="489">
      <formula>"Participar"</formula>
    </cfRule>
  </conditionalFormatting>
  <conditionalFormatting sqref="G169">
    <cfRule type="expression" dxfId="490" priority="490">
      <formula>INDIRECT(ADDRESS(ROW(),COLUMN())) = "Atrativo"</formula>
    </cfRule>
  </conditionalFormatting>
  <conditionalFormatting sqref="G169">
    <cfRule type="expression" dxfId="491" priority="491">
      <formula>INDIRECT(ADDRESS(ROW(),COLUMN())) = "Pouco atrativo"</formula>
    </cfRule>
  </conditionalFormatting>
  <conditionalFormatting sqref="M169">
    <cfRule type="cellIs" operator="equal" dxfId="492" priority="492">
      <formula>"Participar"</formula>
    </cfRule>
  </conditionalFormatting>
  <conditionalFormatting sqref="G170">
    <cfRule type="expression" dxfId="493" priority="493">
      <formula>INDIRECT(ADDRESS(ROW(),COLUMN())) = "Atrativo"</formula>
    </cfRule>
  </conditionalFormatting>
  <conditionalFormatting sqref="G170">
    <cfRule type="expression" dxfId="494" priority="494">
      <formula>INDIRECT(ADDRESS(ROW(),COLUMN())) = "Pouco atrativo"</formula>
    </cfRule>
  </conditionalFormatting>
  <conditionalFormatting sqref="M170">
    <cfRule type="cellIs" operator="equal" dxfId="495" priority="495">
      <formula>"Participar"</formula>
    </cfRule>
  </conditionalFormatting>
  <conditionalFormatting sqref="G171">
    <cfRule type="expression" dxfId="496" priority="496">
      <formula>INDIRECT(ADDRESS(ROW(),COLUMN())) = "Atrativo"</formula>
    </cfRule>
  </conditionalFormatting>
  <conditionalFormatting sqref="G171">
    <cfRule type="expression" dxfId="497" priority="497">
      <formula>INDIRECT(ADDRESS(ROW(),COLUMN())) = "Pouco atrativo"</formula>
    </cfRule>
  </conditionalFormatting>
  <conditionalFormatting sqref="M171">
    <cfRule type="cellIs" operator="equal" dxfId="498" priority="498">
      <formula>"Participar"</formula>
    </cfRule>
  </conditionalFormatting>
  <conditionalFormatting sqref="G172">
    <cfRule type="expression" dxfId="499" priority="499">
      <formula>INDIRECT(ADDRESS(ROW(),COLUMN())) = "Atrativo"</formula>
    </cfRule>
  </conditionalFormatting>
  <conditionalFormatting sqref="G172">
    <cfRule type="expression" dxfId="500" priority="500">
      <formula>INDIRECT(ADDRESS(ROW(),COLUMN())) = "Pouco atrativo"</formula>
    </cfRule>
  </conditionalFormatting>
  <conditionalFormatting sqref="M172">
    <cfRule type="cellIs" operator="equal" dxfId="501" priority="501">
      <formula>"Participar"</formula>
    </cfRule>
  </conditionalFormatting>
  <conditionalFormatting sqref="G173">
    <cfRule type="expression" dxfId="502" priority="502">
      <formula>INDIRECT(ADDRESS(ROW(),COLUMN())) = "Atrativo"</formula>
    </cfRule>
  </conditionalFormatting>
  <conditionalFormatting sqref="G173">
    <cfRule type="expression" dxfId="503" priority="503">
      <formula>INDIRECT(ADDRESS(ROW(),COLUMN())) = "Pouco atrativo"</formula>
    </cfRule>
  </conditionalFormatting>
  <conditionalFormatting sqref="M173">
    <cfRule type="cellIs" operator="equal" dxfId="504" priority="504">
      <formula>"Participar"</formula>
    </cfRule>
  </conditionalFormatting>
  <conditionalFormatting sqref="G174">
    <cfRule type="expression" dxfId="505" priority="505">
      <formula>INDIRECT(ADDRESS(ROW(),COLUMN())) = "Atrativo"</formula>
    </cfRule>
  </conditionalFormatting>
  <conditionalFormatting sqref="G174">
    <cfRule type="expression" dxfId="506" priority="506">
      <formula>INDIRECT(ADDRESS(ROW(),COLUMN())) = "Pouco atrativo"</formula>
    </cfRule>
  </conditionalFormatting>
  <conditionalFormatting sqref="M174">
    <cfRule type="cellIs" operator="equal" dxfId="507" priority="507">
      <formula>"Participar"</formula>
    </cfRule>
  </conditionalFormatting>
  <conditionalFormatting sqref="G175">
    <cfRule type="expression" dxfId="508" priority="508">
      <formula>INDIRECT(ADDRESS(ROW(),COLUMN())) = "Atrativo"</formula>
    </cfRule>
  </conditionalFormatting>
  <conditionalFormatting sqref="G175">
    <cfRule type="expression" dxfId="509" priority="509">
      <formula>INDIRECT(ADDRESS(ROW(),COLUMN())) = "Pouco atrativo"</formula>
    </cfRule>
  </conditionalFormatting>
  <conditionalFormatting sqref="M175">
    <cfRule type="cellIs" operator="equal" dxfId="510" priority="510">
      <formula>"Participar"</formula>
    </cfRule>
  </conditionalFormatting>
  <conditionalFormatting sqref="G176">
    <cfRule type="expression" dxfId="511" priority="511">
      <formula>INDIRECT(ADDRESS(ROW(),COLUMN())) = "Atrativo"</formula>
    </cfRule>
  </conditionalFormatting>
  <conditionalFormatting sqref="G176">
    <cfRule type="expression" dxfId="512" priority="512">
      <formula>INDIRECT(ADDRESS(ROW(),COLUMN())) = "Pouco atrativo"</formula>
    </cfRule>
  </conditionalFormatting>
  <conditionalFormatting sqref="M176">
    <cfRule type="cellIs" operator="equal" dxfId="513" priority="513">
      <formula>"Participar"</formula>
    </cfRule>
  </conditionalFormatting>
  <conditionalFormatting sqref="G177">
    <cfRule type="expression" dxfId="514" priority="514">
      <formula>INDIRECT(ADDRESS(ROW(),COLUMN())) = "Atrativo"</formula>
    </cfRule>
  </conditionalFormatting>
  <conditionalFormatting sqref="G177">
    <cfRule type="expression" dxfId="515" priority="515">
      <formula>INDIRECT(ADDRESS(ROW(),COLUMN())) = "Pouco atrativo"</formula>
    </cfRule>
  </conditionalFormatting>
  <conditionalFormatting sqref="M177">
    <cfRule type="cellIs" operator="equal" dxfId="516" priority="516">
      <formula>"Participar"</formula>
    </cfRule>
  </conditionalFormatting>
  <conditionalFormatting sqref="G178">
    <cfRule type="expression" dxfId="517" priority="517">
      <formula>INDIRECT(ADDRESS(ROW(),COLUMN())) = "Atrativo"</formula>
    </cfRule>
  </conditionalFormatting>
  <conditionalFormatting sqref="G178">
    <cfRule type="expression" dxfId="518" priority="518">
      <formula>INDIRECT(ADDRESS(ROW(),COLUMN())) = "Pouco atrativo"</formula>
    </cfRule>
  </conditionalFormatting>
  <conditionalFormatting sqref="M178">
    <cfRule type="cellIs" operator="equal" dxfId="519" priority="519">
      <formula>"Participar"</formula>
    </cfRule>
  </conditionalFormatting>
  <conditionalFormatting sqref="G179">
    <cfRule type="expression" dxfId="520" priority="520">
      <formula>INDIRECT(ADDRESS(ROW(),COLUMN())) = "Atrativo"</formula>
    </cfRule>
  </conditionalFormatting>
  <conditionalFormatting sqref="G179">
    <cfRule type="expression" dxfId="521" priority="521">
      <formula>INDIRECT(ADDRESS(ROW(),COLUMN())) = "Pouco atrativo"</formula>
    </cfRule>
  </conditionalFormatting>
  <conditionalFormatting sqref="M179">
    <cfRule type="cellIs" operator="equal" dxfId="522" priority="522">
      <formula>"Participar"</formula>
    </cfRule>
  </conditionalFormatting>
  <conditionalFormatting sqref="G180">
    <cfRule type="expression" dxfId="523" priority="523">
      <formula>INDIRECT(ADDRESS(ROW(),COLUMN())) = "Atrativo"</formula>
    </cfRule>
  </conditionalFormatting>
  <conditionalFormatting sqref="G180">
    <cfRule type="expression" dxfId="524" priority="524">
      <formula>INDIRECT(ADDRESS(ROW(),COLUMN())) = "Pouco atrativo"</formula>
    </cfRule>
  </conditionalFormatting>
  <conditionalFormatting sqref="M180">
    <cfRule type="cellIs" operator="equal" dxfId="525" priority="525">
      <formula>"Participar"</formula>
    </cfRule>
  </conditionalFormatting>
  <conditionalFormatting sqref="G181">
    <cfRule type="expression" dxfId="526" priority="526">
      <formula>INDIRECT(ADDRESS(ROW(),COLUMN())) = "Atrativo"</formula>
    </cfRule>
  </conditionalFormatting>
  <conditionalFormatting sqref="G181">
    <cfRule type="expression" dxfId="527" priority="527">
      <formula>INDIRECT(ADDRESS(ROW(),COLUMN())) = "Pouco atrativo"</formula>
    </cfRule>
  </conditionalFormatting>
  <conditionalFormatting sqref="M181">
    <cfRule type="cellIs" operator="equal" dxfId="528" priority="528">
      <formula>"Participar"</formula>
    </cfRule>
  </conditionalFormatting>
  <conditionalFormatting sqref="G182">
    <cfRule type="expression" dxfId="529" priority="529">
      <formula>INDIRECT(ADDRESS(ROW(),COLUMN())) = "Atrativo"</formula>
    </cfRule>
  </conditionalFormatting>
  <conditionalFormatting sqref="G182">
    <cfRule type="expression" dxfId="530" priority="530">
      <formula>INDIRECT(ADDRESS(ROW(),COLUMN())) = "Pouco atrativo"</formula>
    </cfRule>
  </conditionalFormatting>
  <conditionalFormatting sqref="M182">
    <cfRule type="cellIs" operator="equal" dxfId="531" priority="531">
      <formula>"Participar"</formula>
    </cfRule>
  </conditionalFormatting>
  <conditionalFormatting sqref="G183">
    <cfRule type="expression" dxfId="532" priority="532">
      <formula>INDIRECT(ADDRESS(ROW(),COLUMN())) = "Atrativo"</formula>
    </cfRule>
  </conditionalFormatting>
  <conditionalFormatting sqref="G183">
    <cfRule type="expression" dxfId="533" priority="533">
      <formula>INDIRECT(ADDRESS(ROW(),COLUMN())) = "Pouco atrativo"</formula>
    </cfRule>
  </conditionalFormatting>
  <conditionalFormatting sqref="M183">
    <cfRule type="cellIs" operator="equal" dxfId="534" priority="534">
      <formula>"Participar"</formula>
    </cfRule>
  </conditionalFormatting>
  <conditionalFormatting sqref="G184">
    <cfRule type="expression" dxfId="535" priority="535">
      <formula>INDIRECT(ADDRESS(ROW(),COLUMN())) = "Atrativo"</formula>
    </cfRule>
  </conditionalFormatting>
  <conditionalFormatting sqref="G184">
    <cfRule type="expression" dxfId="536" priority="536">
      <formula>INDIRECT(ADDRESS(ROW(),COLUMN())) = "Pouco atrativo"</formula>
    </cfRule>
  </conditionalFormatting>
  <conditionalFormatting sqref="M184">
    <cfRule type="cellIs" operator="equal" dxfId="537" priority="537">
      <formula>"Participar"</formula>
    </cfRule>
  </conditionalFormatting>
  <conditionalFormatting sqref="G185">
    <cfRule type="expression" dxfId="538" priority="538">
      <formula>INDIRECT(ADDRESS(ROW(),COLUMN())) = "Atrativo"</formula>
    </cfRule>
  </conditionalFormatting>
  <conditionalFormatting sqref="G185">
    <cfRule type="expression" dxfId="539" priority="539">
      <formula>INDIRECT(ADDRESS(ROW(),COLUMN())) = "Pouco atrativo"</formula>
    </cfRule>
  </conditionalFormatting>
  <conditionalFormatting sqref="M185">
    <cfRule type="cellIs" operator="equal" dxfId="540" priority="540">
      <formula>"Participar"</formula>
    </cfRule>
  </conditionalFormatting>
  <conditionalFormatting sqref="G186">
    <cfRule type="expression" dxfId="541" priority="541">
      <formula>INDIRECT(ADDRESS(ROW(),COLUMN())) = "Atrativo"</formula>
    </cfRule>
  </conditionalFormatting>
  <conditionalFormatting sqref="G186">
    <cfRule type="expression" dxfId="542" priority="542">
      <formula>INDIRECT(ADDRESS(ROW(),COLUMN())) = "Pouco atrativo"</formula>
    </cfRule>
  </conditionalFormatting>
  <conditionalFormatting sqref="M186">
    <cfRule type="cellIs" operator="equal" dxfId="543" priority="543">
      <formula>"Participar"</formula>
    </cfRule>
  </conditionalFormatting>
  <conditionalFormatting sqref="G187">
    <cfRule type="expression" dxfId="544" priority="544">
      <formula>INDIRECT(ADDRESS(ROW(),COLUMN())) = "Atrativo"</formula>
    </cfRule>
  </conditionalFormatting>
  <conditionalFormatting sqref="G187">
    <cfRule type="expression" dxfId="545" priority="545">
      <formula>INDIRECT(ADDRESS(ROW(),COLUMN())) = "Pouco atrativo"</formula>
    </cfRule>
  </conditionalFormatting>
  <conditionalFormatting sqref="M187">
    <cfRule type="cellIs" operator="equal" dxfId="546" priority="546">
      <formula>"Participar"</formula>
    </cfRule>
  </conditionalFormatting>
  <conditionalFormatting sqref="G188">
    <cfRule type="expression" dxfId="547" priority="547">
      <formula>INDIRECT(ADDRESS(ROW(),COLUMN())) = "Atrativo"</formula>
    </cfRule>
  </conditionalFormatting>
  <conditionalFormatting sqref="G188">
    <cfRule type="expression" dxfId="548" priority="548">
      <formula>INDIRECT(ADDRESS(ROW(),COLUMN())) = "Pouco atrativo"</formula>
    </cfRule>
  </conditionalFormatting>
  <conditionalFormatting sqref="M188">
    <cfRule type="cellIs" operator="equal" dxfId="549" priority="549">
      <formula>"Participar"</formula>
    </cfRule>
  </conditionalFormatting>
  <conditionalFormatting sqref="G189">
    <cfRule type="expression" dxfId="550" priority="550">
      <formula>INDIRECT(ADDRESS(ROW(),COLUMN())) = "Atrativo"</formula>
    </cfRule>
  </conditionalFormatting>
  <conditionalFormatting sqref="G189">
    <cfRule type="expression" dxfId="551" priority="551">
      <formula>INDIRECT(ADDRESS(ROW(),COLUMN())) = "Pouco atrativo"</formula>
    </cfRule>
  </conditionalFormatting>
  <conditionalFormatting sqref="M189">
    <cfRule type="cellIs" operator="equal" dxfId="552" priority="552">
      <formula>"Participar"</formula>
    </cfRule>
  </conditionalFormatting>
  <conditionalFormatting sqref="G190">
    <cfRule type="expression" dxfId="553" priority="553">
      <formula>INDIRECT(ADDRESS(ROW(),COLUMN())) = "Atrativo"</formula>
    </cfRule>
  </conditionalFormatting>
  <conditionalFormatting sqref="G190">
    <cfRule type="expression" dxfId="554" priority="554">
      <formula>INDIRECT(ADDRESS(ROW(),COLUMN())) = "Pouco atrativo"</formula>
    </cfRule>
  </conditionalFormatting>
  <conditionalFormatting sqref="M190">
    <cfRule type="cellIs" operator="equal" dxfId="555" priority="555">
      <formula>"Participar"</formula>
    </cfRule>
  </conditionalFormatting>
  <conditionalFormatting sqref="G191">
    <cfRule type="expression" dxfId="556" priority="556">
      <formula>INDIRECT(ADDRESS(ROW(),COLUMN())) = "Atrativo"</formula>
    </cfRule>
  </conditionalFormatting>
  <conditionalFormatting sqref="G191">
    <cfRule type="expression" dxfId="557" priority="557">
      <formula>INDIRECT(ADDRESS(ROW(),COLUMN())) = "Pouco atrativo"</formula>
    </cfRule>
  </conditionalFormatting>
  <conditionalFormatting sqref="M191">
    <cfRule type="cellIs" operator="equal" dxfId="558" priority="558">
      <formula>"Participar"</formula>
    </cfRule>
  </conditionalFormatting>
  <conditionalFormatting sqref="G192">
    <cfRule type="expression" dxfId="559" priority="559">
      <formula>INDIRECT(ADDRESS(ROW(),COLUMN())) = "Atrativo"</formula>
    </cfRule>
  </conditionalFormatting>
  <conditionalFormatting sqref="G192">
    <cfRule type="expression" dxfId="560" priority="560">
      <formula>INDIRECT(ADDRESS(ROW(),COLUMN())) = "Pouco atrativo"</formula>
    </cfRule>
  </conditionalFormatting>
  <conditionalFormatting sqref="M192">
    <cfRule type="cellIs" operator="equal" dxfId="561" priority="561">
      <formula>"Participar"</formula>
    </cfRule>
  </conditionalFormatting>
  <conditionalFormatting sqref="G193">
    <cfRule type="expression" dxfId="562" priority="562">
      <formula>INDIRECT(ADDRESS(ROW(),COLUMN())) = "Atrativo"</formula>
    </cfRule>
  </conditionalFormatting>
  <conditionalFormatting sqref="G193">
    <cfRule type="expression" dxfId="563" priority="563">
      <formula>INDIRECT(ADDRESS(ROW(),COLUMN())) = "Pouco atrativo"</formula>
    </cfRule>
  </conditionalFormatting>
  <conditionalFormatting sqref="M193">
    <cfRule type="cellIs" operator="equal" dxfId="564" priority="564">
      <formula>"Participar"</formula>
    </cfRule>
  </conditionalFormatting>
  <conditionalFormatting sqref="G194">
    <cfRule type="expression" dxfId="565" priority="565">
      <formula>INDIRECT(ADDRESS(ROW(),COLUMN())) = "Atrativo"</formula>
    </cfRule>
  </conditionalFormatting>
  <conditionalFormatting sqref="G194">
    <cfRule type="expression" dxfId="566" priority="566">
      <formula>INDIRECT(ADDRESS(ROW(),COLUMN())) = "Pouco atrativo"</formula>
    </cfRule>
  </conditionalFormatting>
  <conditionalFormatting sqref="M194">
    <cfRule type="cellIs" operator="equal" dxfId="567" priority="567">
      <formula>"Participar"</formula>
    </cfRule>
  </conditionalFormatting>
  <conditionalFormatting sqref="G195">
    <cfRule type="expression" dxfId="568" priority="568">
      <formula>INDIRECT(ADDRESS(ROW(),COLUMN())) = "Atrativo"</formula>
    </cfRule>
  </conditionalFormatting>
  <conditionalFormatting sqref="G195">
    <cfRule type="expression" dxfId="569" priority="569">
      <formula>INDIRECT(ADDRESS(ROW(),COLUMN())) = "Pouco atrativo"</formula>
    </cfRule>
  </conditionalFormatting>
  <conditionalFormatting sqref="M195">
    <cfRule type="cellIs" operator="equal" dxfId="570" priority="570">
      <formula>"Participar"</formula>
    </cfRule>
  </conditionalFormatting>
  <conditionalFormatting sqref="G196">
    <cfRule type="expression" dxfId="571" priority="571">
      <formula>INDIRECT(ADDRESS(ROW(),COLUMN())) = "Atrativo"</formula>
    </cfRule>
  </conditionalFormatting>
  <conditionalFormatting sqref="G196">
    <cfRule type="expression" dxfId="572" priority="572">
      <formula>INDIRECT(ADDRESS(ROW(),COLUMN())) = "Pouco atrativo"</formula>
    </cfRule>
  </conditionalFormatting>
  <conditionalFormatting sqref="M196">
    <cfRule type="cellIs" operator="equal" dxfId="573" priority="573">
      <formula>"Participar"</formula>
    </cfRule>
  </conditionalFormatting>
  <conditionalFormatting sqref="G197">
    <cfRule type="expression" dxfId="574" priority="574">
      <formula>INDIRECT(ADDRESS(ROW(),COLUMN())) = "Atrativo"</formula>
    </cfRule>
  </conditionalFormatting>
  <conditionalFormatting sqref="G197">
    <cfRule type="expression" dxfId="575" priority="575">
      <formula>INDIRECT(ADDRESS(ROW(),COLUMN())) = "Pouco atrativo"</formula>
    </cfRule>
  </conditionalFormatting>
  <conditionalFormatting sqref="M197">
    <cfRule type="cellIs" operator="equal" dxfId="576" priority="576">
      <formula>"Participar"</formula>
    </cfRule>
  </conditionalFormatting>
  <conditionalFormatting sqref="G198">
    <cfRule type="expression" dxfId="577" priority="577">
      <formula>INDIRECT(ADDRESS(ROW(),COLUMN())) = "Atrativo"</formula>
    </cfRule>
  </conditionalFormatting>
  <conditionalFormatting sqref="G198">
    <cfRule type="expression" dxfId="578" priority="578">
      <formula>INDIRECT(ADDRESS(ROW(),COLUMN())) = "Pouco atrativo"</formula>
    </cfRule>
  </conditionalFormatting>
  <conditionalFormatting sqref="M198">
    <cfRule type="cellIs" operator="equal" dxfId="579" priority="579">
      <formula>"Participar"</formula>
    </cfRule>
  </conditionalFormatting>
  <conditionalFormatting sqref="G199">
    <cfRule type="expression" dxfId="580" priority="580">
      <formula>INDIRECT(ADDRESS(ROW(),COLUMN())) = "Atrativo"</formula>
    </cfRule>
  </conditionalFormatting>
  <conditionalFormatting sqref="G199">
    <cfRule type="expression" dxfId="581" priority="581">
      <formula>INDIRECT(ADDRESS(ROW(),COLUMN())) = "Pouco atrativo"</formula>
    </cfRule>
  </conditionalFormatting>
  <conditionalFormatting sqref="M199">
    <cfRule type="cellIs" operator="equal" dxfId="582" priority="582">
      <formula>"Participar"</formula>
    </cfRule>
  </conditionalFormatting>
  <conditionalFormatting sqref="G200">
    <cfRule type="expression" dxfId="583" priority="583">
      <formula>INDIRECT(ADDRESS(ROW(),COLUMN())) = "Atrativo"</formula>
    </cfRule>
  </conditionalFormatting>
  <conditionalFormatting sqref="G200">
    <cfRule type="expression" dxfId="584" priority="584">
      <formula>INDIRECT(ADDRESS(ROW(),COLUMN())) = "Pouco atrativo"</formula>
    </cfRule>
  </conditionalFormatting>
  <conditionalFormatting sqref="M200">
    <cfRule type="cellIs" operator="equal" dxfId="585" priority="585">
      <formula>"Participar"</formula>
    </cfRule>
  </conditionalFormatting>
  <conditionalFormatting sqref="G201">
    <cfRule type="expression" dxfId="586" priority="586">
      <formula>INDIRECT(ADDRESS(ROW(),COLUMN())) = "Atrativo"</formula>
    </cfRule>
  </conditionalFormatting>
  <conditionalFormatting sqref="G201">
    <cfRule type="expression" dxfId="587" priority="587">
      <formula>INDIRECT(ADDRESS(ROW(),COLUMN())) = "Pouco atrativo"</formula>
    </cfRule>
  </conditionalFormatting>
  <conditionalFormatting sqref="M201">
    <cfRule type="cellIs" operator="equal" dxfId="588" priority="588">
      <formula>"Participar"</formula>
    </cfRule>
  </conditionalFormatting>
  <conditionalFormatting sqref="G202">
    <cfRule type="expression" dxfId="589" priority="589">
      <formula>INDIRECT(ADDRESS(ROW(),COLUMN())) = "Atrativo"</formula>
    </cfRule>
  </conditionalFormatting>
  <conditionalFormatting sqref="G202">
    <cfRule type="expression" dxfId="590" priority="590">
      <formula>INDIRECT(ADDRESS(ROW(),COLUMN())) = "Pouco atrativo"</formula>
    </cfRule>
  </conditionalFormatting>
  <conditionalFormatting sqref="M202">
    <cfRule type="cellIs" operator="equal" dxfId="591" priority="591">
      <formula>"Participar"</formula>
    </cfRule>
  </conditionalFormatting>
  <conditionalFormatting sqref="G203">
    <cfRule type="expression" dxfId="592" priority="592">
      <formula>INDIRECT(ADDRESS(ROW(),COLUMN())) = "Atrativo"</formula>
    </cfRule>
  </conditionalFormatting>
  <conditionalFormatting sqref="G203">
    <cfRule type="expression" dxfId="593" priority="593">
      <formula>INDIRECT(ADDRESS(ROW(),COLUMN())) = "Pouco atrativo"</formula>
    </cfRule>
  </conditionalFormatting>
  <conditionalFormatting sqref="M203">
    <cfRule type="cellIs" operator="equal" dxfId="594" priority="594">
      <formula>"Participar"</formula>
    </cfRule>
  </conditionalFormatting>
  <conditionalFormatting sqref="G204">
    <cfRule type="expression" dxfId="595" priority="595">
      <formula>INDIRECT(ADDRESS(ROW(),COLUMN())) = "Atrativo"</formula>
    </cfRule>
  </conditionalFormatting>
  <conditionalFormatting sqref="G204">
    <cfRule type="expression" dxfId="596" priority="596">
      <formula>INDIRECT(ADDRESS(ROW(),COLUMN())) = "Pouco atrativo"</formula>
    </cfRule>
  </conditionalFormatting>
  <conditionalFormatting sqref="M204">
    <cfRule type="cellIs" operator="equal" dxfId="597" priority="597">
      <formula>"Participar"</formula>
    </cfRule>
  </conditionalFormatting>
  <conditionalFormatting sqref="G205">
    <cfRule type="expression" dxfId="598" priority="598">
      <formula>INDIRECT(ADDRESS(ROW(),COLUMN())) = "Atrativo"</formula>
    </cfRule>
  </conditionalFormatting>
  <conditionalFormatting sqref="G205">
    <cfRule type="expression" dxfId="599" priority="599">
      <formula>INDIRECT(ADDRESS(ROW(),COLUMN())) = "Pouco atrativo"</formula>
    </cfRule>
  </conditionalFormatting>
  <conditionalFormatting sqref="M205">
    <cfRule type="cellIs" operator="equal" dxfId="600" priority="600">
      <formula>"Participar"</formula>
    </cfRule>
  </conditionalFormatting>
  <conditionalFormatting sqref="G206">
    <cfRule type="expression" dxfId="601" priority="601">
      <formula>INDIRECT(ADDRESS(ROW(),COLUMN())) = "Atrativo"</formula>
    </cfRule>
  </conditionalFormatting>
  <conditionalFormatting sqref="G206">
    <cfRule type="expression" dxfId="602" priority="602">
      <formula>INDIRECT(ADDRESS(ROW(),COLUMN())) = "Pouco atrativo"</formula>
    </cfRule>
  </conditionalFormatting>
  <conditionalFormatting sqref="M206">
    <cfRule type="cellIs" operator="equal" dxfId="603" priority="603">
      <formula>"Participar"</formula>
    </cfRule>
  </conditionalFormatting>
  <conditionalFormatting sqref="G207">
    <cfRule type="expression" dxfId="604" priority="604">
      <formula>INDIRECT(ADDRESS(ROW(),COLUMN())) = "Atrativo"</formula>
    </cfRule>
  </conditionalFormatting>
  <conditionalFormatting sqref="G207">
    <cfRule type="expression" dxfId="605" priority="605">
      <formula>INDIRECT(ADDRESS(ROW(),COLUMN())) = "Pouco atrativo"</formula>
    </cfRule>
  </conditionalFormatting>
  <conditionalFormatting sqref="M207">
    <cfRule type="cellIs" operator="equal" dxfId="606" priority="606">
      <formula>"Participar"</formula>
    </cfRule>
  </conditionalFormatting>
  <conditionalFormatting sqref="G208">
    <cfRule type="expression" dxfId="607" priority="607">
      <formula>INDIRECT(ADDRESS(ROW(),COLUMN())) = "Atrativo"</formula>
    </cfRule>
  </conditionalFormatting>
  <conditionalFormatting sqref="G208">
    <cfRule type="expression" dxfId="608" priority="608">
      <formula>INDIRECT(ADDRESS(ROW(),COLUMN())) = "Pouco atrativo"</formula>
    </cfRule>
  </conditionalFormatting>
  <conditionalFormatting sqref="M208">
    <cfRule type="cellIs" operator="equal" dxfId="609" priority="609">
      <formula>"Participar"</formula>
    </cfRule>
  </conditionalFormatting>
  <conditionalFormatting sqref="G209">
    <cfRule type="expression" dxfId="610" priority="610">
      <formula>INDIRECT(ADDRESS(ROW(),COLUMN())) = "Atrativo"</formula>
    </cfRule>
  </conditionalFormatting>
  <conditionalFormatting sqref="G209">
    <cfRule type="expression" dxfId="611" priority="611">
      <formula>INDIRECT(ADDRESS(ROW(),COLUMN())) = "Pouco atrativo"</formula>
    </cfRule>
  </conditionalFormatting>
  <conditionalFormatting sqref="M209">
    <cfRule type="cellIs" operator="equal" dxfId="612" priority="612">
      <formula>"Participar"</formula>
    </cfRule>
  </conditionalFormatting>
  <conditionalFormatting sqref="G210">
    <cfRule type="expression" dxfId="613" priority="613">
      <formula>INDIRECT(ADDRESS(ROW(),COLUMN())) = "Atrativo"</formula>
    </cfRule>
  </conditionalFormatting>
  <conditionalFormatting sqref="G210">
    <cfRule type="expression" dxfId="614" priority="614">
      <formula>INDIRECT(ADDRESS(ROW(),COLUMN())) = "Pouco atrativo"</formula>
    </cfRule>
  </conditionalFormatting>
  <conditionalFormatting sqref="M210">
    <cfRule type="cellIs" operator="equal" dxfId="615" priority="615">
      <formula>"Participar"</formula>
    </cfRule>
  </conditionalFormatting>
  <conditionalFormatting sqref="G211">
    <cfRule type="expression" dxfId="616" priority="616">
      <formula>INDIRECT(ADDRESS(ROW(),COLUMN())) = "Atrativo"</formula>
    </cfRule>
  </conditionalFormatting>
  <conditionalFormatting sqref="G211">
    <cfRule type="expression" dxfId="617" priority="617">
      <formula>INDIRECT(ADDRESS(ROW(),COLUMN())) = "Pouco atrativo"</formula>
    </cfRule>
  </conditionalFormatting>
  <conditionalFormatting sqref="M211">
    <cfRule type="cellIs" operator="equal" dxfId="618" priority="618">
      <formula>"Participar"</formula>
    </cfRule>
  </conditionalFormatting>
  <conditionalFormatting sqref="G212">
    <cfRule type="expression" dxfId="619" priority="619">
      <formula>INDIRECT(ADDRESS(ROW(),COLUMN())) = "Atrativo"</formula>
    </cfRule>
  </conditionalFormatting>
  <conditionalFormatting sqref="G212">
    <cfRule type="expression" dxfId="620" priority="620">
      <formula>INDIRECT(ADDRESS(ROW(),COLUMN())) = "Pouco atrativo"</formula>
    </cfRule>
  </conditionalFormatting>
  <conditionalFormatting sqref="M212">
    <cfRule type="cellIs" operator="equal" dxfId="621" priority="621">
      <formula>"Participar"</formula>
    </cfRule>
  </conditionalFormatting>
  <conditionalFormatting sqref="G213">
    <cfRule type="expression" dxfId="622" priority="622">
      <formula>INDIRECT(ADDRESS(ROW(),COLUMN())) = "Atrativo"</formula>
    </cfRule>
  </conditionalFormatting>
  <conditionalFormatting sqref="G213">
    <cfRule type="expression" dxfId="623" priority="623">
      <formula>INDIRECT(ADDRESS(ROW(),COLUMN())) = "Pouco atrativo"</formula>
    </cfRule>
  </conditionalFormatting>
  <conditionalFormatting sqref="M213">
    <cfRule type="cellIs" operator="equal" dxfId="624" priority="624">
      <formula>"Participar"</formula>
    </cfRule>
  </conditionalFormatting>
  <conditionalFormatting sqref="G214">
    <cfRule type="expression" dxfId="625" priority="625">
      <formula>INDIRECT(ADDRESS(ROW(),COLUMN())) = "Atrativo"</formula>
    </cfRule>
  </conditionalFormatting>
  <conditionalFormatting sqref="G214">
    <cfRule type="expression" dxfId="626" priority="626">
      <formula>INDIRECT(ADDRESS(ROW(),COLUMN())) = "Pouco atrativo"</formula>
    </cfRule>
  </conditionalFormatting>
  <conditionalFormatting sqref="M214">
    <cfRule type="cellIs" operator="equal" dxfId="627" priority="627">
      <formula>"Participar"</formula>
    </cfRule>
  </conditionalFormatting>
  <conditionalFormatting sqref="G215">
    <cfRule type="expression" dxfId="628" priority="628">
      <formula>INDIRECT(ADDRESS(ROW(),COLUMN())) = "Atrativo"</formula>
    </cfRule>
  </conditionalFormatting>
  <conditionalFormatting sqref="G215">
    <cfRule type="expression" dxfId="629" priority="629">
      <formula>INDIRECT(ADDRESS(ROW(),COLUMN())) = "Pouco atrativo"</formula>
    </cfRule>
  </conditionalFormatting>
  <conditionalFormatting sqref="M215">
    <cfRule type="cellIs" operator="equal" dxfId="630" priority="630">
      <formula>"Participar"</formula>
    </cfRule>
  </conditionalFormatting>
  <conditionalFormatting sqref="G216">
    <cfRule type="expression" dxfId="631" priority="631">
      <formula>INDIRECT(ADDRESS(ROW(),COLUMN())) = "Atrativo"</formula>
    </cfRule>
  </conditionalFormatting>
  <conditionalFormatting sqref="G216">
    <cfRule type="expression" dxfId="632" priority="632">
      <formula>INDIRECT(ADDRESS(ROW(),COLUMN())) = "Pouco atrativo"</formula>
    </cfRule>
  </conditionalFormatting>
  <conditionalFormatting sqref="M216">
    <cfRule type="cellIs" operator="equal" dxfId="633" priority="633">
      <formula>"Participar"</formula>
    </cfRule>
  </conditionalFormatting>
  <conditionalFormatting sqref="G217">
    <cfRule type="expression" dxfId="634" priority="634">
      <formula>INDIRECT(ADDRESS(ROW(),COLUMN())) = "Atrativo"</formula>
    </cfRule>
  </conditionalFormatting>
  <conditionalFormatting sqref="G217">
    <cfRule type="expression" dxfId="635" priority="635">
      <formula>INDIRECT(ADDRESS(ROW(),COLUMN())) = "Pouco atrativo"</formula>
    </cfRule>
  </conditionalFormatting>
  <conditionalFormatting sqref="M217">
    <cfRule type="cellIs" operator="equal" dxfId="636" priority="636">
      <formula>"Participar"</formula>
    </cfRule>
  </conditionalFormatting>
  <conditionalFormatting sqref="G218">
    <cfRule type="expression" dxfId="637" priority="637">
      <formula>INDIRECT(ADDRESS(ROW(),COLUMN())) = "Atrativo"</formula>
    </cfRule>
  </conditionalFormatting>
  <conditionalFormatting sqref="G218">
    <cfRule type="expression" dxfId="638" priority="638">
      <formula>INDIRECT(ADDRESS(ROW(),COLUMN())) = "Pouco atrativo"</formula>
    </cfRule>
  </conditionalFormatting>
  <conditionalFormatting sqref="M218">
    <cfRule type="cellIs" operator="equal" dxfId="639" priority="639">
      <formula>"Participar"</formula>
    </cfRule>
  </conditionalFormatting>
  <conditionalFormatting sqref="G219">
    <cfRule type="expression" dxfId="640" priority="640">
      <formula>INDIRECT(ADDRESS(ROW(),COLUMN())) = "Atrativo"</formula>
    </cfRule>
  </conditionalFormatting>
  <conditionalFormatting sqref="G219">
    <cfRule type="expression" dxfId="641" priority="641">
      <formula>INDIRECT(ADDRESS(ROW(),COLUMN())) = "Pouco atrativo"</formula>
    </cfRule>
  </conditionalFormatting>
  <conditionalFormatting sqref="M219">
    <cfRule type="cellIs" operator="equal" dxfId="642" priority="642">
      <formula>"Participar"</formula>
    </cfRule>
  </conditionalFormatting>
  <conditionalFormatting sqref="G220">
    <cfRule type="expression" dxfId="643" priority="643">
      <formula>INDIRECT(ADDRESS(ROW(),COLUMN())) = "Atrativo"</formula>
    </cfRule>
  </conditionalFormatting>
  <conditionalFormatting sqref="G220">
    <cfRule type="expression" dxfId="644" priority="644">
      <formula>INDIRECT(ADDRESS(ROW(),COLUMN())) = "Pouco atrativo"</formula>
    </cfRule>
  </conditionalFormatting>
  <conditionalFormatting sqref="M220">
    <cfRule type="cellIs" operator="equal" dxfId="645" priority="645">
      <formula>"Participar"</formula>
    </cfRule>
  </conditionalFormatting>
  <conditionalFormatting sqref="G221">
    <cfRule type="expression" dxfId="646" priority="646">
      <formula>INDIRECT(ADDRESS(ROW(),COLUMN())) = "Atrativo"</formula>
    </cfRule>
  </conditionalFormatting>
  <conditionalFormatting sqref="G221">
    <cfRule type="expression" dxfId="647" priority="647">
      <formula>INDIRECT(ADDRESS(ROW(),COLUMN())) = "Pouco atrativo"</formula>
    </cfRule>
  </conditionalFormatting>
  <conditionalFormatting sqref="M221">
    <cfRule type="cellIs" operator="equal" dxfId="648" priority="648">
      <formula>"Participar"</formula>
    </cfRule>
  </conditionalFormatting>
  <conditionalFormatting sqref="G222">
    <cfRule type="expression" dxfId="649" priority="649">
      <formula>INDIRECT(ADDRESS(ROW(),COLUMN())) = "Atrativo"</formula>
    </cfRule>
  </conditionalFormatting>
  <conditionalFormatting sqref="G222">
    <cfRule type="expression" dxfId="650" priority="650">
      <formula>INDIRECT(ADDRESS(ROW(),COLUMN())) = "Pouco atrativo"</formula>
    </cfRule>
  </conditionalFormatting>
  <conditionalFormatting sqref="M222">
    <cfRule type="cellIs" operator="equal" dxfId="651" priority="651">
      <formula>"Participar"</formula>
    </cfRule>
  </conditionalFormatting>
  <conditionalFormatting sqref="G223">
    <cfRule type="expression" dxfId="652" priority="652">
      <formula>INDIRECT(ADDRESS(ROW(),COLUMN())) = "Atrativo"</formula>
    </cfRule>
  </conditionalFormatting>
  <conditionalFormatting sqref="G223">
    <cfRule type="expression" dxfId="653" priority="653">
      <formula>INDIRECT(ADDRESS(ROW(),COLUMN())) = "Pouco atrativo"</formula>
    </cfRule>
  </conditionalFormatting>
  <conditionalFormatting sqref="M223">
    <cfRule type="cellIs" operator="equal" dxfId="654" priority="654">
      <formula>"Participar"</formula>
    </cfRule>
  </conditionalFormatting>
  <conditionalFormatting sqref="G224">
    <cfRule type="expression" dxfId="655" priority="655">
      <formula>INDIRECT(ADDRESS(ROW(),COLUMN())) = "Atrativo"</formula>
    </cfRule>
  </conditionalFormatting>
  <conditionalFormatting sqref="G224">
    <cfRule type="expression" dxfId="656" priority="656">
      <formula>INDIRECT(ADDRESS(ROW(),COLUMN())) = "Pouco atrativo"</formula>
    </cfRule>
  </conditionalFormatting>
  <conditionalFormatting sqref="M224">
    <cfRule type="cellIs" operator="equal" dxfId="657" priority="657">
      <formula>"Participar"</formula>
    </cfRule>
  </conditionalFormatting>
  <conditionalFormatting sqref="G225">
    <cfRule type="expression" dxfId="658" priority="658">
      <formula>INDIRECT(ADDRESS(ROW(),COLUMN())) = "Atrativo"</formula>
    </cfRule>
  </conditionalFormatting>
  <conditionalFormatting sqref="G225">
    <cfRule type="expression" dxfId="659" priority="659">
      <formula>INDIRECT(ADDRESS(ROW(),COLUMN())) = "Pouco atrativo"</formula>
    </cfRule>
  </conditionalFormatting>
  <conditionalFormatting sqref="M225">
    <cfRule type="cellIs" operator="equal" dxfId="660" priority="660">
      <formula>"Participar"</formula>
    </cfRule>
  </conditionalFormatting>
  <conditionalFormatting sqref="G226">
    <cfRule type="expression" dxfId="661" priority="661">
      <formula>INDIRECT(ADDRESS(ROW(),COLUMN())) = "Atrativo"</formula>
    </cfRule>
  </conditionalFormatting>
  <conditionalFormatting sqref="G226">
    <cfRule type="expression" dxfId="662" priority="662">
      <formula>INDIRECT(ADDRESS(ROW(),COLUMN())) = "Pouco atrativo"</formula>
    </cfRule>
  </conditionalFormatting>
  <conditionalFormatting sqref="M226">
    <cfRule type="cellIs" operator="equal" dxfId="663" priority="663">
      <formula>"Participar"</formula>
    </cfRule>
  </conditionalFormatting>
  <conditionalFormatting sqref="G227">
    <cfRule type="expression" dxfId="664" priority="664">
      <formula>INDIRECT(ADDRESS(ROW(),COLUMN())) = "Atrativo"</formula>
    </cfRule>
  </conditionalFormatting>
  <conditionalFormatting sqref="G227">
    <cfRule type="expression" dxfId="665" priority="665">
      <formula>INDIRECT(ADDRESS(ROW(),COLUMN())) = "Pouco atrativo"</formula>
    </cfRule>
  </conditionalFormatting>
  <conditionalFormatting sqref="M227">
    <cfRule type="cellIs" operator="equal" dxfId="666" priority="666">
      <formula>"Participar"</formula>
    </cfRule>
  </conditionalFormatting>
  <conditionalFormatting sqref="G228">
    <cfRule type="expression" dxfId="667" priority="667">
      <formula>INDIRECT(ADDRESS(ROW(),COLUMN())) = "Atrativo"</formula>
    </cfRule>
  </conditionalFormatting>
  <conditionalFormatting sqref="G228">
    <cfRule type="expression" dxfId="668" priority="668">
      <formula>INDIRECT(ADDRESS(ROW(),COLUMN())) = "Pouco atrativo"</formula>
    </cfRule>
  </conditionalFormatting>
  <conditionalFormatting sqref="M228">
    <cfRule type="cellIs" operator="equal" dxfId="669" priority="669">
      <formula>"Participar"</formula>
    </cfRule>
  </conditionalFormatting>
  <conditionalFormatting sqref="G229">
    <cfRule type="expression" dxfId="670" priority="670">
      <formula>INDIRECT(ADDRESS(ROW(),COLUMN())) = "Atrativo"</formula>
    </cfRule>
  </conditionalFormatting>
  <conditionalFormatting sqref="G229">
    <cfRule type="expression" dxfId="671" priority="671">
      <formula>INDIRECT(ADDRESS(ROW(),COLUMN())) = "Pouco atrativo"</formula>
    </cfRule>
  </conditionalFormatting>
  <conditionalFormatting sqref="M229">
    <cfRule type="cellIs" operator="equal" dxfId="672" priority="672">
      <formula>"Participar"</formula>
    </cfRule>
  </conditionalFormatting>
  <conditionalFormatting sqref="G230">
    <cfRule type="expression" dxfId="673" priority="673">
      <formula>INDIRECT(ADDRESS(ROW(),COLUMN())) = "Atrativo"</formula>
    </cfRule>
  </conditionalFormatting>
  <conditionalFormatting sqref="G230">
    <cfRule type="expression" dxfId="674" priority="674">
      <formula>INDIRECT(ADDRESS(ROW(),COLUMN())) = "Pouco atrativo"</formula>
    </cfRule>
  </conditionalFormatting>
  <conditionalFormatting sqref="M230">
    <cfRule type="cellIs" operator="equal" dxfId="675" priority="675">
      <formula>"Participar"</formula>
    </cfRule>
  </conditionalFormatting>
  <conditionalFormatting sqref="G231">
    <cfRule type="expression" dxfId="676" priority="676">
      <formula>INDIRECT(ADDRESS(ROW(),COLUMN())) = "Atrativo"</formula>
    </cfRule>
  </conditionalFormatting>
  <conditionalFormatting sqref="G231">
    <cfRule type="expression" dxfId="677" priority="677">
      <formula>INDIRECT(ADDRESS(ROW(),COLUMN())) = "Pouco atrativo"</formula>
    </cfRule>
  </conditionalFormatting>
  <conditionalFormatting sqref="M231">
    <cfRule type="cellIs" operator="equal" dxfId="678" priority="678">
      <formula>"Participar"</formula>
    </cfRule>
  </conditionalFormatting>
  <conditionalFormatting sqref="G232">
    <cfRule type="expression" dxfId="679" priority="679">
      <formula>INDIRECT(ADDRESS(ROW(),COLUMN())) = "Atrativo"</formula>
    </cfRule>
  </conditionalFormatting>
  <conditionalFormatting sqref="G232">
    <cfRule type="expression" dxfId="680" priority="680">
      <formula>INDIRECT(ADDRESS(ROW(),COLUMN())) = "Pouco atrativo"</formula>
    </cfRule>
  </conditionalFormatting>
  <conditionalFormatting sqref="M232">
    <cfRule type="cellIs" operator="equal" dxfId="681" priority="681">
      <formula>"Participar"</formula>
    </cfRule>
  </conditionalFormatting>
  <conditionalFormatting sqref="G233">
    <cfRule type="expression" dxfId="682" priority="682">
      <formula>INDIRECT(ADDRESS(ROW(),COLUMN())) = "Atrativo"</formula>
    </cfRule>
  </conditionalFormatting>
  <conditionalFormatting sqref="G233">
    <cfRule type="expression" dxfId="683" priority="683">
      <formula>INDIRECT(ADDRESS(ROW(),COLUMN())) = "Pouco atrativo"</formula>
    </cfRule>
  </conditionalFormatting>
  <conditionalFormatting sqref="M233">
    <cfRule type="cellIs" operator="equal" dxfId="684" priority="684">
      <formula>"Participar"</formula>
    </cfRule>
  </conditionalFormatting>
  <conditionalFormatting sqref="G234">
    <cfRule type="expression" dxfId="685" priority="685">
      <formula>INDIRECT(ADDRESS(ROW(),COLUMN())) = "Atrativo"</formula>
    </cfRule>
  </conditionalFormatting>
  <conditionalFormatting sqref="G234">
    <cfRule type="expression" dxfId="686" priority="686">
      <formula>INDIRECT(ADDRESS(ROW(),COLUMN())) = "Pouco atrativo"</formula>
    </cfRule>
  </conditionalFormatting>
  <conditionalFormatting sqref="M234">
    <cfRule type="cellIs" operator="equal" dxfId="687" priority="687">
      <formula>"Participar"</formula>
    </cfRule>
  </conditionalFormatting>
  <conditionalFormatting sqref="G235">
    <cfRule type="expression" dxfId="688" priority="688">
      <formula>INDIRECT(ADDRESS(ROW(),COLUMN())) = "Atrativo"</formula>
    </cfRule>
  </conditionalFormatting>
  <conditionalFormatting sqref="G235">
    <cfRule type="expression" dxfId="689" priority="689">
      <formula>INDIRECT(ADDRESS(ROW(),COLUMN())) = "Pouco atrativo"</formula>
    </cfRule>
  </conditionalFormatting>
  <conditionalFormatting sqref="M235">
    <cfRule type="cellIs" operator="equal" dxfId="690" priority="690">
      <formula>"Participar"</formula>
    </cfRule>
  </conditionalFormatting>
  <conditionalFormatting sqref="G236">
    <cfRule type="expression" dxfId="691" priority="691">
      <formula>INDIRECT(ADDRESS(ROW(),COLUMN())) = "Atrativo"</formula>
    </cfRule>
  </conditionalFormatting>
  <conditionalFormatting sqref="G236">
    <cfRule type="expression" dxfId="692" priority="692">
      <formula>INDIRECT(ADDRESS(ROW(),COLUMN())) = "Pouco atrativo"</formula>
    </cfRule>
  </conditionalFormatting>
  <conditionalFormatting sqref="M236">
    <cfRule type="cellIs" operator="equal" dxfId="693" priority="693">
      <formula>"Participar"</formula>
    </cfRule>
  </conditionalFormatting>
  <conditionalFormatting sqref="G237">
    <cfRule type="expression" dxfId="694" priority="694">
      <formula>INDIRECT(ADDRESS(ROW(),COLUMN())) = "Atrativo"</formula>
    </cfRule>
  </conditionalFormatting>
  <conditionalFormatting sqref="G237">
    <cfRule type="expression" dxfId="695" priority="695">
      <formula>INDIRECT(ADDRESS(ROW(),COLUMN())) = "Pouco atrativo"</formula>
    </cfRule>
  </conditionalFormatting>
  <conditionalFormatting sqref="M237">
    <cfRule type="cellIs" operator="equal" dxfId="696" priority="696">
      <formula>"Participar"</formula>
    </cfRule>
  </conditionalFormatting>
  <conditionalFormatting sqref="G238">
    <cfRule type="expression" dxfId="697" priority="697">
      <formula>INDIRECT(ADDRESS(ROW(),COLUMN())) = "Atrativo"</formula>
    </cfRule>
  </conditionalFormatting>
  <conditionalFormatting sqref="G238">
    <cfRule type="expression" dxfId="698" priority="698">
      <formula>INDIRECT(ADDRESS(ROW(),COLUMN())) = "Pouco atrativo"</formula>
    </cfRule>
  </conditionalFormatting>
  <conditionalFormatting sqref="M238">
    <cfRule type="cellIs" operator="equal" dxfId="699" priority="699">
      <formula>"Participar"</formula>
    </cfRule>
  </conditionalFormatting>
  <conditionalFormatting sqref="G239">
    <cfRule type="expression" dxfId="700" priority="700">
      <formula>INDIRECT(ADDRESS(ROW(),COLUMN())) = "Atrativo"</formula>
    </cfRule>
  </conditionalFormatting>
  <conditionalFormatting sqref="G239">
    <cfRule type="expression" dxfId="701" priority="701">
      <formula>INDIRECT(ADDRESS(ROW(),COLUMN())) = "Pouco atrativo"</formula>
    </cfRule>
  </conditionalFormatting>
  <conditionalFormatting sqref="M239">
    <cfRule type="cellIs" operator="equal" dxfId="702" priority="702">
      <formula>"Participar"</formula>
    </cfRule>
  </conditionalFormatting>
  <conditionalFormatting sqref="G240">
    <cfRule type="expression" dxfId="703" priority="703">
      <formula>INDIRECT(ADDRESS(ROW(),COLUMN())) = "Atrativo"</formula>
    </cfRule>
  </conditionalFormatting>
  <conditionalFormatting sqref="G240">
    <cfRule type="expression" dxfId="704" priority="704">
      <formula>INDIRECT(ADDRESS(ROW(),COLUMN())) = "Pouco atrativo"</formula>
    </cfRule>
  </conditionalFormatting>
  <conditionalFormatting sqref="M240">
    <cfRule type="cellIs" operator="equal" dxfId="705" priority="705">
      <formula>"Participar"</formula>
    </cfRule>
  </conditionalFormatting>
  <conditionalFormatting sqref="G241">
    <cfRule type="expression" dxfId="706" priority="706">
      <formula>INDIRECT(ADDRESS(ROW(),COLUMN())) = "Atrativo"</formula>
    </cfRule>
  </conditionalFormatting>
  <conditionalFormatting sqref="G241">
    <cfRule type="expression" dxfId="707" priority="707">
      <formula>INDIRECT(ADDRESS(ROW(),COLUMN())) = "Pouco atrativo"</formula>
    </cfRule>
  </conditionalFormatting>
  <conditionalFormatting sqref="M241">
    <cfRule type="cellIs" operator="equal" dxfId="708" priority="708">
      <formula>"Participar"</formula>
    </cfRule>
  </conditionalFormatting>
  <conditionalFormatting sqref="G242">
    <cfRule type="expression" dxfId="709" priority="709">
      <formula>INDIRECT(ADDRESS(ROW(),COLUMN())) = "Atrativo"</formula>
    </cfRule>
  </conditionalFormatting>
  <conditionalFormatting sqref="G242">
    <cfRule type="expression" dxfId="710" priority="710">
      <formula>INDIRECT(ADDRESS(ROW(),COLUMN())) = "Pouco atrativo"</formula>
    </cfRule>
  </conditionalFormatting>
  <conditionalFormatting sqref="M242">
    <cfRule type="cellIs" operator="equal" dxfId="711" priority="711">
      <formula>"Participar"</formula>
    </cfRule>
  </conditionalFormatting>
  <conditionalFormatting sqref="G243">
    <cfRule type="expression" dxfId="712" priority="712">
      <formula>INDIRECT(ADDRESS(ROW(),COLUMN())) = "Atrativo"</formula>
    </cfRule>
  </conditionalFormatting>
  <conditionalFormatting sqref="G243">
    <cfRule type="expression" dxfId="713" priority="713">
      <formula>INDIRECT(ADDRESS(ROW(),COLUMN())) = "Pouco atrativo"</formula>
    </cfRule>
  </conditionalFormatting>
  <conditionalFormatting sqref="M243">
    <cfRule type="cellIs" operator="equal" dxfId="714" priority="714">
      <formula>"Participar"</formula>
    </cfRule>
  </conditionalFormatting>
  <conditionalFormatting sqref="G244">
    <cfRule type="expression" dxfId="715" priority="715">
      <formula>INDIRECT(ADDRESS(ROW(),COLUMN())) = "Atrativo"</formula>
    </cfRule>
  </conditionalFormatting>
  <conditionalFormatting sqref="G244">
    <cfRule type="expression" dxfId="716" priority="716">
      <formula>INDIRECT(ADDRESS(ROW(),COLUMN())) = "Pouco atrativo"</formula>
    </cfRule>
  </conditionalFormatting>
  <conditionalFormatting sqref="M244">
    <cfRule type="cellIs" operator="equal" dxfId="717" priority="717">
      <formula>"Participar"</formula>
    </cfRule>
  </conditionalFormatting>
  <conditionalFormatting sqref="G245">
    <cfRule type="expression" dxfId="718" priority="718">
      <formula>INDIRECT(ADDRESS(ROW(),COLUMN())) = "Atrativo"</formula>
    </cfRule>
  </conditionalFormatting>
  <conditionalFormatting sqref="G245">
    <cfRule type="expression" dxfId="719" priority="719">
      <formula>INDIRECT(ADDRESS(ROW(),COLUMN())) = "Pouco atrativo"</formula>
    </cfRule>
  </conditionalFormatting>
  <conditionalFormatting sqref="M245">
    <cfRule type="cellIs" operator="equal" dxfId="720" priority="720">
      <formula>"Participar"</formula>
    </cfRule>
  </conditionalFormatting>
  <conditionalFormatting sqref="G246">
    <cfRule type="expression" dxfId="721" priority="721">
      <formula>INDIRECT(ADDRESS(ROW(),COLUMN())) = "Atrativo"</formula>
    </cfRule>
  </conditionalFormatting>
  <conditionalFormatting sqref="G246">
    <cfRule type="expression" dxfId="722" priority="722">
      <formula>INDIRECT(ADDRESS(ROW(),COLUMN())) = "Pouco atrativo"</formula>
    </cfRule>
  </conditionalFormatting>
  <conditionalFormatting sqref="M246">
    <cfRule type="cellIs" operator="equal" dxfId="723" priority="723">
      <formula>"Participar"</formula>
    </cfRule>
  </conditionalFormatting>
  <conditionalFormatting sqref="G247">
    <cfRule type="expression" dxfId="724" priority="724">
      <formula>INDIRECT(ADDRESS(ROW(),COLUMN())) = "Atrativo"</formula>
    </cfRule>
  </conditionalFormatting>
  <conditionalFormatting sqref="G247">
    <cfRule type="expression" dxfId="725" priority="725">
      <formula>INDIRECT(ADDRESS(ROW(),COLUMN())) = "Pouco atrativo"</formula>
    </cfRule>
  </conditionalFormatting>
  <conditionalFormatting sqref="M247">
    <cfRule type="cellIs" operator="equal" dxfId="726" priority="726">
      <formula>"Participar"</formula>
    </cfRule>
  </conditionalFormatting>
  <conditionalFormatting sqref="G248">
    <cfRule type="expression" dxfId="727" priority="727">
      <formula>INDIRECT(ADDRESS(ROW(),COLUMN())) = "Atrativo"</formula>
    </cfRule>
  </conditionalFormatting>
  <conditionalFormatting sqref="G248">
    <cfRule type="expression" dxfId="728" priority="728">
      <formula>INDIRECT(ADDRESS(ROW(),COLUMN())) = "Pouco atrativo"</formula>
    </cfRule>
  </conditionalFormatting>
  <conditionalFormatting sqref="M248">
    <cfRule type="cellIs" operator="equal" dxfId="729" priority="729">
      <formula>"Participar"</formula>
    </cfRule>
  </conditionalFormatting>
  <conditionalFormatting sqref="G249">
    <cfRule type="expression" dxfId="730" priority="730">
      <formula>INDIRECT(ADDRESS(ROW(),COLUMN())) = "Atrativo"</formula>
    </cfRule>
  </conditionalFormatting>
  <conditionalFormatting sqref="G249">
    <cfRule type="expression" dxfId="731" priority="731">
      <formula>INDIRECT(ADDRESS(ROW(),COLUMN())) = "Pouco atrativo"</formula>
    </cfRule>
  </conditionalFormatting>
  <conditionalFormatting sqref="M249">
    <cfRule type="cellIs" operator="equal" dxfId="732" priority="732">
      <formula>"Participar"</formula>
    </cfRule>
  </conditionalFormatting>
  <conditionalFormatting sqref="G250">
    <cfRule type="expression" dxfId="733" priority="733">
      <formula>INDIRECT(ADDRESS(ROW(),COLUMN())) = "Atrativo"</formula>
    </cfRule>
  </conditionalFormatting>
  <conditionalFormatting sqref="G250">
    <cfRule type="expression" dxfId="734" priority="734">
      <formula>INDIRECT(ADDRESS(ROW(),COLUMN())) = "Pouco atrativo"</formula>
    </cfRule>
  </conditionalFormatting>
  <conditionalFormatting sqref="M250">
    <cfRule type="cellIs" operator="equal" dxfId="735" priority="735">
      <formula>"Participar"</formula>
    </cfRule>
  </conditionalFormatting>
  <conditionalFormatting sqref="G251">
    <cfRule type="expression" dxfId="736" priority="736">
      <formula>INDIRECT(ADDRESS(ROW(),COLUMN())) = "Atrativo"</formula>
    </cfRule>
  </conditionalFormatting>
  <conditionalFormatting sqref="G251">
    <cfRule type="expression" dxfId="737" priority="737">
      <formula>INDIRECT(ADDRESS(ROW(),COLUMN())) = "Pouco atrativo"</formula>
    </cfRule>
  </conditionalFormatting>
  <conditionalFormatting sqref="M251">
    <cfRule type="cellIs" operator="equal" dxfId="738" priority="738">
      <formula>"Participar"</formula>
    </cfRule>
  </conditionalFormatting>
  <conditionalFormatting sqref="G252">
    <cfRule type="expression" dxfId="739" priority="739">
      <formula>INDIRECT(ADDRESS(ROW(),COLUMN())) = "Atrativo"</formula>
    </cfRule>
  </conditionalFormatting>
  <conditionalFormatting sqref="G252">
    <cfRule type="expression" dxfId="740" priority="740">
      <formula>INDIRECT(ADDRESS(ROW(),COLUMN())) = "Pouco atrativo"</formula>
    </cfRule>
  </conditionalFormatting>
  <conditionalFormatting sqref="M252">
    <cfRule type="cellIs" operator="equal" dxfId="741" priority="741">
      <formula>"Participar"</formula>
    </cfRule>
  </conditionalFormatting>
  <conditionalFormatting sqref="G253">
    <cfRule type="expression" dxfId="742" priority="742">
      <formula>INDIRECT(ADDRESS(ROW(),COLUMN())) = "Atrativo"</formula>
    </cfRule>
  </conditionalFormatting>
  <conditionalFormatting sqref="G253">
    <cfRule type="expression" dxfId="743" priority="743">
      <formula>INDIRECT(ADDRESS(ROW(),COLUMN())) = "Pouco atrativo"</formula>
    </cfRule>
  </conditionalFormatting>
  <conditionalFormatting sqref="M253">
    <cfRule type="cellIs" operator="equal" dxfId="744" priority="744">
      <formula>"Participar"</formula>
    </cfRule>
  </conditionalFormatting>
  <conditionalFormatting sqref="G254">
    <cfRule type="expression" dxfId="745" priority="745">
      <formula>INDIRECT(ADDRESS(ROW(),COLUMN())) = "Atrativo"</formula>
    </cfRule>
  </conditionalFormatting>
  <conditionalFormatting sqref="G254">
    <cfRule type="expression" dxfId="746" priority="746">
      <formula>INDIRECT(ADDRESS(ROW(),COLUMN())) = "Pouco atrativo"</formula>
    </cfRule>
  </conditionalFormatting>
  <conditionalFormatting sqref="M254">
    <cfRule type="cellIs" operator="equal" dxfId="747" priority="747">
      <formula>"Participar"</formula>
    </cfRule>
  </conditionalFormatting>
  <conditionalFormatting sqref="G255">
    <cfRule type="expression" dxfId="748" priority="748">
      <formula>INDIRECT(ADDRESS(ROW(),COLUMN())) = "Atrativo"</formula>
    </cfRule>
  </conditionalFormatting>
  <conditionalFormatting sqref="G255">
    <cfRule type="expression" dxfId="749" priority="749">
      <formula>INDIRECT(ADDRESS(ROW(),COLUMN())) = "Pouco atrativo"</formula>
    </cfRule>
  </conditionalFormatting>
  <conditionalFormatting sqref="M255">
    <cfRule type="cellIs" operator="equal" dxfId="750" priority="750">
      <formula>"Participar"</formula>
    </cfRule>
  </conditionalFormatting>
  <conditionalFormatting sqref="G256">
    <cfRule type="expression" dxfId="751" priority="751">
      <formula>INDIRECT(ADDRESS(ROW(),COLUMN())) = "Atrativo"</formula>
    </cfRule>
  </conditionalFormatting>
  <conditionalFormatting sqref="G256">
    <cfRule type="expression" dxfId="752" priority="752">
      <formula>INDIRECT(ADDRESS(ROW(),COLUMN())) = "Pouco atrativo"</formula>
    </cfRule>
  </conditionalFormatting>
  <conditionalFormatting sqref="M256">
    <cfRule type="cellIs" operator="equal" dxfId="753" priority="753">
      <formula>"Participar"</formula>
    </cfRule>
  </conditionalFormatting>
  <conditionalFormatting sqref="G257">
    <cfRule type="expression" dxfId="754" priority="754">
      <formula>INDIRECT(ADDRESS(ROW(),COLUMN())) = "Atrativo"</formula>
    </cfRule>
  </conditionalFormatting>
  <conditionalFormatting sqref="G257">
    <cfRule type="expression" dxfId="755" priority="755">
      <formula>INDIRECT(ADDRESS(ROW(),COLUMN())) = "Pouco atrativo"</formula>
    </cfRule>
  </conditionalFormatting>
  <conditionalFormatting sqref="M257">
    <cfRule type="cellIs" operator="equal" dxfId="756" priority="756">
      <formula>"Participar"</formula>
    </cfRule>
  </conditionalFormatting>
  <conditionalFormatting sqref="G258">
    <cfRule type="expression" dxfId="757" priority="757">
      <formula>INDIRECT(ADDRESS(ROW(),COLUMN())) = "Atrativo"</formula>
    </cfRule>
  </conditionalFormatting>
  <conditionalFormatting sqref="G258">
    <cfRule type="expression" dxfId="758" priority="758">
      <formula>INDIRECT(ADDRESS(ROW(),COLUMN())) = "Pouco atrativo"</formula>
    </cfRule>
  </conditionalFormatting>
  <conditionalFormatting sqref="M258">
    <cfRule type="cellIs" operator="equal" dxfId="759" priority="759">
      <formula>"Participar"</formula>
    </cfRule>
  </conditionalFormatting>
  <conditionalFormatting sqref="G259">
    <cfRule type="expression" dxfId="760" priority="760">
      <formula>INDIRECT(ADDRESS(ROW(),COLUMN())) = "Atrativo"</formula>
    </cfRule>
  </conditionalFormatting>
  <conditionalFormatting sqref="G259">
    <cfRule type="expression" dxfId="761" priority="761">
      <formula>INDIRECT(ADDRESS(ROW(),COLUMN())) = "Pouco atrativo"</formula>
    </cfRule>
  </conditionalFormatting>
  <conditionalFormatting sqref="M259">
    <cfRule type="cellIs" operator="equal" dxfId="762" priority="762">
      <formula>"Participar"</formula>
    </cfRule>
  </conditionalFormatting>
  <conditionalFormatting sqref="G260">
    <cfRule type="expression" dxfId="763" priority="763">
      <formula>INDIRECT(ADDRESS(ROW(),COLUMN())) = "Atrativo"</formula>
    </cfRule>
  </conditionalFormatting>
  <conditionalFormatting sqref="G260">
    <cfRule type="expression" dxfId="764" priority="764">
      <formula>INDIRECT(ADDRESS(ROW(),COLUMN())) = "Pouco atrativo"</formula>
    </cfRule>
  </conditionalFormatting>
  <conditionalFormatting sqref="M260">
    <cfRule type="cellIs" operator="equal" dxfId="765" priority="765">
      <formula>"Participar"</formula>
    </cfRule>
  </conditionalFormatting>
  <conditionalFormatting sqref="G261">
    <cfRule type="expression" dxfId="766" priority="766">
      <formula>INDIRECT(ADDRESS(ROW(),COLUMN())) = "Atrativo"</formula>
    </cfRule>
  </conditionalFormatting>
  <conditionalFormatting sqref="G261">
    <cfRule type="expression" dxfId="767" priority="767">
      <formula>INDIRECT(ADDRESS(ROW(),COLUMN())) = "Pouco atrativo"</formula>
    </cfRule>
  </conditionalFormatting>
  <conditionalFormatting sqref="M261">
    <cfRule type="cellIs" operator="equal" dxfId="768" priority="768">
      <formula>"Participar"</formula>
    </cfRule>
  </conditionalFormatting>
  <conditionalFormatting sqref="G262">
    <cfRule type="expression" dxfId="769" priority="769">
      <formula>INDIRECT(ADDRESS(ROW(),COLUMN())) = "Atrativo"</formula>
    </cfRule>
  </conditionalFormatting>
  <conditionalFormatting sqref="G262">
    <cfRule type="expression" dxfId="770" priority="770">
      <formula>INDIRECT(ADDRESS(ROW(),COLUMN())) = "Pouco atrativo"</formula>
    </cfRule>
  </conditionalFormatting>
  <conditionalFormatting sqref="M262">
    <cfRule type="cellIs" operator="equal" dxfId="771" priority="771">
      <formula>"Participar"</formula>
    </cfRule>
  </conditionalFormatting>
  <conditionalFormatting sqref="G263">
    <cfRule type="expression" dxfId="772" priority="772">
      <formula>INDIRECT(ADDRESS(ROW(),COLUMN())) = "Atrativo"</formula>
    </cfRule>
  </conditionalFormatting>
  <conditionalFormatting sqref="G263">
    <cfRule type="expression" dxfId="773" priority="773">
      <formula>INDIRECT(ADDRESS(ROW(),COLUMN())) = "Pouco atrativo"</formula>
    </cfRule>
  </conditionalFormatting>
  <conditionalFormatting sqref="M263">
    <cfRule type="cellIs" operator="equal" dxfId="774" priority="774">
      <formula>"Participar"</formula>
    </cfRule>
  </conditionalFormatting>
  <conditionalFormatting sqref="G264">
    <cfRule type="expression" dxfId="775" priority="775">
      <formula>INDIRECT(ADDRESS(ROW(),COLUMN())) = "Atrativo"</formula>
    </cfRule>
  </conditionalFormatting>
  <conditionalFormatting sqref="G264">
    <cfRule type="expression" dxfId="776" priority="776">
      <formula>INDIRECT(ADDRESS(ROW(),COLUMN())) = "Pouco atrativo"</formula>
    </cfRule>
  </conditionalFormatting>
  <conditionalFormatting sqref="M264">
    <cfRule type="cellIs" operator="equal" dxfId="777" priority="777">
      <formula>"Participar"</formula>
    </cfRule>
  </conditionalFormatting>
  <conditionalFormatting sqref="G265">
    <cfRule type="expression" dxfId="778" priority="778">
      <formula>INDIRECT(ADDRESS(ROW(),COLUMN())) = "Atrativo"</formula>
    </cfRule>
  </conditionalFormatting>
  <conditionalFormatting sqref="G265">
    <cfRule type="expression" dxfId="779" priority="779">
      <formula>INDIRECT(ADDRESS(ROW(),COLUMN())) = "Pouco atrativo"</formula>
    </cfRule>
  </conditionalFormatting>
  <conditionalFormatting sqref="M265">
    <cfRule type="cellIs" operator="equal" dxfId="780" priority="780">
      <formula>"Participar"</formula>
    </cfRule>
  </conditionalFormatting>
  <conditionalFormatting sqref="G266">
    <cfRule type="expression" dxfId="781" priority="781">
      <formula>INDIRECT(ADDRESS(ROW(),COLUMN())) = "Atrativo"</formula>
    </cfRule>
  </conditionalFormatting>
  <conditionalFormatting sqref="G266">
    <cfRule type="expression" dxfId="782" priority="782">
      <formula>INDIRECT(ADDRESS(ROW(),COLUMN())) = "Pouco atrativo"</formula>
    </cfRule>
  </conditionalFormatting>
  <conditionalFormatting sqref="M266">
    <cfRule type="cellIs" operator="equal" dxfId="783" priority="783">
      <formula>"Participar"</formula>
    </cfRule>
  </conditionalFormatting>
  <conditionalFormatting sqref="G267">
    <cfRule type="expression" dxfId="784" priority="784">
      <formula>INDIRECT(ADDRESS(ROW(),COLUMN())) = "Atrativo"</formula>
    </cfRule>
  </conditionalFormatting>
  <conditionalFormatting sqref="G267">
    <cfRule type="expression" dxfId="785" priority="785">
      <formula>INDIRECT(ADDRESS(ROW(),COLUMN())) = "Pouco atrativo"</formula>
    </cfRule>
  </conditionalFormatting>
  <conditionalFormatting sqref="M267">
    <cfRule type="cellIs" operator="equal" dxfId="786" priority="786">
      <formula>"Participar"</formula>
    </cfRule>
  </conditionalFormatting>
  <conditionalFormatting sqref="G268">
    <cfRule type="expression" dxfId="787" priority="787">
      <formula>INDIRECT(ADDRESS(ROW(),COLUMN())) = "Atrativo"</formula>
    </cfRule>
  </conditionalFormatting>
  <conditionalFormatting sqref="G268">
    <cfRule type="expression" dxfId="788" priority="788">
      <formula>INDIRECT(ADDRESS(ROW(),COLUMN())) = "Pouco atrativo"</formula>
    </cfRule>
  </conditionalFormatting>
  <conditionalFormatting sqref="M268">
    <cfRule type="cellIs" operator="equal" dxfId="789" priority="789">
      <formula>"Participar"</formula>
    </cfRule>
  </conditionalFormatting>
  <conditionalFormatting sqref="G269">
    <cfRule type="expression" dxfId="790" priority="790">
      <formula>INDIRECT(ADDRESS(ROW(),COLUMN())) = "Atrativo"</formula>
    </cfRule>
  </conditionalFormatting>
  <conditionalFormatting sqref="G269">
    <cfRule type="expression" dxfId="791" priority="791">
      <formula>INDIRECT(ADDRESS(ROW(),COLUMN())) = "Pouco atrativo"</formula>
    </cfRule>
  </conditionalFormatting>
  <conditionalFormatting sqref="M269">
    <cfRule type="cellIs" operator="equal" dxfId="792" priority="792">
      <formula>"Participar"</formula>
    </cfRule>
  </conditionalFormatting>
  <conditionalFormatting sqref="G270">
    <cfRule type="expression" dxfId="793" priority="793">
      <formula>INDIRECT(ADDRESS(ROW(),COLUMN())) = "Atrativo"</formula>
    </cfRule>
  </conditionalFormatting>
  <conditionalFormatting sqref="G270">
    <cfRule type="expression" dxfId="794" priority="794">
      <formula>INDIRECT(ADDRESS(ROW(),COLUMN())) = "Pouco atrativo"</formula>
    </cfRule>
  </conditionalFormatting>
  <conditionalFormatting sqref="M270">
    <cfRule type="cellIs" operator="equal" dxfId="795" priority="795">
      <formula>"Participar"</formula>
    </cfRule>
  </conditionalFormatting>
  <conditionalFormatting sqref="G271">
    <cfRule type="expression" dxfId="796" priority="796">
      <formula>INDIRECT(ADDRESS(ROW(),COLUMN())) = "Atrativo"</formula>
    </cfRule>
  </conditionalFormatting>
  <conditionalFormatting sqref="G271">
    <cfRule type="expression" dxfId="797" priority="797">
      <formula>INDIRECT(ADDRESS(ROW(),COLUMN())) = "Pouco atrativo"</formula>
    </cfRule>
  </conditionalFormatting>
  <conditionalFormatting sqref="M271">
    <cfRule type="cellIs" operator="equal" dxfId="798" priority="798">
      <formula>"Participar"</formula>
    </cfRule>
  </conditionalFormatting>
  <conditionalFormatting sqref="G272">
    <cfRule type="expression" dxfId="799" priority="799">
      <formula>INDIRECT(ADDRESS(ROW(),COLUMN())) = "Atrativo"</formula>
    </cfRule>
  </conditionalFormatting>
  <conditionalFormatting sqref="G272">
    <cfRule type="expression" dxfId="800" priority="800">
      <formula>INDIRECT(ADDRESS(ROW(),COLUMN())) = "Pouco atrativo"</formula>
    </cfRule>
  </conditionalFormatting>
  <conditionalFormatting sqref="M272">
    <cfRule type="cellIs" operator="equal" dxfId="801" priority="801">
      <formula>"Participar"</formula>
    </cfRule>
  </conditionalFormatting>
  <conditionalFormatting sqref="G273">
    <cfRule type="expression" dxfId="802" priority="802">
      <formula>INDIRECT(ADDRESS(ROW(),COLUMN())) = "Atrativo"</formula>
    </cfRule>
  </conditionalFormatting>
  <conditionalFormatting sqref="G273">
    <cfRule type="expression" dxfId="803" priority="803">
      <formula>INDIRECT(ADDRESS(ROW(),COLUMN())) = "Pouco atrativo"</formula>
    </cfRule>
  </conditionalFormatting>
  <conditionalFormatting sqref="M273">
    <cfRule type="cellIs" operator="equal" dxfId="804" priority="804">
      <formula>"Participar"</formula>
    </cfRule>
  </conditionalFormatting>
  <conditionalFormatting sqref="G274">
    <cfRule type="expression" dxfId="805" priority="805">
      <formula>INDIRECT(ADDRESS(ROW(),COLUMN())) = "Atrativo"</formula>
    </cfRule>
  </conditionalFormatting>
  <conditionalFormatting sqref="G274">
    <cfRule type="expression" dxfId="806" priority="806">
      <formula>INDIRECT(ADDRESS(ROW(),COLUMN())) = "Pouco atrativo"</formula>
    </cfRule>
  </conditionalFormatting>
  <conditionalFormatting sqref="M274">
    <cfRule type="cellIs" operator="equal" dxfId="807" priority="807">
      <formula>"Participar"</formula>
    </cfRule>
  </conditionalFormatting>
  <conditionalFormatting sqref="G275">
    <cfRule type="expression" dxfId="808" priority="808">
      <formula>INDIRECT(ADDRESS(ROW(),COLUMN())) = "Atrativo"</formula>
    </cfRule>
  </conditionalFormatting>
  <conditionalFormatting sqref="G275">
    <cfRule type="expression" dxfId="809" priority="809">
      <formula>INDIRECT(ADDRESS(ROW(),COLUMN())) = "Pouco atrativo"</formula>
    </cfRule>
  </conditionalFormatting>
  <conditionalFormatting sqref="M275">
    <cfRule type="cellIs" operator="equal" dxfId="810" priority="810">
      <formula>"Participar"</formula>
    </cfRule>
  </conditionalFormatting>
  <conditionalFormatting sqref="G276">
    <cfRule type="expression" dxfId="811" priority="811">
      <formula>INDIRECT(ADDRESS(ROW(),COLUMN())) = "Atrativo"</formula>
    </cfRule>
  </conditionalFormatting>
  <conditionalFormatting sqref="G276">
    <cfRule type="expression" dxfId="812" priority="812">
      <formula>INDIRECT(ADDRESS(ROW(),COLUMN())) = "Pouco atrativo"</formula>
    </cfRule>
  </conditionalFormatting>
  <conditionalFormatting sqref="M276">
    <cfRule type="cellIs" operator="equal" dxfId="813" priority="813">
      <formula>"Participar"</formula>
    </cfRule>
  </conditionalFormatting>
  <conditionalFormatting sqref="G277">
    <cfRule type="expression" dxfId="814" priority="814">
      <formula>INDIRECT(ADDRESS(ROW(),COLUMN())) = "Atrativo"</formula>
    </cfRule>
  </conditionalFormatting>
  <conditionalFormatting sqref="G277">
    <cfRule type="expression" dxfId="815" priority="815">
      <formula>INDIRECT(ADDRESS(ROW(),COLUMN())) = "Pouco atrativo"</formula>
    </cfRule>
  </conditionalFormatting>
  <conditionalFormatting sqref="M277">
    <cfRule type="cellIs" operator="equal" dxfId="816" priority="816">
      <formula>"Participar"</formula>
    </cfRule>
  </conditionalFormatting>
  <conditionalFormatting sqref="G278">
    <cfRule type="expression" dxfId="817" priority="817">
      <formula>INDIRECT(ADDRESS(ROW(),COLUMN())) = "Atrativo"</formula>
    </cfRule>
  </conditionalFormatting>
  <conditionalFormatting sqref="G278">
    <cfRule type="expression" dxfId="818" priority="818">
      <formula>INDIRECT(ADDRESS(ROW(),COLUMN())) = "Pouco atrativo"</formula>
    </cfRule>
  </conditionalFormatting>
  <conditionalFormatting sqref="M278">
    <cfRule type="cellIs" operator="equal" dxfId="819" priority="819">
      <formula>"Participar"</formula>
    </cfRule>
  </conditionalFormatting>
  <conditionalFormatting sqref="G279">
    <cfRule type="expression" dxfId="820" priority="820">
      <formula>INDIRECT(ADDRESS(ROW(),COLUMN())) = "Atrativo"</formula>
    </cfRule>
  </conditionalFormatting>
  <conditionalFormatting sqref="G279">
    <cfRule type="expression" dxfId="821" priority="821">
      <formula>INDIRECT(ADDRESS(ROW(),COLUMN())) = "Pouco atrativo"</formula>
    </cfRule>
  </conditionalFormatting>
  <conditionalFormatting sqref="M279">
    <cfRule type="cellIs" operator="equal" dxfId="822" priority="822">
      <formula>"Participar"</formula>
    </cfRule>
  </conditionalFormatting>
  <conditionalFormatting sqref="G280">
    <cfRule type="expression" dxfId="823" priority="823">
      <formula>INDIRECT(ADDRESS(ROW(),COLUMN())) = "Atrativo"</formula>
    </cfRule>
  </conditionalFormatting>
  <conditionalFormatting sqref="G280">
    <cfRule type="expression" dxfId="824" priority="824">
      <formula>INDIRECT(ADDRESS(ROW(),COLUMN())) = "Pouco atrativo"</formula>
    </cfRule>
  </conditionalFormatting>
  <conditionalFormatting sqref="M280">
    <cfRule type="cellIs" operator="equal" dxfId="825" priority="825">
      <formula>"Participar"</formula>
    </cfRule>
  </conditionalFormatting>
  <conditionalFormatting sqref="G281">
    <cfRule type="expression" dxfId="826" priority="826">
      <formula>INDIRECT(ADDRESS(ROW(),COLUMN())) = "Atrativo"</formula>
    </cfRule>
  </conditionalFormatting>
  <conditionalFormatting sqref="G281">
    <cfRule type="expression" dxfId="827" priority="827">
      <formula>INDIRECT(ADDRESS(ROW(),COLUMN())) = "Pouco atrativo"</formula>
    </cfRule>
  </conditionalFormatting>
  <conditionalFormatting sqref="M281">
    <cfRule type="cellIs" operator="equal" dxfId="828" priority="828">
      <formula>"Participar"</formula>
    </cfRule>
  </conditionalFormatting>
  <conditionalFormatting sqref="G282">
    <cfRule type="expression" dxfId="829" priority="829">
      <formula>INDIRECT(ADDRESS(ROW(),COLUMN())) = "Atrativo"</formula>
    </cfRule>
  </conditionalFormatting>
  <conditionalFormatting sqref="G282">
    <cfRule type="expression" dxfId="830" priority="830">
      <formula>INDIRECT(ADDRESS(ROW(),COLUMN())) = "Pouco atrativo"</formula>
    </cfRule>
  </conditionalFormatting>
  <conditionalFormatting sqref="M282">
    <cfRule type="cellIs" operator="equal" dxfId="831" priority="831">
      <formula>"Participar"</formula>
    </cfRule>
  </conditionalFormatting>
  <conditionalFormatting sqref="G283">
    <cfRule type="expression" dxfId="832" priority="832">
      <formula>INDIRECT(ADDRESS(ROW(),COLUMN())) = "Atrativo"</formula>
    </cfRule>
  </conditionalFormatting>
  <conditionalFormatting sqref="G283">
    <cfRule type="expression" dxfId="833" priority="833">
      <formula>INDIRECT(ADDRESS(ROW(),COLUMN())) = "Pouco atrativo"</formula>
    </cfRule>
  </conditionalFormatting>
  <conditionalFormatting sqref="M283">
    <cfRule type="cellIs" operator="equal" dxfId="834" priority="834">
      <formula>"Participar"</formula>
    </cfRule>
  </conditionalFormatting>
  <conditionalFormatting sqref="G284">
    <cfRule type="expression" dxfId="835" priority="835">
      <formula>INDIRECT(ADDRESS(ROW(),COLUMN())) = "Atrativo"</formula>
    </cfRule>
  </conditionalFormatting>
  <conditionalFormatting sqref="G284">
    <cfRule type="expression" dxfId="836" priority="836">
      <formula>INDIRECT(ADDRESS(ROW(),COLUMN())) = "Pouco atrativo"</formula>
    </cfRule>
  </conditionalFormatting>
  <conditionalFormatting sqref="M284">
    <cfRule type="cellIs" operator="equal" dxfId="837" priority="837">
      <formula>"Participar"</formula>
    </cfRule>
  </conditionalFormatting>
  <conditionalFormatting sqref="G285">
    <cfRule type="expression" dxfId="838" priority="838">
      <formula>INDIRECT(ADDRESS(ROW(),COLUMN())) = "Atrativo"</formula>
    </cfRule>
  </conditionalFormatting>
  <conditionalFormatting sqref="G285">
    <cfRule type="expression" dxfId="839" priority="839">
      <formula>INDIRECT(ADDRESS(ROW(),COLUMN())) = "Pouco atrativo"</formula>
    </cfRule>
  </conditionalFormatting>
  <conditionalFormatting sqref="M285">
    <cfRule type="cellIs" operator="equal" dxfId="840" priority="840">
      <formula>"Participar"</formula>
    </cfRule>
  </conditionalFormatting>
  <conditionalFormatting sqref="G286">
    <cfRule type="expression" dxfId="841" priority="841">
      <formula>INDIRECT(ADDRESS(ROW(),COLUMN())) = "Atrativo"</formula>
    </cfRule>
  </conditionalFormatting>
  <conditionalFormatting sqref="G286">
    <cfRule type="expression" dxfId="842" priority="842">
      <formula>INDIRECT(ADDRESS(ROW(),COLUMN())) = "Pouco atrativo"</formula>
    </cfRule>
  </conditionalFormatting>
  <conditionalFormatting sqref="M286">
    <cfRule type="cellIs" operator="equal" dxfId="843" priority="843">
      <formula>"Participar"</formula>
    </cfRule>
  </conditionalFormatting>
  <conditionalFormatting sqref="G287">
    <cfRule type="expression" dxfId="844" priority="844">
      <formula>INDIRECT(ADDRESS(ROW(),COLUMN())) = "Atrativo"</formula>
    </cfRule>
  </conditionalFormatting>
  <conditionalFormatting sqref="G287">
    <cfRule type="expression" dxfId="845" priority="845">
      <formula>INDIRECT(ADDRESS(ROW(),COLUMN())) = "Pouco atrativo"</formula>
    </cfRule>
  </conditionalFormatting>
  <conditionalFormatting sqref="M287">
    <cfRule type="cellIs" operator="equal" dxfId="846" priority="846">
      <formula>"Participar"</formula>
    </cfRule>
  </conditionalFormatting>
  <conditionalFormatting sqref="G288">
    <cfRule type="expression" dxfId="847" priority="847">
      <formula>INDIRECT(ADDRESS(ROW(),COLUMN())) = "Atrativo"</formula>
    </cfRule>
  </conditionalFormatting>
  <conditionalFormatting sqref="G288">
    <cfRule type="expression" dxfId="848" priority="848">
      <formula>INDIRECT(ADDRESS(ROW(),COLUMN())) = "Pouco atrativo"</formula>
    </cfRule>
  </conditionalFormatting>
  <conditionalFormatting sqref="M288">
    <cfRule type="cellIs" operator="equal" dxfId="849" priority="849">
      <formula>"Participar"</formula>
    </cfRule>
  </conditionalFormatting>
  <conditionalFormatting sqref="G289">
    <cfRule type="expression" dxfId="850" priority="850">
      <formula>INDIRECT(ADDRESS(ROW(),COLUMN())) = "Atrativo"</formula>
    </cfRule>
  </conditionalFormatting>
  <conditionalFormatting sqref="G289">
    <cfRule type="expression" dxfId="851" priority="851">
      <formula>INDIRECT(ADDRESS(ROW(),COLUMN())) = "Pouco atrativo"</formula>
    </cfRule>
  </conditionalFormatting>
  <conditionalFormatting sqref="M289">
    <cfRule type="cellIs" operator="equal" dxfId="852" priority="852">
      <formula>"Participar"</formula>
    </cfRule>
  </conditionalFormatting>
  <conditionalFormatting sqref="G290">
    <cfRule type="expression" dxfId="853" priority="853">
      <formula>INDIRECT(ADDRESS(ROW(),COLUMN())) = "Atrativo"</formula>
    </cfRule>
  </conditionalFormatting>
  <conditionalFormatting sqref="G290">
    <cfRule type="expression" dxfId="854" priority="854">
      <formula>INDIRECT(ADDRESS(ROW(),COLUMN())) = "Pouco atrativo"</formula>
    </cfRule>
  </conditionalFormatting>
  <conditionalFormatting sqref="M290">
    <cfRule type="cellIs" operator="equal" dxfId="855" priority="855">
      <formula>"Participar"</formula>
    </cfRule>
  </conditionalFormatting>
  <conditionalFormatting sqref="G291">
    <cfRule type="expression" dxfId="856" priority="856">
      <formula>INDIRECT(ADDRESS(ROW(),COLUMN())) = "Atrativo"</formula>
    </cfRule>
  </conditionalFormatting>
  <conditionalFormatting sqref="G291">
    <cfRule type="expression" dxfId="857" priority="857">
      <formula>INDIRECT(ADDRESS(ROW(),COLUMN())) = "Pouco atrativo"</formula>
    </cfRule>
  </conditionalFormatting>
  <conditionalFormatting sqref="M291">
    <cfRule type="cellIs" operator="equal" dxfId="858" priority="858">
      <formula>"Participar"</formula>
    </cfRule>
  </conditionalFormatting>
  <conditionalFormatting sqref="G292">
    <cfRule type="expression" dxfId="859" priority="859">
      <formula>INDIRECT(ADDRESS(ROW(),COLUMN())) = "Atrativo"</formula>
    </cfRule>
  </conditionalFormatting>
  <conditionalFormatting sqref="G292">
    <cfRule type="expression" dxfId="860" priority="860">
      <formula>INDIRECT(ADDRESS(ROW(),COLUMN())) = "Pouco atrativo"</formula>
    </cfRule>
  </conditionalFormatting>
  <conditionalFormatting sqref="M292">
    <cfRule type="cellIs" operator="equal" dxfId="861" priority="861">
      <formula>"Participar"</formula>
    </cfRule>
  </conditionalFormatting>
  <conditionalFormatting sqref="G293">
    <cfRule type="expression" dxfId="862" priority="862">
      <formula>INDIRECT(ADDRESS(ROW(),COLUMN())) = "Atrativo"</formula>
    </cfRule>
  </conditionalFormatting>
  <conditionalFormatting sqref="G293">
    <cfRule type="expression" dxfId="863" priority="863">
      <formula>INDIRECT(ADDRESS(ROW(),COLUMN())) = "Pouco atrativo"</formula>
    </cfRule>
  </conditionalFormatting>
  <conditionalFormatting sqref="M293">
    <cfRule type="cellIs" operator="equal" dxfId="864" priority="864">
      <formula>"Participar"</formula>
    </cfRule>
  </conditionalFormatting>
  <conditionalFormatting sqref="G294">
    <cfRule type="expression" dxfId="865" priority="865">
      <formula>INDIRECT(ADDRESS(ROW(),COLUMN())) = "Atrativo"</formula>
    </cfRule>
  </conditionalFormatting>
  <conditionalFormatting sqref="G294">
    <cfRule type="expression" dxfId="866" priority="866">
      <formula>INDIRECT(ADDRESS(ROW(),COLUMN())) = "Pouco atrativo"</formula>
    </cfRule>
  </conditionalFormatting>
  <conditionalFormatting sqref="M294">
    <cfRule type="cellIs" operator="equal" dxfId="867" priority="867">
      <formula>"Participar"</formula>
    </cfRule>
  </conditionalFormatting>
  <conditionalFormatting sqref="G295">
    <cfRule type="expression" dxfId="868" priority="868">
      <formula>INDIRECT(ADDRESS(ROW(),COLUMN())) = "Atrativo"</formula>
    </cfRule>
  </conditionalFormatting>
  <conditionalFormatting sqref="G295">
    <cfRule type="expression" dxfId="869" priority="869">
      <formula>INDIRECT(ADDRESS(ROW(),COLUMN())) = "Pouco atrativo"</formula>
    </cfRule>
  </conditionalFormatting>
  <conditionalFormatting sqref="M295">
    <cfRule type="cellIs" operator="equal" dxfId="870" priority="870">
      <formula>"Participar"</formula>
    </cfRule>
  </conditionalFormatting>
  <conditionalFormatting sqref="G296">
    <cfRule type="expression" dxfId="871" priority="871">
      <formula>INDIRECT(ADDRESS(ROW(),COLUMN())) = "Atrativo"</formula>
    </cfRule>
  </conditionalFormatting>
  <conditionalFormatting sqref="G296">
    <cfRule type="expression" dxfId="872" priority="872">
      <formula>INDIRECT(ADDRESS(ROW(),COLUMN())) = "Pouco atrativo"</formula>
    </cfRule>
  </conditionalFormatting>
  <conditionalFormatting sqref="M296">
    <cfRule type="cellIs" operator="equal" dxfId="873" priority="873">
      <formula>"Participar"</formula>
    </cfRule>
  </conditionalFormatting>
  <conditionalFormatting sqref="G297">
    <cfRule type="expression" dxfId="874" priority="874">
      <formula>INDIRECT(ADDRESS(ROW(),COLUMN())) = "Atrativo"</formula>
    </cfRule>
  </conditionalFormatting>
  <conditionalFormatting sqref="G297">
    <cfRule type="expression" dxfId="875" priority="875">
      <formula>INDIRECT(ADDRESS(ROW(),COLUMN())) = "Pouco atrativo"</formula>
    </cfRule>
  </conditionalFormatting>
  <conditionalFormatting sqref="M297">
    <cfRule type="cellIs" operator="equal" dxfId="876" priority="876">
      <formula>"Participar"</formula>
    </cfRule>
  </conditionalFormatting>
  <conditionalFormatting sqref="G298">
    <cfRule type="expression" dxfId="877" priority="877">
      <formula>INDIRECT(ADDRESS(ROW(),COLUMN())) = "Atrativo"</formula>
    </cfRule>
  </conditionalFormatting>
  <conditionalFormatting sqref="G298">
    <cfRule type="expression" dxfId="878" priority="878">
      <formula>INDIRECT(ADDRESS(ROW(),COLUMN())) = "Pouco atrativo"</formula>
    </cfRule>
  </conditionalFormatting>
  <conditionalFormatting sqref="M298">
    <cfRule type="cellIs" operator="equal" dxfId="879" priority="879">
      <formula>"Participar"</formula>
    </cfRule>
  </conditionalFormatting>
  <conditionalFormatting sqref="G299">
    <cfRule type="expression" dxfId="880" priority="880">
      <formula>INDIRECT(ADDRESS(ROW(),COLUMN())) = "Atrativo"</formula>
    </cfRule>
  </conditionalFormatting>
  <conditionalFormatting sqref="G299">
    <cfRule type="expression" dxfId="881" priority="881">
      <formula>INDIRECT(ADDRESS(ROW(),COLUMN())) = "Pouco atrativo"</formula>
    </cfRule>
  </conditionalFormatting>
  <conditionalFormatting sqref="M299">
    <cfRule type="cellIs" operator="equal" dxfId="882" priority="882">
      <formula>"Participar"</formula>
    </cfRule>
  </conditionalFormatting>
  <conditionalFormatting sqref="G300">
    <cfRule type="expression" dxfId="883" priority="883">
      <formula>INDIRECT(ADDRESS(ROW(),COLUMN())) = "Atrativo"</formula>
    </cfRule>
  </conditionalFormatting>
  <conditionalFormatting sqref="G300">
    <cfRule type="expression" dxfId="884" priority="884">
      <formula>INDIRECT(ADDRESS(ROW(),COLUMN())) = "Pouco atrativo"</formula>
    </cfRule>
  </conditionalFormatting>
  <conditionalFormatting sqref="M300">
    <cfRule type="cellIs" operator="equal" dxfId="885" priority="885">
      <formula>"Participar"</formula>
    </cfRule>
  </conditionalFormatting>
  <conditionalFormatting sqref="G301">
    <cfRule type="expression" dxfId="886" priority="886">
      <formula>INDIRECT(ADDRESS(ROW(),COLUMN())) = "Atrativo"</formula>
    </cfRule>
  </conditionalFormatting>
  <conditionalFormatting sqref="G301">
    <cfRule type="expression" dxfId="887" priority="887">
      <formula>INDIRECT(ADDRESS(ROW(),COLUMN())) = "Pouco atrativo"</formula>
    </cfRule>
  </conditionalFormatting>
  <conditionalFormatting sqref="M301">
    <cfRule type="cellIs" operator="equal" dxfId="888" priority="888">
      <formula>"Participar"</formula>
    </cfRule>
  </conditionalFormatting>
  <conditionalFormatting sqref="G302">
    <cfRule type="expression" dxfId="889" priority="889">
      <formula>INDIRECT(ADDRESS(ROW(),COLUMN())) = "Atrativo"</formula>
    </cfRule>
  </conditionalFormatting>
  <conditionalFormatting sqref="G302">
    <cfRule type="expression" dxfId="890" priority="890">
      <formula>INDIRECT(ADDRESS(ROW(),COLUMN())) = "Pouco atrativo"</formula>
    </cfRule>
  </conditionalFormatting>
  <conditionalFormatting sqref="M302">
    <cfRule type="cellIs" operator="equal" dxfId="891" priority="891">
      <formula>"Participar"</formula>
    </cfRule>
  </conditionalFormatting>
  <conditionalFormatting sqref="G303">
    <cfRule type="expression" dxfId="892" priority="892">
      <formula>INDIRECT(ADDRESS(ROW(),COLUMN())) = "Atrativo"</formula>
    </cfRule>
  </conditionalFormatting>
  <conditionalFormatting sqref="G303">
    <cfRule type="expression" dxfId="893" priority="893">
      <formula>INDIRECT(ADDRESS(ROW(),COLUMN())) = "Pouco atrativo"</formula>
    </cfRule>
  </conditionalFormatting>
  <conditionalFormatting sqref="M303">
    <cfRule type="cellIs" operator="equal" dxfId="894" priority="894">
      <formula>"Participar"</formula>
    </cfRule>
  </conditionalFormatting>
  <conditionalFormatting sqref="G304">
    <cfRule type="expression" dxfId="895" priority="895">
      <formula>INDIRECT(ADDRESS(ROW(),COLUMN())) = "Atrativo"</formula>
    </cfRule>
  </conditionalFormatting>
  <conditionalFormatting sqref="G304">
    <cfRule type="expression" dxfId="896" priority="896">
      <formula>INDIRECT(ADDRESS(ROW(),COLUMN())) = "Pouco atrativo"</formula>
    </cfRule>
  </conditionalFormatting>
  <conditionalFormatting sqref="M304">
    <cfRule type="cellIs" operator="equal" dxfId="897" priority="897">
      <formula>"Participar"</formula>
    </cfRule>
  </conditionalFormatting>
  <conditionalFormatting sqref="G305">
    <cfRule type="expression" dxfId="898" priority="898">
      <formula>INDIRECT(ADDRESS(ROW(),COLUMN())) = "Atrativo"</formula>
    </cfRule>
  </conditionalFormatting>
  <conditionalFormatting sqref="G305">
    <cfRule type="expression" dxfId="899" priority="899">
      <formula>INDIRECT(ADDRESS(ROW(),COLUMN())) = "Pouco atrativo"</formula>
    </cfRule>
  </conditionalFormatting>
  <conditionalFormatting sqref="M305">
    <cfRule type="cellIs" operator="equal" dxfId="900" priority="900">
      <formula>"Participar"</formula>
    </cfRule>
  </conditionalFormatting>
  <conditionalFormatting sqref="G306">
    <cfRule type="expression" dxfId="901" priority="901">
      <formula>INDIRECT(ADDRESS(ROW(),COLUMN())) = "Atrativo"</formula>
    </cfRule>
  </conditionalFormatting>
  <conditionalFormatting sqref="G306">
    <cfRule type="expression" dxfId="902" priority="902">
      <formula>INDIRECT(ADDRESS(ROW(),COLUMN())) = "Pouco atrativo"</formula>
    </cfRule>
  </conditionalFormatting>
  <conditionalFormatting sqref="M306">
    <cfRule type="cellIs" operator="equal" dxfId="903" priority="903">
      <formula>"Participar"</formula>
    </cfRule>
  </conditionalFormatting>
  <conditionalFormatting sqref="G307">
    <cfRule type="expression" dxfId="904" priority="904">
      <formula>INDIRECT(ADDRESS(ROW(),COLUMN())) = "Atrativo"</formula>
    </cfRule>
  </conditionalFormatting>
  <conditionalFormatting sqref="G307">
    <cfRule type="expression" dxfId="905" priority="905">
      <formula>INDIRECT(ADDRESS(ROW(),COLUMN())) = "Pouco atrativo"</formula>
    </cfRule>
  </conditionalFormatting>
  <conditionalFormatting sqref="M307">
    <cfRule type="cellIs" operator="equal" dxfId="906" priority="906">
      <formula>"Participar"</formula>
    </cfRule>
  </conditionalFormatting>
  <conditionalFormatting sqref="G308">
    <cfRule type="expression" dxfId="907" priority="907">
      <formula>INDIRECT(ADDRESS(ROW(),COLUMN())) = "Atrativo"</formula>
    </cfRule>
  </conditionalFormatting>
  <conditionalFormatting sqref="G308">
    <cfRule type="expression" dxfId="908" priority="908">
      <formula>INDIRECT(ADDRESS(ROW(),COLUMN())) = "Pouco atrativo"</formula>
    </cfRule>
  </conditionalFormatting>
  <conditionalFormatting sqref="M308">
    <cfRule type="cellIs" operator="equal" dxfId="909" priority="909">
      <formula>"Participar"</formula>
    </cfRule>
  </conditionalFormatting>
  <conditionalFormatting sqref="G309">
    <cfRule type="expression" dxfId="910" priority="910">
      <formula>INDIRECT(ADDRESS(ROW(),COLUMN())) = "Atrativo"</formula>
    </cfRule>
  </conditionalFormatting>
  <conditionalFormatting sqref="G309">
    <cfRule type="expression" dxfId="911" priority="911">
      <formula>INDIRECT(ADDRESS(ROW(),COLUMN())) = "Pouco atrativo"</formula>
    </cfRule>
  </conditionalFormatting>
  <conditionalFormatting sqref="M309">
    <cfRule type="cellIs" operator="equal" dxfId="912" priority="912">
      <formula>"Participar"</formula>
    </cfRule>
  </conditionalFormatting>
  <conditionalFormatting sqref="G310">
    <cfRule type="expression" dxfId="913" priority="913">
      <formula>INDIRECT(ADDRESS(ROW(),COLUMN())) = "Atrativo"</formula>
    </cfRule>
  </conditionalFormatting>
  <conditionalFormatting sqref="G310">
    <cfRule type="expression" dxfId="914" priority="914">
      <formula>INDIRECT(ADDRESS(ROW(),COLUMN())) = "Pouco atrativo"</formula>
    </cfRule>
  </conditionalFormatting>
  <conditionalFormatting sqref="M310">
    <cfRule type="cellIs" operator="equal" dxfId="915" priority="915">
      <formula>"Participar"</formula>
    </cfRule>
  </conditionalFormatting>
  <conditionalFormatting sqref="G311">
    <cfRule type="expression" dxfId="916" priority="916">
      <formula>INDIRECT(ADDRESS(ROW(),COLUMN())) = "Atrativo"</formula>
    </cfRule>
  </conditionalFormatting>
  <conditionalFormatting sqref="G311">
    <cfRule type="expression" dxfId="917" priority="917">
      <formula>INDIRECT(ADDRESS(ROW(),COLUMN())) = "Pouco atrativo"</formula>
    </cfRule>
  </conditionalFormatting>
  <conditionalFormatting sqref="M311">
    <cfRule type="cellIs" operator="equal" dxfId="918" priority="918">
      <formula>"Participar"</formula>
    </cfRule>
  </conditionalFormatting>
  <conditionalFormatting sqref="G312">
    <cfRule type="expression" dxfId="919" priority="919">
      <formula>INDIRECT(ADDRESS(ROW(),COLUMN())) = "Atrativo"</formula>
    </cfRule>
  </conditionalFormatting>
  <conditionalFormatting sqref="G312">
    <cfRule type="expression" dxfId="920" priority="920">
      <formula>INDIRECT(ADDRESS(ROW(),COLUMN())) = "Pouco atrativo"</formula>
    </cfRule>
  </conditionalFormatting>
  <conditionalFormatting sqref="M312">
    <cfRule type="cellIs" operator="equal" dxfId="921" priority="921">
      <formula>"Participar"</formula>
    </cfRule>
  </conditionalFormatting>
  <conditionalFormatting sqref="G313">
    <cfRule type="expression" dxfId="922" priority="922">
      <formula>INDIRECT(ADDRESS(ROW(),COLUMN())) = "Atrativo"</formula>
    </cfRule>
  </conditionalFormatting>
  <conditionalFormatting sqref="G313">
    <cfRule type="expression" dxfId="923" priority="923">
      <formula>INDIRECT(ADDRESS(ROW(),COLUMN())) = "Pouco atrativo"</formula>
    </cfRule>
  </conditionalFormatting>
  <conditionalFormatting sqref="M313">
    <cfRule type="cellIs" operator="equal" dxfId="924" priority="924">
      <formula>"Participar"</formula>
    </cfRule>
  </conditionalFormatting>
  <conditionalFormatting sqref="G314">
    <cfRule type="expression" dxfId="925" priority="925">
      <formula>INDIRECT(ADDRESS(ROW(),COLUMN())) = "Atrativo"</formula>
    </cfRule>
  </conditionalFormatting>
  <conditionalFormatting sqref="G314">
    <cfRule type="expression" dxfId="926" priority="926">
      <formula>INDIRECT(ADDRESS(ROW(),COLUMN())) = "Pouco atrativo"</formula>
    </cfRule>
  </conditionalFormatting>
  <conditionalFormatting sqref="M314">
    <cfRule type="cellIs" operator="equal" dxfId="927" priority="927">
      <formula>"Participar"</formula>
    </cfRule>
  </conditionalFormatting>
  <conditionalFormatting sqref="G315">
    <cfRule type="expression" dxfId="928" priority="928">
      <formula>INDIRECT(ADDRESS(ROW(),COLUMN())) = "Atrativo"</formula>
    </cfRule>
  </conditionalFormatting>
  <conditionalFormatting sqref="G315">
    <cfRule type="expression" dxfId="929" priority="929">
      <formula>INDIRECT(ADDRESS(ROW(),COLUMN())) = "Pouco atrativo"</formula>
    </cfRule>
  </conditionalFormatting>
  <conditionalFormatting sqref="M315">
    <cfRule type="cellIs" operator="equal" dxfId="930" priority="930">
      <formula>"Participar"</formula>
    </cfRule>
  </conditionalFormatting>
  <conditionalFormatting sqref="G316">
    <cfRule type="expression" dxfId="931" priority="931">
      <formula>INDIRECT(ADDRESS(ROW(),COLUMN())) = "Atrativo"</formula>
    </cfRule>
  </conditionalFormatting>
  <conditionalFormatting sqref="G316">
    <cfRule type="expression" dxfId="932" priority="932">
      <formula>INDIRECT(ADDRESS(ROW(),COLUMN())) = "Pouco atrativo"</formula>
    </cfRule>
  </conditionalFormatting>
  <conditionalFormatting sqref="M316">
    <cfRule type="cellIs" operator="equal" dxfId="933" priority="933">
      <formula>"Participar"</formula>
    </cfRule>
  </conditionalFormatting>
  <conditionalFormatting sqref="G317">
    <cfRule type="expression" dxfId="934" priority="934">
      <formula>INDIRECT(ADDRESS(ROW(),COLUMN())) = "Atrativo"</formula>
    </cfRule>
  </conditionalFormatting>
  <conditionalFormatting sqref="G317">
    <cfRule type="expression" dxfId="935" priority="935">
      <formula>INDIRECT(ADDRESS(ROW(),COLUMN())) = "Pouco atrativo"</formula>
    </cfRule>
  </conditionalFormatting>
  <conditionalFormatting sqref="M317">
    <cfRule type="cellIs" operator="equal" dxfId="936" priority="936">
      <formula>"Participar"</formula>
    </cfRule>
  </conditionalFormatting>
  <conditionalFormatting sqref="G318">
    <cfRule type="expression" dxfId="937" priority="937">
      <formula>INDIRECT(ADDRESS(ROW(),COLUMN())) = "Atrativo"</formula>
    </cfRule>
  </conditionalFormatting>
  <conditionalFormatting sqref="G318">
    <cfRule type="expression" dxfId="938" priority="938">
      <formula>INDIRECT(ADDRESS(ROW(),COLUMN())) = "Pouco atrativo"</formula>
    </cfRule>
  </conditionalFormatting>
  <conditionalFormatting sqref="M318">
    <cfRule type="cellIs" operator="equal" dxfId="939" priority="939">
      <formula>"Participar"</formula>
    </cfRule>
  </conditionalFormatting>
  <conditionalFormatting sqref="G319">
    <cfRule type="expression" dxfId="940" priority="940">
      <formula>INDIRECT(ADDRESS(ROW(),COLUMN())) = "Atrativo"</formula>
    </cfRule>
  </conditionalFormatting>
  <conditionalFormatting sqref="G319">
    <cfRule type="expression" dxfId="941" priority="941">
      <formula>INDIRECT(ADDRESS(ROW(),COLUMN())) = "Pouco atrativo"</formula>
    </cfRule>
  </conditionalFormatting>
  <conditionalFormatting sqref="M319">
    <cfRule type="cellIs" operator="equal" dxfId="942" priority="942">
      <formula>"Participar"</formula>
    </cfRule>
  </conditionalFormatting>
  <conditionalFormatting sqref="G320">
    <cfRule type="expression" dxfId="943" priority="943">
      <formula>INDIRECT(ADDRESS(ROW(),COLUMN())) = "Atrativo"</formula>
    </cfRule>
  </conditionalFormatting>
  <conditionalFormatting sqref="G320">
    <cfRule type="expression" dxfId="944" priority="944">
      <formula>INDIRECT(ADDRESS(ROW(),COLUMN())) = "Pouco atrativo"</formula>
    </cfRule>
  </conditionalFormatting>
  <conditionalFormatting sqref="M320">
    <cfRule type="cellIs" operator="equal" dxfId="945" priority="945">
      <formula>"Participar"</formula>
    </cfRule>
  </conditionalFormatting>
  <conditionalFormatting sqref="G321">
    <cfRule type="expression" dxfId="946" priority="946">
      <formula>INDIRECT(ADDRESS(ROW(),COLUMN())) = "Atrativo"</formula>
    </cfRule>
  </conditionalFormatting>
  <conditionalFormatting sqref="G321">
    <cfRule type="expression" dxfId="947" priority="947">
      <formula>INDIRECT(ADDRESS(ROW(),COLUMN())) = "Pouco atrativo"</formula>
    </cfRule>
  </conditionalFormatting>
  <conditionalFormatting sqref="M321">
    <cfRule type="cellIs" operator="equal" dxfId="948" priority="948">
      <formula>"Participar"</formula>
    </cfRule>
  </conditionalFormatting>
  <conditionalFormatting sqref="G322">
    <cfRule type="expression" dxfId="949" priority="949">
      <formula>INDIRECT(ADDRESS(ROW(),COLUMN())) = "Atrativo"</formula>
    </cfRule>
  </conditionalFormatting>
  <conditionalFormatting sqref="G322">
    <cfRule type="expression" dxfId="950" priority="950">
      <formula>INDIRECT(ADDRESS(ROW(),COLUMN())) = "Pouco atrativo"</formula>
    </cfRule>
  </conditionalFormatting>
  <conditionalFormatting sqref="M322">
    <cfRule type="cellIs" operator="equal" dxfId="951" priority="951">
      <formula>"Participar"</formula>
    </cfRule>
  </conditionalFormatting>
  <conditionalFormatting sqref="G323">
    <cfRule type="expression" dxfId="952" priority="952">
      <formula>INDIRECT(ADDRESS(ROW(),COLUMN())) = "Atrativo"</formula>
    </cfRule>
  </conditionalFormatting>
  <conditionalFormatting sqref="G323">
    <cfRule type="expression" dxfId="953" priority="953">
      <formula>INDIRECT(ADDRESS(ROW(),COLUMN())) = "Pouco atrativo"</formula>
    </cfRule>
  </conditionalFormatting>
  <conditionalFormatting sqref="M323">
    <cfRule type="cellIs" operator="equal" dxfId="954" priority="954">
      <formula>"Participar"</formula>
    </cfRule>
  </conditionalFormatting>
  <conditionalFormatting sqref="G324">
    <cfRule type="expression" dxfId="955" priority="955">
      <formula>INDIRECT(ADDRESS(ROW(),COLUMN())) = "Atrativo"</formula>
    </cfRule>
  </conditionalFormatting>
  <conditionalFormatting sqref="G324">
    <cfRule type="expression" dxfId="956" priority="956">
      <formula>INDIRECT(ADDRESS(ROW(),COLUMN())) = "Pouco atrativo"</formula>
    </cfRule>
  </conditionalFormatting>
  <conditionalFormatting sqref="M324">
    <cfRule type="cellIs" operator="equal" dxfId="957" priority="957">
      <formula>"Participar"</formula>
    </cfRule>
  </conditionalFormatting>
  <conditionalFormatting sqref="G325">
    <cfRule type="expression" dxfId="958" priority="958">
      <formula>INDIRECT(ADDRESS(ROW(),COLUMN())) = "Atrativo"</formula>
    </cfRule>
  </conditionalFormatting>
  <conditionalFormatting sqref="G325">
    <cfRule type="expression" dxfId="959" priority="959">
      <formula>INDIRECT(ADDRESS(ROW(),COLUMN())) = "Pouco atrativo"</formula>
    </cfRule>
  </conditionalFormatting>
  <conditionalFormatting sqref="M325">
    <cfRule type="cellIs" operator="equal" dxfId="960" priority="960">
      <formula>"Participar"</formula>
    </cfRule>
  </conditionalFormatting>
  <conditionalFormatting sqref="G326">
    <cfRule type="expression" dxfId="961" priority="961">
      <formula>INDIRECT(ADDRESS(ROW(),COLUMN())) = "Atrativo"</formula>
    </cfRule>
  </conditionalFormatting>
  <conditionalFormatting sqref="G326">
    <cfRule type="expression" dxfId="962" priority="962">
      <formula>INDIRECT(ADDRESS(ROW(),COLUMN())) = "Pouco atrativo"</formula>
    </cfRule>
  </conditionalFormatting>
  <conditionalFormatting sqref="M326">
    <cfRule type="cellIs" operator="equal" dxfId="963" priority="963">
      <formula>"Participar"</formula>
    </cfRule>
  </conditionalFormatting>
  <conditionalFormatting sqref="G327">
    <cfRule type="expression" dxfId="964" priority="964">
      <formula>INDIRECT(ADDRESS(ROW(),COLUMN())) = "Atrativo"</formula>
    </cfRule>
  </conditionalFormatting>
  <conditionalFormatting sqref="G327">
    <cfRule type="expression" dxfId="965" priority="965">
      <formula>INDIRECT(ADDRESS(ROW(),COLUMN())) = "Pouco atrativo"</formula>
    </cfRule>
  </conditionalFormatting>
  <conditionalFormatting sqref="M327">
    <cfRule type="cellIs" operator="equal" dxfId="966" priority="966">
      <formula>"Participar"</formula>
    </cfRule>
  </conditionalFormatting>
  <conditionalFormatting sqref="G328">
    <cfRule type="expression" dxfId="967" priority="967">
      <formula>INDIRECT(ADDRESS(ROW(),COLUMN())) = "Atrativo"</formula>
    </cfRule>
  </conditionalFormatting>
  <conditionalFormatting sqref="G328">
    <cfRule type="expression" dxfId="968" priority="968">
      <formula>INDIRECT(ADDRESS(ROW(),COLUMN())) = "Pouco atrativo"</formula>
    </cfRule>
  </conditionalFormatting>
  <conditionalFormatting sqref="M328">
    <cfRule type="cellIs" operator="equal" dxfId="969" priority="969">
      <formula>"Participar"</formula>
    </cfRule>
  </conditionalFormatting>
  <conditionalFormatting sqref="G329">
    <cfRule type="expression" dxfId="970" priority="970">
      <formula>INDIRECT(ADDRESS(ROW(),COLUMN())) = "Atrativo"</formula>
    </cfRule>
  </conditionalFormatting>
  <conditionalFormatting sqref="G329">
    <cfRule type="expression" dxfId="971" priority="971">
      <formula>INDIRECT(ADDRESS(ROW(),COLUMN())) = "Pouco atrativo"</formula>
    </cfRule>
  </conditionalFormatting>
  <conditionalFormatting sqref="M329">
    <cfRule type="cellIs" operator="equal" dxfId="972" priority="972">
      <formula>"Participar"</formula>
    </cfRule>
  </conditionalFormatting>
  <conditionalFormatting sqref="G330">
    <cfRule type="expression" dxfId="973" priority="973">
      <formula>INDIRECT(ADDRESS(ROW(),COLUMN())) = "Atrativo"</formula>
    </cfRule>
  </conditionalFormatting>
  <conditionalFormatting sqref="G330">
    <cfRule type="expression" dxfId="974" priority="974">
      <formula>INDIRECT(ADDRESS(ROW(),COLUMN())) = "Pouco atrativo"</formula>
    </cfRule>
  </conditionalFormatting>
  <conditionalFormatting sqref="M330">
    <cfRule type="cellIs" operator="equal" dxfId="975" priority="975">
      <formula>"Participar"</formula>
    </cfRule>
  </conditionalFormatting>
  <conditionalFormatting sqref="G331">
    <cfRule type="expression" dxfId="976" priority="976">
      <formula>INDIRECT(ADDRESS(ROW(),COLUMN())) = "Atrativo"</formula>
    </cfRule>
  </conditionalFormatting>
  <conditionalFormatting sqref="G331">
    <cfRule type="expression" dxfId="977" priority="977">
      <formula>INDIRECT(ADDRESS(ROW(),COLUMN())) = "Pouco atrativo"</formula>
    </cfRule>
  </conditionalFormatting>
  <conditionalFormatting sqref="M331">
    <cfRule type="cellIs" operator="equal" dxfId="978" priority="978">
      <formula>"Participar"</formula>
    </cfRule>
  </conditionalFormatting>
  <conditionalFormatting sqref="G332">
    <cfRule type="expression" dxfId="979" priority="979">
      <formula>INDIRECT(ADDRESS(ROW(),COLUMN())) = "Atrativo"</formula>
    </cfRule>
  </conditionalFormatting>
  <conditionalFormatting sqref="G332">
    <cfRule type="expression" dxfId="980" priority="980">
      <formula>INDIRECT(ADDRESS(ROW(),COLUMN())) = "Pouco atrativo"</formula>
    </cfRule>
  </conditionalFormatting>
  <conditionalFormatting sqref="M332">
    <cfRule type="cellIs" operator="equal" dxfId="981" priority="981">
      <formula>"Participar"</formula>
    </cfRule>
  </conditionalFormatting>
  <conditionalFormatting sqref="G333">
    <cfRule type="expression" dxfId="982" priority="982">
      <formula>INDIRECT(ADDRESS(ROW(),COLUMN())) = "Atrativo"</formula>
    </cfRule>
  </conditionalFormatting>
  <conditionalFormatting sqref="G333">
    <cfRule type="expression" dxfId="983" priority="983">
      <formula>INDIRECT(ADDRESS(ROW(),COLUMN())) = "Pouco atrativo"</formula>
    </cfRule>
  </conditionalFormatting>
  <conditionalFormatting sqref="M333">
    <cfRule type="cellIs" operator="equal" dxfId="984" priority="984">
      <formula>"Participar"</formula>
    </cfRule>
  </conditionalFormatting>
  <conditionalFormatting sqref="G334">
    <cfRule type="expression" dxfId="985" priority="985">
      <formula>INDIRECT(ADDRESS(ROW(),COLUMN())) = "Atrativo"</formula>
    </cfRule>
  </conditionalFormatting>
  <conditionalFormatting sqref="G334">
    <cfRule type="expression" dxfId="986" priority="986">
      <formula>INDIRECT(ADDRESS(ROW(),COLUMN())) = "Pouco atrativo"</formula>
    </cfRule>
  </conditionalFormatting>
  <conditionalFormatting sqref="M334">
    <cfRule type="cellIs" operator="equal" dxfId="987" priority="987">
      <formula>"Participar"</formula>
    </cfRule>
  </conditionalFormatting>
  <conditionalFormatting sqref="G335">
    <cfRule type="expression" dxfId="988" priority="988">
      <formula>INDIRECT(ADDRESS(ROW(),COLUMN())) = "Atrativo"</formula>
    </cfRule>
  </conditionalFormatting>
  <conditionalFormatting sqref="G335">
    <cfRule type="expression" dxfId="989" priority="989">
      <formula>INDIRECT(ADDRESS(ROW(),COLUMN())) = "Pouco atrativo"</formula>
    </cfRule>
  </conditionalFormatting>
  <conditionalFormatting sqref="M335">
    <cfRule type="cellIs" operator="equal" dxfId="990" priority="990">
      <formula>"Participar"</formula>
    </cfRule>
  </conditionalFormatting>
  <conditionalFormatting sqref="G336">
    <cfRule type="expression" dxfId="991" priority="991">
      <formula>INDIRECT(ADDRESS(ROW(),COLUMN())) = "Atrativo"</formula>
    </cfRule>
  </conditionalFormatting>
  <conditionalFormatting sqref="G336">
    <cfRule type="expression" dxfId="992" priority="992">
      <formula>INDIRECT(ADDRESS(ROW(),COLUMN())) = "Pouco atrativo"</formula>
    </cfRule>
  </conditionalFormatting>
  <conditionalFormatting sqref="M336">
    <cfRule type="cellIs" operator="equal" dxfId="993" priority="993">
      <formula>"Participar"</formula>
    </cfRule>
  </conditionalFormatting>
  <conditionalFormatting sqref="G337">
    <cfRule type="expression" dxfId="994" priority="994">
      <formula>INDIRECT(ADDRESS(ROW(),COLUMN())) = "Atrativo"</formula>
    </cfRule>
  </conditionalFormatting>
  <conditionalFormatting sqref="G337">
    <cfRule type="expression" dxfId="995" priority="995">
      <formula>INDIRECT(ADDRESS(ROW(),COLUMN())) = "Pouco atrativo"</formula>
    </cfRule>
  </conditionalFormatting>
  <conditionalFormatting sqref="M337">
    <cfRule type="cellIs" operator="equal" dxfId="996" priority="996">
      <formula>"Participar"</formula>
    </cfRule>
  </conditionalFormatting>
  <conditionalFormatting sqref="G338">
    <cfRule type="expression" dxfId="997" priority="997">
      <formula>INDIRECT(ADDRESS(ROW(),COLUMN())) = "Atrativo"</formula>
    </cfRule>
  </conditionalFormatting>
  <conditionalFormatting sqref="G338">
    <cfRule type="expression" dxfId="998" priority="998">
      <formula>INDIRECT(ADDRESS(ROW(),COLUMN())) = "Pouco atrativo"</formula>
    </cfRule>
  </conditionalFormatting>
  <conditionalFormatting sqref="M338">
    <cfRule type="cellIs" operator="equal" dxfId="999" priority="999">
      <formula>"Participar"</formula>
    </cfRule>
  </conditionalFormatting>
  <conditionalFormatting sqref="G339">
    <cfRule type="expression" dxfId="1000" priority="1000">
      <formula>INDIRECT(ADDRESS(ROW(),COLUMN())) = "Atrativo"</formula>
    </cfRule>
  </conditionalFormatting>
  <conditionalFormatting sqref="G339">
    <cfRule type="expression" dxfId="1001" priority="1001">
      <formula>INDIRECT(ADDRESS(ROW(),COLUMN())) = "Pouco atrativo"</formula>
    </cfRule>
  </conditionalFormatting>
  <conditionalFormatting sqref="M339">
    <cfRule type="cellIs" operator="equal" dxfId="1002" priority="1002">
      <formula>"Participar"</formula>
    </cfRule>
  </conditionalFormatting>
  <conditionalFormatting sqref="G340">
    <cfRule type="expression" dxfId="1003" priority="1003">
      <formula>INDIRECT(ADDRESS(ROW(),COLUMN())) = "Atrativo"</formula>
    </cfRule>
  </conditionalFormatting>
  <conditionalFormatting sqref="G340">
    <cfRule type="expression" dxfId="1004" priority="1004">
      <formula>INDIRECT(ADDRESS(ROW(),COLUMN())) = "Pouco atrativo"</formula>
    </cfRule>
  </conditionalFormatting>
  <conditionalFormatting sqref="M340">
    <cfRule type="cellIs" operator="equal" dxfId="1005" priority="1005">
      <formula>"Participar"</formula>
    </cfRule>
  </conditionalFormatting>
  <conditionalFormatting sqref="G341">
    <cfRule type="expression" dxfId="1006" priority="1006">
      <formula>INDIRECT(ADDRESS(ROW(),COLUMN())) = "Atrativo"</formula>
    </cfRule>
  </conditionalFormatting>
  <conditionalFormatting sqref="G341">
    <cfRule type="expression" dxfId="1007" priority="1007">
      <formula>INDIRECT(ADDRESS(ROW(),COLUMN())) = "Pouco atrativo"</formula>
    </cfRule>
  </conditionalFormatting>
  <conditionalFormatting sqref="M341">
    <cfRule type="cellIs" operator="equal" dxfId="1008" priority="1008">
      <formula>"Participar"</formula>
    </cfRule>
  </conditionalFormatting>
  <conditionalFormatting sqref="G342">
    <cfRule type="expression" dxfId="1009" priority="1009">
      <formula>INDIRECT(ADDRESS(ROW(),COLUMN())) = "Atrativo"</formula>
    </cfRule>
  </conditionalFormatting>
  <conditionalFormatting sqref="G342">
    <cfRule type="expression" dxfId="1010" priority="1010">
      <formula>INDIRECT(ADDRESS(ROW(),COLUMN())) = "Pouco atrativo"</formula>
    </cfRule>
  </conditionalFormatting>
  <conditionalFormatting sqref="M342">
    <cfRule type="cellIs" operator="equal" dxfId="1011" priority="1011">
      <formula>"Participar"</formula>
    </cfRule>
  </conditionalFormatting>
  <conditionalFormatting sqref="G343">
    <cfRule type="expression" dxfId="1012" priority="1012">
      <formula>INDIRECT(ADDRESS(ROW(),COLUMN())) = "Atrativo"</formula>
    </cfRule>
  </conditionalFormatting>
  <conditionalFormatting sqref="G343">
    <cfRule type="expression" dxfId="1013" priority="1013">
      <formula>INDIRECT(ADDRESS(ROW(),COLUMN())) = "Pouco atrativo"</formula>
    </cfRule>
  </conditionalFormatting>
  <conditionalFormatting sqref="M343">
    <cfRule type="cellIs" operator="equal" dxfId="1014" priority="1014">
      <formula>"Participar"</formula>
    </cfRule>
  </conditionalFormatting>
  <conditionalFormatting sqref="G344">
    <cfRule type="expression" dxfId="1015" priority="1015">
      <formula>INDIRECT(ADDRESS(ROW(),COLUMN())) = "Atrativo"</formula>
    </cfRule>
  </conditionalFormatting>
  <conditionalFormatting sqref="G344">
    <cfRule type="expression" dxfId="1016" priority="1016">
      <formula>INDIRECT(ADDRESS(ROW(),COLUMN())) = "Pouco atrativo"</formula>
    </cfRule>
  </conditionalFormatting>
  <conditionalFormatting sqref="M344">
    <cfRule type="cellIs" operator="equal" dxfId="1017" priority="1017">
      <formula>"Participar"</formula>
    </cfRule>
  </conditionalFormatting>
  <conditionalFormatting sqref="G345">
    <cfRule type="expression" dxfId="1018" priority="1018">
      <formula>INDIRECT(ADDRESS(ROW(),COLUMN())) = "Atrativo"</formula>
    </cfRule>
  </conditionalFormatting>
  <conditionalFormatting sqref="G345">
    <cfRule type="expression" dxfId="1019" priority="1019">
      <formula>INDIRECT(ADDRESS(ROW(),COLUMN())) = "Pouco atrativo"</formula>
    </cfRule>
  </conditionalFormatting>
  <conditionalFormatting sqref="M345">
    <cfRule type="cellIs" operator="equal" dxfId="1020" priority="1020">
      <formula>"Participar"</formula>
    </cfRule>
  </conditionalFormatting>
  <conditionalFormatting sqref="G346">
    <cfRule type="expression" dxfId="1021" priority="1021">
      <formula>INDIRECT(ADDRESS(ROW(),COLUMN())) = "Atrativo"</formula>
    </cfRule>
  </conditionalFormatting>
  <conditionalFormatting sqref="G346">
    <cfRule type="expression" dxfId="1022" priority="1022">
      <formula>INDIRECT(ADDRESS(ROW(),COLUMN())) = "Pouco atrativo"</formula>
    </cfRule>
  </conditionalFormatting>
  <conditionalFormatting sqref="M346">
    <cfRule type="cellIs" operator="equal" dxfId="1023" priority="1023">
      <formula>"Participar"</formula>
    </cfRule>
  </conditionalFormatting>
  <conditionalFormatting sqref="G347">
    <cfRule type="expression" dxfId="1024" priority="1024">
      <formula>INDIRECT(ADDRESS(ROW(),COLUMN())) = "Atrativo"</formula>
    </cfRule>
  </conditionalFormatting>
  <conditionalFormatting sqref="G347">
    <cfRule type="expression" dxfId="1025" priority="1025">
      <formula>INDIRECT(ADDRESS(ROW(),COLUMN())) = "Pouco atrativo"</formula>
    </cfRule>
  </conditionalFormatting>
  <conditionalFormatting sqref="M347">
    <cfRule type="cellIs" operator="equal" dxfId="1026" priority="1026">
      <formula>"Participar"</formula>
    </cfRule>
  </conditionalFormatting>
  <conditionalFormatting sqref="G348">
    <cfRule type="expression" dxfId="1027" priority="1027">
      <formula>INDIRECT(ADDRESS(ROW(),COLUMN())) = "Atrativo"</formula>
    </cfRule>
  </conditionalFormatting>
  <conditionalFormatting sqref="G348">
    <cfRule type="expression" dxfId="1028" priority="1028">
      <formula>INDIRECT(ADDRESS(ROW(),COLUMN())) = "Pouco atrativo"</formula>
    </cfRule>
  </conditionalFormatting>
  <conditionalFormatting sqref="M348">
    <cfRule type="cellIs" operator="equal" dxfId="1029" priority="1029">
      <formula>"Participar"</formula>
    </cfRule>
  </conditionalFormatting>
  <conditionalFormatting sqref="G349">
    <cfRule type="expression" dxfId="1030" priority="1030">
      <formula>INDIRECT(ADDRESS(ROW(),COLUMN())) = "Atrativo"</formula>
    </cfRule>
  </conditionalFormatting>
  <conditionalFormatting sqref="G349">
    <cfRule type="expression" dxfId="1031" priority="1031">
      <formula>INDIRECT(ADDRESS(ROW(),COLUMN())) = "Pouco atrativo"</formula>
    </cfRule>
  </conditionalFormatting>
  <conditionalFormatting sqref="M349">
    <cfRule type="cellIs" operator="equal" dxfId="1032" priority="1032">
      <formula>"Participar"</formula>
    </cfRule>
  </conditionalFormatting>
  <conditionalFormatting sqref="G350">
    <cfRule type="expression" dxfId="1033" priority="1033">
      <formula>INDIRECT(ADDRESS(ROW(),COLUMN())) = "Atrativo"</formula>
    </cfRule>
  </conditionalFormatting>
  <conditionalFormatting sqref="G350">
    <cfRule type="expression" dxfId="1034" priority="1034">
      <formula>INDIRECT(ADDRESS(ROW(),COLUMN())) = "Pouco atrativo"</formula>
    </cfRule>
  </conditionalFormatting>
  <conditionalFormatting sqref="M350">
    <cfRule type="cellIs" operator="equal" dxfId="1035" priority="1035">
      <formula>"Participar"</formula>
    </cfRule>
  </conditionalFormatting>
  <conditionalFormatting sqref="G351">
    <cfRule type="expression" dxfId="1036" priority="1036">
      <formula>INDIRECT(ADDRESS(ROW(),COLUMN())) = "Atrativo"</formula>
    </cfRule>
  </conditionalFormatting>
  <conditionalFormatting sqref="G351">
    <cfRule type="expression" dxfId="1037" priority="1037">
      <formula>INDIRECT(ADDRESS(ROW(),COLUMN())) = "Pouco atrativo"</formula>
    </cfRule>
  </conditionalFormatting>
  <conditionalFormatting sqref="M351">
    <cfRule type="cellIs" operator="equal" dxfId="1038" priority="1038">
      <formula>"Participar"</formula>
    </cfRule>
  </conditionalFormatting>
  <conditionalFormatting sqref="G352">
    <cfRule type="expression" dxfId="1039" priority="1039">
      <formula>INDIRECT(ADDRESS(ROW(),COLUMN())) = "Atrativo"</formula>
    </cfRule>
  </conditionalFormatting>
  <conditionalFormatting sqref="G352">
    <cfRule type="expression" dxfId="1040" priority="1040">
      <formula>INDIRECT(ADDRESS(ROW(),COLUMN())) = "Pouco atrativo"</formula>
    </cfRule>
  </conditionalFormatting>
  <conditionalFormatting sqref="M352">
    <cfRule type="cellIs" operator="equal" dxfId="1041" priority="1041">
      <formula>"Participar"</formula>
    </cfRule>
  </conditionalFormatting>
  <conditionalFormatting sqref="G353">
    <cfRule type="expression" dxfId="1042" priority="1042">
      <formula>INDIRECT(ADDRESS(ROW(),COLUMN())) = "Atrativo"</formula>
    </cfRule>
  </conditionalFormatting>
  <conditionalFormatting sqref="G353">
    <cfRule type="expression" dxfId="1043" priority="1043">
      <formula>INDIRECT(ADDRESS(ROW(),COLUMN())) = "Pouco atrativo"</formula>
    </cfRule>
  </conditionalFormatting>
  <conditionalFormatting sqref="M353">
    <cfRule type="cellIs" operator="equal" dxfId="1044" priority="1044">
      <formula>"Participar"</formula>
    </cfRule>
  </conditionalFormatting>
  <conditionalFormatting sqref="G354">
    <cfRule type="expression" dxfId="1045" priority="1045">
      <formula>INDIRECT(ADDRESS(ROW(),COLUMN())) = "Atrativo"</formula>
    </cfRule>
  </conditionalFormatting>
  <conditionalFormatting sqref="G354">
    <cfRule type="expression" dxfId="1046" priority="1046">
      <formula>INDIRECT(ADDRESS(ROW(),COLUMN())) = "Pouco atrativo"</formula>
    </cfRule>
  </conditionalFormatting>
  <conditionalFormatting sqref="M354">
    <cfRule type="cellIs" operator="equal" dxfId="1047" priority="1047">
      <formula>"Participar"</formula>
    </cfRule>
  </conditionalFormatting>
  <conditionalFormatting sqref="G355">
    <cfRule type="expression" dxfId="1048" priority="1048">
      <formula>INDIRECT(ADDRESS(ROW(),COLUMN())) = "Atrativo"</formula>
    </cfRule>
  </conditionalFormatting>
  <conditionalFormatting sqref="G355">
    <cfRule type="expression" dxfId="1049" priority="1049">
      <formula>INDIRECT(ADDRESS(ROW(),COLUMN())) = "Pouco atrativo"</formula>
    </cfRule>
  </conditionalFormatting>
  <conditionalFormatting sqref="M355">
    <cfRule type="cellIs" operator="equal" dxfId="1050" priority="1050">
      <formula>"Participar"</formula>
    </cfRule>
  </conditionalFormatting>
  <conditionalFormatting sqref="G356">
    <cfRule type="expression" dxfId="1051" priority="1051">
      <formula>INDIRECT(ADDRESS(ROW(),COLUMN())) = "Atrativo"</formula>
    </cfRule>
  </conditionalFormatting>
  <conditionalFormatting sqref="G356">
    <cfRule type="expression" dxfId="1052" priority="1052">
      <formula>INDIRECT(ADDRESS(ROW(),COLUMN())) = "Pouco atrativo"</formula>
    </cfRule>
  </conditionalFormatting>
  <conditionalFormatting sqref="M356">
    <cfRule type="cellIs" operator="equal" dxfId="1053" priority="1053">
      <formula>"Participar"</formula>
    </cfRule>
  </conditionalFormatting>
  <conditionalFormatting sqref="G357">
    <cfRule type="expression" dxfId="1054" priority="1054">
      <formula>INDIRECT(ADDRESS(ROW(),COLUMN())) = "Atrativo"</formula>
    </cfRule>
  </conditionalFormatting>
  <conditionalFormatting sqref="G357">
    <cfRule type="expression" dxfId="1055" priority="1055">
      <formula>INDIRECT(ADDRESS(ROW(),COLUMN())) = "Pouco atrativo"</formula>
    </cfRule>
  </conditionalFormatting>
  <conditionalFormatting sqref="M357">
    <cfRule type="cellIs" operator="equal" dxfId="1056" priority="1056">
      <formula>"Participar"</formula>
    </cfRule>
  </conditionalFormatting>
  <conditionalFormatting sqref="G358">
    <cfRule type="expression" dxfId="1057" priority="1057">
      <formula>INDIRECT(ADDRESS(ROW(),COLUMN())) = "Atrativo"</formula>
    </cfRule>
  </conditionalFormatting>
  <conditionalFormatting sqref="G358">
    <cfRule type="expression" dxfId="1058" priority="1058">
      <formula>INDIRECT(ADDRESS(ROW(),COLUMN())) = "Pouco atrativo"</formula>
    </cfRule>
  </conditionalFormatting>
  <conditionalFormatting sqref="M358">
    <cfRule type="cellIs" operator="equal" dxfId="1059" priority="1059">
      <formula>"Participar"</formula>
    </cfRule>
  </conditionalFormatting>
  <conditionalFormatting sqref="G359">
    <cfRule type="expression" dxfId="1060" priority="1060">
      <formula>INDIRECT(ADDRESS(ROW(),COLUMN())) = "Atrativo"</formula>
    </cfRule>
  </conditionalFormatting>
  <conditionalFormatting sqref="G359">
    <cfRule type="expression" dxfId="1061" priority="1061">
      <formula>INDIRECT(ADDRESS(ROW(),COLUMN())) = "Pouco atrativo"</formula>
    </cfRule>
  </conditionalFormatting>
  <conditionalFormatting sqref="M359">
    <cfRule type="cellIs" operator="equal" dxfId="1062" priority="1062">
      <formula>"Participar"</formula>
    </cfRule>
  </conditionalFormatting>
  <conditionalFormatting sqref="G360">
    <cfRule type="expression" dxfId="1063" priority="1063">
      <formula>INDIRECT(ADDRESS(ROW(),COLUMN())) = "Atrativo"</formula>
    </cfRule>
  </conditionalFormatting>
  <conditionalFormatting sqref="G360">
    <cfRule type="expression" dxfId="1064" priority="1064">
      <formula>INDIRECT(ADDRESS(ROW(),COLUMN())) = "Pouco atrativo"</formula>
    </cfRule>
  </conditionalFormatting>
  <conditionalFormatting sqref="M360">
    <cfRule type="cellIs" operator="equal" dxfId="1065" priority="1065">
      <formula>"Participar"</formula>
    </cfRule>
  </conditionalFormatting>
  <conditionalFormatting sqref="G361">
    <cfRule type="expression" dxfId="1066" priority="1066">
      <formula>INDIRECT(ADDRESS(ROW(),COLUMN())) = "Atrativo"</formula>
    </cfRule>
  </conditionalFormatting>
  <conditionalFormatting sqref="G361">
    <cfRule type="expression" dxfId="1067" priority="1067">
      <formula>INDIRECT(ADDRESS(ROW(),COLUMN())) = "Pouco atrativo"</formula>
    </cfRule>
  </conditionalFormatting>
  <conditionalFormatting sqref="M361">
    <cfRule type="cellIs" operator="equal" dxfId="1068" priority="1068">
      <formula>"Participar"</formula>
    </cfRule>
  </conditionalFormatting>
  <conditionalFormatting sqref="G362">
    <cfRule type="expression" dxfId="1069" priority="1069">
      <formula>INDIRECT(ADDRESS(ROW(),COLUMN())) = "Atrativo"</formula>
    </cfRule>
  </conditionalFormatting>
  <conditionalFormatting sqref="G362">
    <cfRule type="expression" dxfId="1070" priority="1070">
      <formula>INDIRECT(ADDRESS(ROW(),COLUMN())) = "Pouco atrativo"</formula>
    </cfRule>
  </conditionalFormatting>
  <conditionalFormatting sqref="M362">
    <cfRule type="cellIs" operator="equal" dxfId="1071" priority="1071">
      <formula>"Participar"</formula>
    </cfRule>
  </conditionalFormatting>
  <conditionalFormatting sqref="G363">
    <cfRule type="expression" dxfId="1072" priority="1072">
      <formula>INDIRECT(ADDRESS(ROW(),COLUMN())) = "Atrativo"</formula>
    </cfRule>
  </conditionalFormatting>
  <conditionalFormatting sqref="G363">
    <cfRule type="expression" dxfId="1073" priority="1073">
      <formula>INDIRECT(ADDRESS(ROW(),COLUMN())) = "Pouco atrativo"</formula>
    </cfRule>
  </conditionalFormatting>
  <conditionalFormatting sqref="M363">
    <cfRule type="cellIs" operator="equal" dxfId="1074" priority="1074">
      <formula>"Participar"</formula>
    </cfRule>
  </conditionalFormatting>
  <conditionalFormatting sqref="G364">
    <cfRule type="expression" dxfId="1075" priority="1075">
      <formula>INDIRECT(ADDRESS(ROW(),COLUMN())) = "Atrativo"</formula>
    </cfRule>
  </conditionalFormatting>
  <conditionalFormatting sqref="G364">
    <cfRule type="expression" dxfId="1076" priority="1076">
      <formula>INDIRECT(ADDRESS(ROW(),COLUMN())) = "Pouco atrativo"</formula>
    </cfRule>
  </conditionalFormatting>
  <conditionalFormatting sqref="M364">
    <cfRule type="cellIs" operator="equal" dxfId="1077" priority="1077">
      <formula>"Participar"</formula>
    </cfRule>
  </conditionalFormatting>
  <conditionalFormatting sqref="G365">
    <cfRule type="expression" dxfId="1078" priority="1078">
      <formula>INDIRECT(ADDRESS(ROW(),COLUMN())) = "Atrativo"</formula>
    </cfRule>
  </conditionalFormatting>
  <conditionalFormatting sqref="G365">
    <cfRule type="expression" dxfId="1079" priority="1079">
      <formula>INDIRECT(ADDRESS(ROW(),COLUMN())) = "Pouco atrativo"</formula>
    </cfRule>
  </conditionalFormatting>
  <conditionalFormatting sqref="M365">
    <cfRule type="cellIs" operator="equal" dxfId="1080" priority="1080">
      <formula>"Participar"</formula>
    </cfRule>
  </conditionalFormatting>
  <conditionalFormatting sqref="G366">
    <cfRule type="expression" dxfId="1081" priority="1081">
      <formula>INDIRECT(ADDRESS(ROW(),COLUMN())) = "Atrativo"</formula>
    </cfRule>
  </conditionalFormatting>
  <conditionalFormatting sqref="G366">
    <cfRule type="expression" dxfId="1082" priority="1082">
      <formula>INDIRECT(ADDRESS(ROW(),COLUMN())) = "Pouco atrativo"</formula>
    </cfRule>
  </conditionalFormatting>
  <conditionalFormatting sqref="M366">
    <cfRule type="cellIs" operator="equal" dxfId="1083" priority="1083">
      <formula>"Participar"</formula>
    </cfRule>
  </conditionalFormatting>
  <conditionalFormatting sqref="G367">
    <cfRule type="expression" dxfId="1084" priority="1084">
      <formula>INDIRECT(ADDRESS(ROW(),COLUMN())) = "Atrativo"</formula>
    </cfRule>
  </conditionalFormatting>
  <conditionalFormatting sqref="G367">
    <cfRule type="expression" dxfId="1085" priority="1085">
      <formula>INDIRECT(ADDRESS(ROW(),COLUMN())) = "Pouco atrativo"</formula>
    </cfRule>
  </conditionalFormatting>
  <conditionalFormatting sqref="M367">
    <cfRule type="cellIs" operator="equal" dxfId="1086" priority="1086">
      <formula>"Participar"</formula>
    </cfRule>
  </conditionalFormatting>
  <conditionalFormatting sqref="G368">
    <cfRule type="expression" dxfId="1087" priority="1087">
      <formula>INDIRECT(ADDRESS(ROW(),COLUMN())) = "Atrativo"</formula>
    </cfRule>
  </conditionalFormatting>
  <conditionalFormatting sqref="G368">
    <cfRule type="expression" dxfId="1088" priority="1088">
      <formula>INDIRECT(ADDRESS(ROW(),COLUMN())) = "Pouco atrativo"</formula>
    </cfRule>
  </conditionalFormatting>
  <conditionalFormatting sqref="M368">
    <cfRule type="cellIs" operator="equal" dxfId="1089" priority="1089">
      <formula>"Participar"</formula>
    </cfRule>
  </conditionalFormatting>
  <conditionalFormatting sqref="G369">
    <cfRule type="expression" dxfId="1090" priority="1090">
      <formula>INDIRECT(ADDRESS(ROW(),COLUMN())) = "Atrativo"</formula>
    </cfRule>
  </conditionalFormatting>
  <conditionalFormatting sqref="G369">
    <cfRule type="expression" dxfId="1091" priority="1091">
      <formula>INDIRECT(ADDRESS(ROW(),COLUMN())) = "Pouco atrativo"</formula>
    </cfRule>
  </conditionalFormatting>
  <conditionalFormatting sqref="M369">
    <cfRule type="cellIs" operator="equal" dxfId="1092" priority="1092">
      <formula>"Participar"</formula>
    </cfRule>
  </conditionalFormatting>
  <conditionalFormatting sqref="G370">
    <cfRule type="expression" dxfId="1093" priority="1093">
      <formula>INDIRECT(ADDRESS(ROW(),COLUMN())) = "Atrativo"</formula>
    </cfRule>
  </conditionalFormatting>
  <conditionalFormatting sqref="G370">
    <cfRule type="expression" dxfId="1094" priority="1094">
      <formula>INDIRECT(ADDRESS(ROW(),COLUMN())) = "Pouco atrativo"</formula>
    </cfRule>
  </conditionalFormatting>
  <conditionalFormatting sqref="M370">
    <cfRule type="cellIs" operator="equal" dxfId="1095" priority="1095">
      <formula>"Participar"</formula>
    </cfRule>
  </conditionalFormatting>
  <conditionalFormatting sqref="G371">
    <cfRule type="expression" dxfId="1096" priority="1096">
      <formula>INDIRECT(ADDRESS(ROW(),COLUMN())) = "Atrativo"</formula>
    </cfRule>
  </conditionalFormatting>
  <conditionalFormatting sqref="G371">
    <cfRule type="expression" dxfId="1097" priority="1097">
      <formula>INDIRECT(ADDRESS(ROW(),COLUMN())) = "Pouco atrativo"</formula>
    </cfRule>
  </conditionalFormatting>
  <conditionalFormatting sqref="M371">
    <cfRule type="cellIs" operator="equal" dxfId="1098" priority="1098">
      <formula>"Participar"</formula>
    </cfRule>
  </conditionalFormatting>
  <conditionalFormatting sqref="G372">
    <cfRule type="expression" dxfId="1099" priority="1099">
      <formula>INDIRECT(ADDRESS(ROW(),COLUMN())) = "Atrativo"</formula>
    </cfRule>
  </conditionalFormatting>
  <conditionalFormatting sqref="G372">
    <cfRule type="expression" dxfId="1100" priority="1100">
      <formula>INDIRECT(ADDRESS(ROW(),COLUMN())) = "Pouco atrativo"</formula>
    </cfRule>
  </conditionalFormatting>
  <conditionalFormatting sqref="M372">
    <cfRule type="cellIs" operator="equal" dxfId="1101" priority="1101">
      <formula>"Participar"</formula>
    </cfRule>
  </conditionalFormatting>
  <conditionalFormatting sqref="G373">
    <cfRule type="expression" dxfId="1102" priority="1102">
      <formula>INDIRECT(ADDRESS(ROW(),COLUMN())) = "Atrativo"</formula>
    </cfRule>
  </conditionalFormatting>
  <conditionalFormatting sqref="G373">
    <cfRule type="expression" dxfId="1103" priority="1103">
      <formula>INDIRECT(ADDRESS(ROW(),COLUMN())) = "Pouco atrativo"</formula>
    </cfRule>
  </conditionalFormatting>
  <conditionalFormatting sqref="M373">
    <cfRule type="cellIs" operator="equal" dxfId="1104" priority="1104">
      <formula>"Participar"</formula>
    </cfRule>
  </conditionalFormatting>
  <conditionalFormatting sqref="G374">
    <cfRule type="expression" dxfId="1105" priority="1105">
      <formula>INDIRECT(ADDRESS(ROW(),COLUMN())) = "Atrativo"</formula>
    </cfRule>
  </conditionalFormatting>
  <conditionalFormatting sqref="G374">
    <cfRule type="expression" dxfId="1106" priority="1106">
      <formula>INDIRECT(ADDRESS(ROW(),COLUMN())) = "Pouco atrativo"</formula>
    </cfRule>
  </conditionalFormatting>
  <conditionalFormatting sqref="M374">
    <cfRule type="cellIs" operator="equal" dxfId="1107" priority="1107">
      <formula>"Participar"</formula>
    </cfRule>
  </conditionalFormatting>
  <conditionalFormatting sqref="G375">
    <cfRule type="expression" dxfId="1108" priority="1108">
      <formula>INDIRECT(ADDRESS(ROW(),COLUMN())) = "Atrativo"</formula>
    </cfRule>
  </conditionalFormatting>
  <conditionalFormatting sqref="G375">
    <cfRule type="expression" dxfId="1109" priority="1109">
      <formula>INDIRECT(ADDRESS(ROW(),COLUMN())) = "Pouco atrativo"</formula>
    </cfRule>
  </conditionalFormatting>
  <conditionalFormatting sqref="M375">
    <cfRule type="cellIs" operator="equal" dxfId="1110" priority="1110">
      <formula>"Participar"</formula>
    </cfRule>
  </conditionalFormatting>
  <conditionalFormatting sqref="G376">
    <cfRule type="expression" dxfId="1111" priority="1111">
      <formula>INDIRECT(ADDRESS(ROW(),COLUMN())) = "Atrativo"</formula>
    </cfRule>
  </conditionalFormatting>
  <conditionalFormatting sqref="G376">
    <cfRule type="expression" dxfId="1112" priority="1112">
      <formula>INDIRECT(ADDRESS(ROW(),COLUMN())) = "Pouco atrativo"</formula>
    </cfRule>
  </conditionalFormatting>
  <conditionalFormatting sqref="M376">
    <cfRule type="cellIs" operator="equal" dxfId="1113" priority="1113">
      <formula>"Participar"</formula>
    </cfRule>
  </conditionalFormatting>
  <conditionalFormatting sqref="G377">
    <cfRule type="expression" dxfId="1114" priority="1114">
      <formula>INDIRECT(ADDRESS(ROW(),COLUMN())) = "Atrativo"</formula>
    </cfRule>
  </conditionalFormatting>
  <conditionalFormatting sqref="G377">
    <cfRule type="expression" dxfId="1115" priority="1115">
      <formula>INDIRECT(ADDRESS(ROW(),COLUMN())) = "Pouco atrativo"</formula>
    </cfRule>
  </conditionalFormatting>
  <conditionalFormatting sqref="M377">
    <cfRule type="cellIs" operator="equal" dxfId="1116" priority="1116">
      <formula>"Participar"</formula>
    </cfRule>
  </conditionalFormatting>
  <conditionalFormatting sqref="G378">
    <cfRule type="expression" dxfId="1117" priority="1117">
      <formula>INDIRECT(ADDRESS(ROW(),COLUMN())) = "Atrativo"</formula>
    </cfRule>
  </conditionalFormatting>
  <conditionalFormatting sqref="G378">
    <cfRule type="expression" dxfId="1118" priority="1118">
      <formula>INDIRECT(ADDRESS(ROW(),COLUMN())) = "Pouco atrativo"</formula>
    </cfRule>
  </conditionalFormatting>
  <conditionalFormatting sqref="M378">
    <cfRule type="cellIs" operator="equal" dxfId="1119" priority="1119">
      <formula>"Participar"</formula>
    </cfRule>
  </conditionalFormatting>
  <conditionalFormatting sqref="G379">
    <cfRule type="expression" dxfId="1120" priority="1120">
      <formula>INDIRECT(ADDRESS(ROW(),COLUMN())) = "Atrativo"</formula>
    </cfRule>
  </conditionalFormatting>
  <conditionalFormatting sqref="G379">
    <cfRule type="expression" dxfId="1121" priority="1121">
      <formula>INDIRECT(ADDRESS(ROW(),COLUMN())) = "Pouco atrativo"</formula>
    </cfRule>
  </conditionalFormatting>
  <conditionalFormatting sqref="M379">
    <cfRule type="cellIs" operator="equal" dxfId="1122" priority="1122">
      <formula>"Participar"</formula>
    </cfRule>
  </conditionalFormatting>
  <conditionalFormatting sqref="G380">
    <cfRule type="expression" dxfId="1123" priority="1123">
      <formula>INDIRECT(ADDRESS(ROW(),COLUMN())) = "Atrativo"</formula>
    </cfRule>
  </conditionalFormatting>
  <conditionalFormatting sqref="G380">
    <cfRule type="expression" dxfId="1124" priority="1124">
      <formula>INDIRECT(ADDRESS(ROW(),COLUMN())) = "Pouco atrativo"</formula>
    </cfRule>
  </conditionalFormatting>
  <conditionalFormatting sqref="M380">
    <cfRule type="cellIs" operator="equal" dxfId="1125" priority="1125">
      <formula>"Participar"</formula>
    </cfRule>
  </conditionalFormatting>
  <conditionalFormatting sqref="G381">
    <cfRule type="expression" dxfId="1126" priority="1126">
      <formula>INDIRECT(ADDRESS(ROW(),COLUMN())) = "Atrativo"</formula>
    </cfRule>
  </conditionalFormatting>
  <conditionalFormatting sqref="G381">
    <cfRule type="expression" dxfId="1127" priority="1127">
      <formula>INDIRECT(ADDRESS(ROW(),COLUMN())) = "Pouco atrativo"</formula>
    </cfRule>
  </conditionalFormatting>
  <conditionalFormatting sqref="M381">
    <cfRule type="cellIs" operator="equal" dxfId="1128" priority="1128">
      <formula>"Participar"</formula>
    </cfRule>
  </conditionalFormatting>
  <conditionalFormatting sqref="G382">
    <cfRule type="expression" dxfId="1129" priority="1129">
      <formula>INDIRECT(ADDRESS(ROW(),COLUMN())) = "Atrativo"</formula>
    </cfRule>
  </conditionalFormatting>
  <conditionalFormatting sqref="G382">
    <cfRule type="expression" dxfId="1130" priority="1130">
      <formula>INDIRECT(ADDRESS(ROW(),COLUMN())) = "Pouco atrativo"</formula>
    </cfRule>
  </conditionalFormatting>
  <conditionalFormatting sqref="M382">
    <cfRule type="cellIs" operator="equal" dxfId="1131" priority="1131">
      <formula>"Participar"</formula>
    </cfRule>
  </conditionalFormatting>
  <conditionalFormatting sqref="G383">
    <cfRule type="expression" dxfId="1132" priority="1132">
      <formula>INDIRECT(ADDRESS(ROW(),COLUMN())) = "Atrativo"</formula>
    </cfRule>
  </conditionalFormatting>
  <conditionalFormatting sqref="G383">
    <cfRule type="expression" dxfId="1133" priority="1133">
      <formula>INDIRECT(ADDRESS(ROW(),COLUMN())) = "Pouco atrativo"</formula>
    </cfRule>
  </conditionalFormatting>
  <conditionalFormatting sqref="M383">
    <cfRule type="cellIs" operator="equal" dxfId="1134" priority="1134">
      <formula>"Participar"</formula>
    </cfRule>
  </conditionalFormatting>
  <conditionalFormatting sqref="G384">
    <cfRule type="expression" dxfId="1135" priority="1135">
      <formula>INDIRECT(ADDRESS(ROW(),COLUMN())) = "Atrativo"</formula>
    </cfRule>
  </conditionalFormatting>
  <conditionalFormatting sqref="G384">
    <cfRule type="expression" dxfId="1136" priority="1136">
      <formula>INDIRECT(ADDRESS(ROW(),COLUMN())) = "Pouco atrativo"</formula>
    </cfRule>
  </conditionalFormatting>
  <conditionalFormatting sqref="M384">
    <cfRule type="cellIs" operator="equal" dxfId="1137" priority="1137">
      <formula>"Participar"</formula>
    </cfRule>
  </conditionalFormatting>
  <conditionalFormatting sqref="G385">
    <cfRule type="expression" dxfId="1138" priority="1138">
      <formula>INDIRECT(ADDRESS(ROW(),COLUMN())) = "Atrativo"</formula>
    </cfRule>
  </conditionalFormatting>
  <conditionalFormatting sqref="G385">
    <cfRule type="expression" dxfId="1139" priority="1139">
      <formula>INDIRECT(ADDRESS(ROW(),COLUMN())) = "Pouco atrativo"</formula>
    </cfRule>
  </conditionalFormatting>
  <conditionalFormatting sqref="M385">
    <cfRule type="cellIs" operator="equal" dxfId="1140" priority="1140">
      <formula>"Participar"</formula>
    </cfRule>
  </conditionalFormatting>
  <conditionalFormatting sqref="G386">
    <cfRule type="expression" dxfId="1141" priority="1141">
      <formula>INDIRECT(ADDRESS(ROW(),COLUMN())) = "Atrativo"</formula>
    </cfRule>
  </conditionalFormatting>
  <conditionalFormatting sqref="G386">
    <cfRule type="expression" dxfId="1142" priority="1142">
      <formula>INDIRECT(ADDRESS(ROW(),COLUMN())) = "Pouco atrativo"</formula>
    </cfRule>
  </conditionalFormatting>
  <conditionalFormatting sqref="M386">
    <cfRule type="cellIs" operator="equal" dxfId="1143" priority="1143">
      <formula>"Participar"</formula>
    </cfRule>
  </conditionalFormatting>
  <conditionalFormatting sqref="G387">
    <cfRule type="expression" dxfId="1144" priority="1144">
      <formula>INDIRECT(ADDRESS(ROW(),COLUMN())) = "Atrativo"</formula>
    </cfRule>
  </conditionalFormatting>
  <conditionalFormatting sqref="G387">
    <cfRule type="expression" dxfId="1145" priority="1145">
      <formula>INDIRECT(ADDRESS(ROW(),COLUMN())) = "Pouco atrativo"</formula>
    </cfRule>
  </conditionalFormatting>
  <conditionalFormatting sqref="M387">
    <cfRule type="cellIs" operator="equal" dxfId="1146" priority="1146">
      <formula>"Participar"</formula>
    </cfRule>
  </conditionalFormatting>
  <conditionalFormatting sqref="G388">
    <cfRule type="expression" dxfId="1147" priority="1147">
      <formula>INDIRECT(ADDRESS(ROW(),COLUMN())) = "Atrativo"</formula>
    </cfRule>
  </conditionalFormatting>
  <conditionalFormatting sqref="G388">
    <cfRule type="expression" dxfId="1148" priority="1148">
      <formula>INDIRECT(ADDRESS(ROW(),COLUMN())) = "Pouco atrativo"</formula>
    </cfRule>
  </conditionalFormatting>
  <conditionalFormatting sqref="M388">
    <cfRule type="cellIs" operator="equal" dxfId="1149" priority="1149">
      <formula>"Participar"</formula>
    </cfRule>
  </conditionalFormatting>
  <conditionalFormatting sqref="G389">
    <cfRule type="expression" dxfId="1150" priority="1150">
      <formula>INDIRECT(ADDRESS(ROW(),COLUMN())) = "Atrativo"</formula>
    </cfRule>
  </conditionalFormatting>
  <conditionalFormatting sqref="G389">
    <cfRule type="expression" dxfId="1151" priority="1151">
      <formula>INDIRECT(ADDRESS(ROW(),COLUMN())) = "Pouco atrativo"</formula>
    </cfRule>
  </conditionalFormatting>
  <conditionalFormatting sqref="M389">
    <cfRule type="cellIs" operator="equal" dxfId="1152" priority="1152">
      <formula>"Participar"</formula>
    </cfRule>
  </conditionalFormatting>
  <conditionalFormatting sqref="G390">
    <cfRule type="expression" dxfId="1153" priority="1153">
      <formula>INDIRECT(ADDRESS(ROW(),COLUMN())) = "Atrativo"</formula>
    </cfRule>
  </conditionalFormatting>
  <conditionalFormatting sqref="G390">
    <cfRule type="expression" dxfId="1154" priority="1154">
      <formula>INDIRECT(ADDRESS(ROW(),COLUMN())) = "Pouco atrativo"</formula>
    </cfRule>
  </conditionalFormatting>
  <conditionalFormatting sqref="M390">
    <cfRule type="cellIs" operator="equal" dxfId="1155" priority="1155">
      <formula>"Participar"</formula>
    </cfRule>
  </conditionalFormatting>
  <conditionalFormatting sqref="G391">
    <cfRule type="expression" dxfId="1156" priority="1156">
      <formula>INDIRECT(ADDRESS(ROW(),COLUMN())) = "Atrativo"</formula>
    </cfRule>
  </conditionalFormatting>
  <conditionalFormatting sqref="G391">
    <cfRule type="expression" dxfId="1157" priority="1157">
      <formula>INDIRECT(ADDRESS(ROW(),COLUMN())) = "Pouco atrativo"</formula>
    </cfRule>
  </conditionalFormatting>
  <conditionalFormatting sqref="M391">
    <cfRule type="cellIs" operator="equal" dxfId="1158" priority="1158">
      <formula>"Participar"</formula>
    </cfRule>
  </conditionalFormatting>
  <conditionalFormatting sqref="G392">
    <cfRule type="expression" dxfId="1159" priority="1159">
      <formula>INDIRECT(ADDRESS(ROW(),COLUMN())) = "Atrativo"</formula>
    </cfRule>
  </conditionalFormatting>
  <conditionalFormatting sqref="G392">
    <cfRule type="expression" dxfId="1160" priority="1160">
      <formula>INDIRECT(ADDRESS(ROW(),COLUMN())) = "Pouco atrativo"</formula>
    </cfRule>
  </conditionalFormatting>
  <conditionalFormatting sqref="M392">
    <cfRule type="cellIs" operator="equal" dxfId="1161" priority="1161">
      <formula>"Participar"</formula>
    </cfRule>
  </conditionalFormatting>
  <conditionalFormatting sqref="G393">
    <cfRule type="expression" dxfId="1162" priority="1162">
      <formula>INDIRECT(ADDRESS(ROW(),COLUMN())) = "Atrativo"</formula>
    </cfRule>
  </conditionalFormatting>
  <conditionalFormatting sqref="G393">
    <cfRule type="expression" dxfId="1163" priority="1163">
      <formula>INDIRECT(ADDRESS(ROW(),COLUMN())) = "Pouco atrativo"</formula>
    </cfRule>
  </conditionalFormatting>
  <conditionalFormatting sqref="M393">
    <cfRule type="cellIs" operator="equal" dxfId="1164" priority="1164">
      <formula>"Participar"</formula>
    </cfRule>
  </conditionalFormatting>
  <conditionalFormatting sqref="G394">
    <cfRule type="expression" dxfId="1165" priority="1165">
      <formula>INDIRECT(ADDRESS(ROW(),COLUMN())) = "Atrativo"</formula>
    </cfRule>
  </conditionalFormatting>
  <conditionalFormatting sqref="G394">
    <cfRule type="expression" dxfId="1166" priority="1166">
      <formula>INDIRECT(ADDRESS(ROW(),COLUMN())) = "Pouco atrativo"</formula>
    </cfRule>
  </conditionalFormatting>
  <conditionalFormatting sqref="M394">
    <cfRule type="cellIs" operator="equal" dxfId="1167" priority="1167">
      <formula>"Participar"</formula>
    </cfRule>
  </conditionalFormatting>
  <conditionalFormatting sqref="G395">
    <cfRule type="expression" dxfId="1168" priority="1168">
      <formula>INDIRECT(ADDRESS(ROW(),COLUMN())) = "Atrativo"</formula>
    </cfRule>
  </conditionalFormatting>
  <conditionalFormatting sqref="G395">
    <cfRule type="expression" dxfId="1169" priority="1169">
      <formula>INDIRECT(ADDRESS(ROW(),COLUMN())) = "Pouco atrativo"</formula>
    </cfRule>
  </conditionalFormatting>
  <conditionalFormatting sqref="M395">
    <cfRule type="cellIs" operator="equal" dxfId="1170" priority="1170">
      <formula>"Participar"</formula>
    </cfRule>
  </conditionalFormatting>
  <conditionalFormatting sqref="G396">
    <cfRule type="expression" dxfId="1171" priority="1171">
      <formula>INDIRECT(ADDRESS(ROW(),COLUMN())) = "Atrativo"</formula>
    </cfRule>
  </conditionalFormatting>
  <conditionalFormatting sqref="G396">
    <cfRule type="expression" dxfId="1172" priority="1172">
      <formula>INDIRECT(ADDRESS(ROW(),COLUMN())) = "Pouco atrativo"</formula>
    </cfRule>
  </conditionalFormatting>
  <conditionalFormatting sqref="M396">
    <cfRule type="cellIs" operator="equal" dxfId="1173" priority="1173">
      <formula>"Participar"</formula>
    </cfRule>
  </conditionalFormatting>
  <conditionalFormatting sqref="G397">
    <cfRule type="expression" dxfId="1174" priority="1174">
      <formula>INDIRECT(ADDRESS(ROW(),COLUMN())) = "Atrativo"</formula>
    </cfRule>
  </conditionalFormatting>
  <conditionalFormatting sqref="G397">
    <cfRule type="expression" dxfId="1175" priority="1175">
      <formula>INDIRECT(ADDRESS(ROW(),COLUMN())) = "Pouco atrativo"</formula>
    </cfRule>
  </conditionalFormatting>
  <conditionalFormatting sqref="M397">
    <cfRule type="cellIs" operator="equal" dxfId="1176" priority="1176">
      <formula>"Participar"</formula>
    </cfRule>
  </conditionalFormatting>
  <conditionalFormatting sqref="G398">
    <cfRule type="expression" dxfId="1177" priority="1177">
      <formula>INDIRECT(ADDRESS(ROW(),COLUMN())) = "Atrativo"</formula>
    </cfRule>
  </conditionalFormatting>
  <conditionalFormatting sqref="G398">
    <cfRule type="expression" dxfId="1178" priority="1178">
      <formula>INDIRECT(ADDRESS(ROW(),COLUMN())) = "Pouco atrativo"</formula>
    </cfRule>
  </conditionalFormatting>
  <conditionalFormatting sqref="M398">
    <cfRule type="cellIs" operator="equal" dxfId="1179" priority="1179">
      <formula>"Participar"</formula>
    </cfRule>
  </conditionalFormatting>
  <conditionalFormatting sqref="G399">
    <cfRule type="expression" dxfId="1180" priority="1180">
      <formula>INDIRECT(ADDRESS(ROW(),COLUMN())) = "Atrativo"</formula>
    </cfRule>
  </conditionalFormatting>
  <conditionalFormatting sqref="G399">
    <cfRule type="expression" dxfId="1181" priority="1181">
      <formula>INDIRECT(ADDRESS(ROW(),COLUMN())) = "Pouco atrativo"</formula>
    </cfRule>
  </conditionalFormatting>
  <conditionalFormatting sqref="M399">
    <cfRule type="cellIs" operator="equal" dxfId="1182" priority="1182">
      <formula>"Participar"</formula>
    </cfRule>
  </conditionalFormatting>
  <conditionalFormatting sqref="G400">
    <cfRule type="expression" dxfId="1183" priority="1183">
      <formula>INDIRECT(ADDRESS(ROW(),COLUMN())) = "Atrativo"</formula>
    </cfRule>
  </conditionalFormatting>
  <conditionalFormatting sqref="G400">
    <cfRule type="expression" dxfId="1184" priority="1184">
      <formula>INDIRECT(ADDRESS(ROW(),COLUMN())) = "Pouco atrativo"</formula>
    </cfRule>
  </conditionalFormatting>
  <conditionalFormatting sqref="M400">
    <cfRule type="cellIs" operator="equal" dxfId="1185" priority="1185">
      <formula>"Participar"</formula>
    </cfRule>
  </conditionalFormatting>
  <conditionalFormatting sqref="G401">
    <cfRule type="expression" dxfId="1186" priority="1186">
      <formula>INDIRECT(ADDRESS(ROW(),COLUMN())) = "Atrativo"</formula>
    </cfRule>
  </conditionalFormatting>
  <conditionalFormatting sqref="G401">
    <cfRule type="expression" dxfId="1187" priority="1187">
      <formula>INDIRECT(ADDRESS(ROW(),COLUMN())) = "Pouco atrativo"</formula>
    </cfRule>
  </conditionalFormatting>
  <conditionalFormatting sqref="M401">
    <cfRule type="cellIs" operator="equal" dxfId="1188" priority="1188">
      <formula>"Participar"</formula>
    </cfRule>
  </conditionalFormatting>
  <conditionalFormatting sqref="G402">
    <cfRule type="expression" dxfId="1189" priority="1189">
      <formula>INDIRECT(ADDRESS(ROW(),COLUMN())) = "Atrativo"</formula>
    </cfRule>
  </conditionalFormatting>
  <conditionalFormatting sqref="G402">
    <cfRule type="expression" dxfId="1190" priority="1190">
      <formula>INDIRECT(ADDRESS(ROW(),COLUMN())) = "Pouco atrativo"</formula>
    </cfRule>
  </conditionalFormatting>
  <conditionalFormatting sqref="M402">
    <cfRule type="cellIs" operator="equal" dxfId="1191" priority="1191">
      <formula>"Participar"</formula>
    </cfRule>
  </conditionalFormatting>
  <conditionalFormatting sqref="G403">
    <cfRule type="expression" dxfId="1192" priority="1192">
      <formula>INDIRECT(ADDRESS(ROW(),COLUMN())) = "Atrativo"</formula>
    </cfRule>
  </conditionalFormatting>
  <conditionalFormatting sqref="G403">
    <cfRule type="expression" dxfId="1193" priority="1193">
      <formula>INDIRECT(ADDRESS(ROW(),COLUMN())) = "Pouco atrativo"</formula>
    </cfRule>
  </conditionalFormatting>
  <conditionalFormatting sqref="M403">
    <cfRule type="cellIs" operator="equal" dxfId="1194" priority="1194">
      <formula>"Participar"</formula>
    </cfRule>
  </conditionalFormatting>
  <conditionalFormatting sqref="G404">
    <cfRule type="expression" dxfId="1195" priority="1195">
      <formula>INDIRECT(ADDRESS(ROW(),COLUMN())) = "Atrativo"</formula>
    </cfRule>
  </conditionalFormatting>
  <conditionalFormatting sqref="G404">
    <cfRule type="expression" dxfId="1196" priority="1196">
      <formula>INDIRECT(ADDRESS(ROW(),COLUMN())) = "Pouco atrativo"</formula>
    </cfRule>
  </conditionalFormatting>
  <conditionalFormatting sqref="M404">
    <cfRule type="cellIs" operator="equal" dxfId="1197" priority="1197">
      <formula>"Participar"</formula>
    </cfRule>
  </conditionalFormatting>
  <conditionalFormatting sqref="G405">
    <cfRule type="expression" dxfId="1198" priority="1198">
      <formula>INDIRECT(ADDRESS(ROW(),COLUMN())) = "Atrativo"</formula>
    </cfRule>
  </conditionalFormatting>
  <conditionalFormatting sqref="G405">
    <cfRule type="expression" dxfId="1199" priority="1199">
      <formula>INDIRECT(ADDRESS(ROW(),COLUMN())) = "Pouco atrativo"</formula>
    </cfRule>
  </conditionalFormatting>
  <conditionalFormatting sqref="M405">
    <cfRule type="cellIs" operator="equal" dxfId="1200" priority="1200">
      <formula>"Participar"</formula>
    </cfRule>
  </conditionalFormatting>
  <conditionalFormatting sqref="G406">
    <cfRule type="expression" dxfId="1201" priority="1201">
      <formula>INDIRECT(ADDRESS(ROW(),COLUMN())) = "Atrativo"</formula>
    </cfRule>
  </conditionalFormatting>
  <conditionalFormatting sqref="G406">
    <cfRule type="expression" dxfId="1202" priority="1202">
      <formula>INDIRECT(ADDRESS(ROW(),COLUMN())) = "Pouco atrativo"</formula>
    </cfRule>
  </conditionalFormatting>
  <conditionalFormatting sqref="M406">
    <cfRule type="cellIs" operator="equal" dxfId="1203" priority="1203">
      <formula>"Participar"</formula>
    </cfRule>
  </conditionalFormatting>
  <conditionalFormatting sqref="G407">
    <cfRule type="expression" dxfId="1204" priority="1204">
      <formula>INDIRECT(ADDRESS(ROW(),COLUMN())) = "Atrativo"</formula>
    </cfRule>
  </conditionalFormatting>
  <conditionalFormatting sqref="G407">
    <cfRule type="expression" dxfId="1205" priority="1205">
      <formula>INDIRECT(ADDRESS(ROW(),COLUMN())) = "Pouco atrativo"</formula>
    </cfRule>
  </conditionalFormatting>
  <conditionalFormatting sqref="M407">
    <cfRule type="cellIs" operator="equal" dxfId="1206" priority="1206">
      <formula>"Participar"</formula>
    </cfRule>
  </conditionalFormatting>
  <conditionalFormatting sqref="G408">
    <cfRule type="expression" dxfId="1207" priority="1207">
      <formula>INDIRECT(ADDRESS(ROW(),COLUMN())) = "Atrativo"</formula>
    </cfRule>
  </conditionalFormatting>
  <conditionalFormatting sqref="G408">
    <cfRule type="expression" dxfId="1208" priority="1208">
      <formula>INDIRECT(ADDRESS(ROW(),COLUMN())) = "Pouco atrativo"</formula>
    </cfRule>
  </conditionalFormatting>
  <conditionalFormatting sqref="M408">
    <cfRule type="cellIs" operator="equal" dxfId="1209" priority="1209">
      <formula>"Participar"</formula>
    </cfRule>
  </conditionalFormatting>
  <conditionalFormatting sqref="G409">
    <cfRule type="expression" dxfId="1210" priority="1210">
      <formula>INDIRECT(ADDRESS(ROW(),COLUMN())) = "Atrativo"</formula>
    </cfRule>
  </conditionalFormatting>
  <conditionalFormatting sqref="G409">
    <cfRule type="expression" dxfId="1211" priority="1211">
      <formula>INDIRECT(ADDRESS(ROW(),COLUMN())) = "Pouco atrativo"</formula>
    </cfRule>
  </conditionalFormatting>
  <conditionalFormatting sqref="M409">
    <cfRule type="cellIs" operator="equal" dxfId="1212" priority="1212">
      <formula>"Participar"</formula>
    </cfRule>
  </conditionalFormatting>
  <conditionalFormatting sqref="G410">
    <cfRule type="expression" dxfId="1213" priority="1213">
      <formula>INDIRECT(ADDRESS(ROW(),COLUMN())) = "Atrativo"</formula>
    </cfRule>
  </conditionalFormatting>
  <conditionalFormatting sqref="G410">
    <cfRule type="expression" dxfId="1214" priority="1214">
      <formula>INDIRECT(ADDRESS(ROW(),COLUMN())) = "Pouco atrativo"</formula>
    </cfRule>
  </conditionalFormatting>
  <conditionalFormatting sqref="M410">
    <cfRule type="cellIs" operator="equal" dxfId="1215" priority="1215">
      <formula>"Participar"</formula>
    </cfRule>
  </conditionalFormatting>
  <conditionalFormatting sqref="G411">
    <cfRule type="expression" dxfId="1216" priority="1216">
      <formula>INDIRECT(ADDRESS(ROW(),COLUMN())) = "Atrativo"</formula>
    </cfRule>
  </conditionalFormatting>
  <conditionalFormatting sqref="G411">
    <cfRule type="expression" dxfId="1217" priority="1217">
      <formula>INDIRECT(ADDRESS(ROW(),COLUMN())) = "Pouco atrativo"</formula>
    </cfRule>
  </conditionalFormatting>
  <conditionalFormatting sqref="M411">
    <cfRule type="cellIs" operator="equal" dxfId="1218" priority="1218">
      <formula>"Participar"</formula>
    </cfRule>
  </conditionalFormatting>
  <conditionalFormatting sqref="G412">
    <cfRule type="expression" dxfId="1219" priority="1219">
      <formula>INDIRECT(ADDRESS(ROW(),COLUMN())) = "Atrativo"</formula>
    </cfRule>
  </conditionalFormatting>
  <conditionalFormatting sqref="G412">
    <cfRule type="expression" dxfId="1220" priority="1220">
      <formula>INDIRECT(ADDRESS(ROW(),COLUMN())) = "Pouco atrativo"</formula>
    </cfRule>
  </conditionalFormatting>
  <conditionalFormatting sqref="M412">
    <cfRule type="cellIs" operator="equal" dxfId="1221" priority="1221">
      <formula>"Participar"</formula>
    </cfRule>
  </conditionalFormatting>
  <conditionalFormatting sqref="G413">
    <cfRule type="expression" dxfId="1222" priority="1222">
      <formula>INDIRECT(ADDRESS(ROW(),COLUMN())) = "Atrativo"</formula>
    </cfRule>
  </conditionalFormatting>
  <conditionalFormatting sqref="G413">
    <cfRule type="expression" dxfId="1223" priority="1223">
      <formula>INDIRECT(ADDRESS(ROW(),COLUMN())) = "Pouco atrativo"</formula>
    </cfRule>
  </conditionalFormatting>
  <conditionalFormatting sqref="M413">
    <cfRule type="cellIs" operator="equal" dxfId="1224" priority="1224">
      <formula>"Participar"</formula>
    </cfRule>
  </conditionalFormatting>
  <conditionalFormatting sqref="G414">
    <cfRule type="expression" dxfId="1225" priority="1225">
      <formula>INDIRECT(ADDRESS(ROW(),COLUMN())) = "Atrativo"</formula>
    </cfRule>
  </conditionalFormatting>
  <conditionalFormatting sqref="G414">
    <cfRule type="expression" dxfId="1226" priority="1226">
      <formula>INDIRECT(ADDRESS(ROW(),COLUMN())) = "Pouco atrativo"</formula>
    </cfRule>
  </conditionalFormatting>
  <conditionalFormatting sqref="M414">
    <cfRule type="cellIs" operator="equal" dxfId="1227" priority="1227">
      <formula>"Participar"</formula>
    </cfRule>
  </conditionalFormatting>
  <conditionalFormatting sqref="G415">
    <cfRule type="expression" dxfId="1228" priority="1228">
      <formula>INDIRECT(ADDRESS(ROW(),COLUMN())) = "Atrativo"</formula>
    </cfRule>
  </conditionalFormatting>
  <conditionalFormatting sqref="G415">
    <cfRule type="expression" dxfId="1229" priority="1229">
      <formula>INDIRECT(ADDRESS(ROW(),COLUMN())) = "Pouco atrativo"</formula>
    </cfRule>
  </conditionalFormatting>
  <conditionalFormatting sqref="M415">
    <cfRule type="cellIs" operator="equal" dxfId="1230" priority="1230">
      <formula>"Participar"</formula>
    </cfRule>
  </conditionalFormatting>
  <conditionalFormatting sqref="G416">
    <cfRule type="expression" dxfId="1231" priority="1231">
      <formula>INDIRECT(ADDRESS(ROW(),COLUMN())) = "Atrativo"</formula>
    </cfRule>
  </conditionalFormatting>
  <conditionalFormatting sqref="G416">
    <cfRule type="expression" dxfId="1232" priority="1232">
      <formula>INDIRECT(ADDRESS(ROW(),COLUMN())) = "Pouco atrativo"</formula>
    </cfRule>
  </conditionalFormatting>
  <conditionalFormatting sqref="M416">
    <cfRule type="cellIs" operator="equal" dxfId="1233" priority="1233">
      <formula>"Participar"</formula>
    </cfRule>
  </conditionalFormatting>
  <conditionalFormatting sqref="G417">
    <cfRule type="expression" dxfId="1234" priority="1234">
      <formula>INDIRECT(ADDRESS(ROW(),COLUMN())) = "Atrativo"</formula>
    </cfRule>
  </conditionalFormatting>
  <conditionalFormatting sqref="G417">
    <cfRule type="expression" dxfId="1235" priority="1235">
      <formula>INDIRECT(ADDRESS(ROW(),COLUMN())) = "Pouco atrativo"</formula>
    </cfRule>
  </conditionalFormatting>
  <conditionalFormatting sqref="M417">
    <cfRule type="cellIs" operator="equal" dxfId="1236" priority="1236">
      <formula>"Participar"</formula>
    </cfRule>
  </conditionalFormatting>
  <conditionalFormatting sqref="G418">
    <cfRule type="expression" dxfId="1237" priority="1237">
      <formula>INDIRECT(ADDRESS(ROW(),COLUMN())) = "Atrativo"</formula>
    </cfRule>
  </conditionalFormatting>
  <conditionalFormatting sqref="G418">
    <cfRule type="expression" dxfId="1238" priority="1238">
      <formula>INDIRECT(ADDRESS(ROW(),COLUMN())) = "Pouco atrativo"</formula>
    </cfRule>
  </conditionalFormatting>
  <conditionalFormatting sqref="M418">
    <cfRule type="cellIs" operator="equal" dxfId="1239" priority="1239">
      <formula>"Participar"</formula>
    </cfRule>
  </conditionalFormatting>
  <conditionalFormatting sqref="G419">
    <cfRule type="expression" dxfId="1240" priority="1240">
      <formula>INDIRECT(ADDRESS(ROW(),COLUMN())) = "Atrativo"</formula>
    </cfRule>
  </conditionalFormatting>
  <conditionalFormatting sqref="G419">
    <cfRule type="expression" dxfId="1241" priority="1241">
      <formula>INDIRECT(ADDRESS(ROW(),COLUMN())) = "Pouco atrativo"</formula>
    </cfRule>
  </conditionalFormatting>
  <conditionalFormatting sqref="M419">
    <cfRule type="cellIs" operator="equal" dxfId="1242" priority="1242">
      <formula>"Participar"</formula>
    </cfRule>
  </conditionalFormatting>
  <conditionalFormatting sqref="G420">
    <cfRule type="expression" dxfId="1243" priority="1243">
      <formula>INDIRECT(ADDRESS(ROW(),COLUMN())) = "Atrativo"</formula>
    </cfRule>
  </conditionalFormatting>
  <conditionalFormatting sqref="G420">
    <cfRule type="expression" dxfId="1244" priority="1244">
      <formula>INDIRECT(ADDRESS(ROW(),COLUMN())) = "Pouco atrativo"</formula>
    </cfRule>
  </conditionalFormatting>
  <conditionalFormatting sqref="M420">
    <cfRule type="cellIs" operator="equal" dxfId="1245" priority="1245">
      <formula>"Participar"</formula>
    </cfRule>
  </conditionalFormatting>
  <conditionalFormatting sqref="G421">
    <cfRule type="expression" dxfId="1246" priority="1246">
      <formula>INDIRECT(ADDRESS(ROW(),COLUMN())) = "Atrativo"</formula>
    </cfRule>
  </conditionalFormatting>
  <conditionalFormatting sqref="G421">
    <cfRule type="expression" dxfId="1247" priority="1247">
      <formula>INDIRECT(ADDRESS(ROW(),COLUMN())) = "Pouco atrativo"</formula>
    </cfRule>
  </conditionalFormatting>
  <conditionalFormatting sqref="M421">
    <cfRule type="cellIs" operator="equal" dxfId="1248" priority="1248">
      <formula>"Participar"</formula>
    </cfRule>
  </conditionalFormatting>
  <conditionalFormatting sqref="G422">
    <cfRule type="expression" dxfId="1249" priority="1249">
      <formula>INDIRECT(ADDRESS(ROW(),COLUMN())) = "Atrativo"</formula>
    </cfRule>
  </conditionalFormatting>
  <conditionalFormatting sqref="G422">
    <cfRule type="expression" dxfId="1250" priority="1250">
      <formula>INDIRECT(ADDRESS(ROW(),COLUMN())) = "Pouco atrativo"</formula>
    </cfRule>
  </conditionalFormatting>
  <conditionalFormatting sqref="M422">
    <cfRule type="cellIs" operator="equal" dxfId="1251" priority="1251">
      <formula>"Participar"</formula>
    </cfRule>
  </conditionalFormatting>
  <conditionalFormatting sqref="G423">
    <cfRule type="expression" dxfId="1252" priority="1252">
      <formula>INDIRECT(ADDRESS(ROW(),COLUMN())) = "Atrativo"</formula>
    </cfRule>
  </conditionalFormatting>
  <conditionalFormatting sqref="G423">
    <cfRule type="expression" dxfId="1253" priority="1253">
      <formula>INDIRECT(ADDRESS(ROW(),COLUMN())) = "Pouco atrativo"</formula>
    </cfRule>
  </conditionalFormatting>
  <conditionalFormatting sqref="M423">
    <cfRule type="cellIs" operator="equal" dxfId="1254" priority="1254">
      <formula>"Participar"</formula>
    </cfRule>
  </conditionalFormatting>
  <conditionalFormatting sqref="G424">
    <cfRule type="expression" dxfId="1255" priority="1255">
      <formula>INDIRECT(ADDRESS(ROW(),COLUMN())) = "Atrativo"</formula>
    </cfRule>
  </conditionalFormatting>
  <conditionalFormatting sqref="G424">
    <cfRule type="expression" dxfId="1256" priority="1256">
      <formula>INDIRECT(ADDRESS(ROW(),COLUMN())) = "Pouco atrativo"</formula>
    </cfRule>
  </conditionalFormatting>
  <conditionalFormatting sqref="M424">
    <cfRule type="cellIs" operator="equal" dxfId="1257" priority="1257">
      <formula>"Participar"</formula>
    </cfRule>
  </conditionalFormatting>
  <conditionalFormatting sqref="G425">
    <cfRule type="expression" dxfId="1258" priority="1258">
      <formula>INDIRECT(ADDRESS(ROW(),COLUMN())) = "Atrativo"</formula>
    </cfRule>
  </conditionalFormatting>
  <conditionalFormatting sqref="G425">
    <cfRule type="expression" dxfId="1259" priority="1259">
      <formula>INDIRECT(ADDRESS(ROW(),COLUMN())) = "Pouco atrativo"</formula>
    </cfRule>
  </conditionalFormatting>
  <conditionalFormatting sqref="M425">
    <cfRule type="cellIs" operator="equal" dxfId="1260" priority="1260">
      <formula>"Participar"</formula>
    </cfRule>
  </conditionalFormatting>
  <conditionalFormatting sqref="G426">
    <cfRule type="expression" dxfId="1261" priority="1261">
      <formula>INDIRECT(ADDRESS(ROW(),COLUMN())) = "Atrativo"</formula>
    </cfRule>
  </conditionalFormatting>
  <conditionalFormatting sqref="G426">
    <cfRule type="expression" dxfId="1262" priority="1262">
      <formula>INDIRECT(ADDRESS(ROW(),COLUMN())) = "Pouco atrativo"</formula>
    </cfRule>
  </conditionalFormatting>
  <conditionalFormatting sqref="M426">
    <cfRule type="cellIs" operator="equal" dxfId="1263" priority="1263">
      <formula>"Participar"</formula>
    </cfRule>
  </conditionalFormatting>
  <conditionalFormatting sqref="G427">
    <cfRule type="expression" dxfId="1264" priority="1264">
      <formula>INDIRECT(ADDRESS(ROW(),COLUMN())) = "Atrativo"</formula>
    </cfRule>
  </conditionalFormatting>
  <conditionalFormatting sqref="G427">
    <cfRule type="expression" dxfId="1265" priority="1265">
      <formula>INDIRECT(ADDRESS(ROW(),COLUMN())) = "Pouco atrativo"</formula>
    </cfRule>
  </conditionalFormatting>
  <conditionalFormatting sqref="M427">
    <cfRule type="cellIs" operator="equal" dxfId="1266" priority="1266">
      <formula>"Participar"</formula>
    </cfRule>
  </conditionalFormatting>
  <conditionalFormatting sqref="G428">
    <cfRule type="expression" dxfId="1267" priority="1267">
      <formula>INDIRECT(ADDRESS(ROW(),COLUMN())) = "Atrativo"</formula>
    </cfRule>
  </conditionalFormatting>
  <conditionalFormatting sqref="G428">
    <cfRule type="expression" dxfId="1268" priority="1268">
      <formula>INDIRECT(ADDRESS(ROW(),COLUMN())) = "Pouco atrativo"</formula>
    </cfRule>
  </conditionalFormatting>
  <conditionalFormatting sqref="M428">
    <cfRule type="cellIs" operator="equal" dxfId="1269" priority="1269">
      <formula>"Participar"</formula>
    </cfRule>
  </conditionalFormatting>
  <conditionalFormatting sqref="G429">
    <cfRule type="expression" dxfId="1270" priority="1270">
      <formula>INDIRECT(ADDRESS(ROW(),COLUMN())) = "Atrativo"</formula>
    </cfRule>
  </conditionalFormatting>
  <conditionalFormatting sqref="G429">
    <cfRule type="expression" dxfId="1271" priority="1271">
      <formula>INDIRECT(ADDRESS(ROW(),COLUMN())) = "Pouco atrativo"</formula>
    </cfRule>
  </conditionalFormatting>
  <conditionalFormatting sqref="M429">
    <cfRule type="cellIs" operator="equal" dxfId="1272" priority="1272">
      <formula>"Participar"</formula>
    </cfRule>
  </conditionalFormatting>
  <conditionalFormatting sqref="G430">
    <cfRule type="expression" dxfId="1273" priority="1273">
      <formula>INDIRECT(ADDRESS(ROW(),COLUMN())) = "Atrativo"</formula>
    </cfRule>
  </conditionalFormatting>
  <conditionalFormatting sqref="G430">
    <cfRule type="expression" dxfId="1274" priority="1274">
      <formula>INDIRECT(ADDRESS(ROW(),COLUMN())) = "Pouco atrativo"</formula>
    </cfRule>
  </conditionalFormatting>
  <conditionalFormatting sqref="M430">
    <cfRule type="cellIs" operator="equal" dxfId="1275" priority="1275">
      <formula>"Participar"</formula>
    </cfRule>
  </conditionalFormatting>
  <conditionalFormatting sqref="G431">
    <cfRule type="expression" dxfId="1276" priority="1276">
      <formula>INDIRECT(ADDRESS(ROW(),COLUMN())) = "Atrativo"</formula>
    </cfRule>
  </conditionalFormatting>
  <conditionalFormatting sqref="G431">
    <cfRule type="expression" dxfId="1277" priority="1277">
      <formula>INDIRECT(ADDRESS(ROW(),COLUMN())) = "Pouco atrativo"</formula>
    </cfRule>
  </conditionalFormatting>
  <conditionalFormatting sqref="M431">
    <cfRule type="cellIs" operator="equal" dxfId="1278" priority="1278">
      <formula>"Participar"</formula>
    </cfRule>
  </conditionalFormatting>
  <conditionalFormatting sqref="G432">
    <cfRule type="expression" dxfId="1279" priority="1279">
      <formula>INDIRECT(ADDRESS(ROW(),COLUMN())) = "Atrativo"</formula>
    </cfRule>
  </conditionalFormatting>
  <conditionalFormatting sqref="G432">
    <cfRule type="expression" dxfId="1280" priority="1280">
      <formula>INDIRECT(ADDRESS(ROW(),COLUMN())) = "Pouco atrativo"</formula>
    </cfRule>
  </conditionalFormatting>
  <conditionalFormatting sqref="M432">
    <cfRule type="cellIs" operator="equal" dxfId="1281" priority="1281">
      <formula>"Participar"</formula>
    </cfRule>
  </conditionalFormatting>
  <conditionalFormatting sqref="G433">
    <cfRule type="expression" dxfId="1282" priority="1282">
      <formula>INDIRECT(ADDRESS(ROW(),COLUMN())) = "Atrativo"</formula>
    </cfRule>
  </conditionalFormatting>
  <conditionalFormatting sqref="G433">
    <cfRule type="expression" dxfId="1283" priority="1283">
      <formula>INDIRECT(ADDRESS(ROW(),COLUMN())) = "Pouco atrativo"</formula>
    </cfRule>
  </conditionalFormatting>
  <conditionalFormatting sqref="M433">
    <cfRule type="cellIs" operator="equal" dxfId="1284" priority="1284">
      <formula>"Participar"</formula>
    </cfRule>
  </conditionalFormatting>
  <conditionalFormatting sqref="G434">
    <cfRule type="expression" dxfId="1285" priority="1285">
      <formula>INDIRECT(ADDRESS(ROW(),COLUMN())) = "Atrativo"</formula>
    </cfRule>
  </conditionalFormatting>
  <conditionalFormatting sqref="G434">
    <cfRule type="expression" dxfId="1286" priority="1286">
      <formula>INDIRECT(ADDRESS(ROW(),COLUMN())) = "Pouco atrativo"</formula>
    </cfRule>
  </conditionalFormatting>
  <conditionalFormatting sqref="M434">
    <cfRule type="cellIs" operator="equal" dxfId="1287" priority="1287">
      <formula>"Participar"</formula>
    </cfRule>
  </conditionalFormatting>
  <conditionalFormatting sqref="G435">
    <cfRule type="expression" dxfId="1288" priority="1288">
      <formula>INDIRECT(ADDRESS(ROW(),COLUMN())) = "Atrativo"</formula>
    </cfRule>
  </conditionalFormatting>
  <conditionalFormatting sqref="G435">
    <cfRule type="expression" dxfId="1289" priority="1289">
      <formula>INDIRECT(ADDRESS(ROW(),COLUMN())) = "Pouco atrativo"</formula>
    </cfRule>
  </conditionalFormatting>
  <conditionalFormatting sqref="M435">
    <cfRule type="cellIs" operator="equal" dxfId="1290" priority="1290">
      <formula>"Participar"</formula>
    </cfRule>
  </conditionalFormatting>
  <conditionalFormatting sqref="G436">
    <cfRule type="expression" dxfId="1291" priority="1291">
      <formula>INDIRECT(ADDRESS(ROW(),COLUMN())) = "Atrativo"</formula>
    </cfRule>
  </conditionalFormatting>
  <conditionalFormatting sqref="G436">
    <cfRule type="expression" dxfId="1292" priority="1292">
      <formula>INDIRECT(ADDRESS(ROW(),COLUMN())) = "Pouco atrativo"</formula>
    </cfRule>
  </conditionalFormatting>
  <conditionalFormatting sqref="M436">
    <cfRule type="cellIs" operator="equal" dxfId="1293" priority="1293">
      <formula>"Participar"</formula>
    </cfRule>
  </conditionalFormatting>
  <conditionalFormatting sqref="G437">
    <cfRule type="expression" dxfId="1294" priority="1294">
      <formula>INDIRECT(ADDRESS(ROW(),COLUMN())) = "Atrativo"</formula>
    </cfRule>
  </conditionalFormatting>
  <conditionalFormatting sqref="G437">
    <cfRule type="expression" dxfId="1295" priority="1295">
      <formula>INDIRECT(ADDRESS(ROW(),COLUMN())) = "Pouco atrativo"</formula>
    </cfRule>
  </conditionalFormatting>
  <conditionalFormatting sqref="M437">
    <cfRule type="cellIs" operator="equal" dxfId="1296" priority="1296">
      <formula>"Participar"</formula>
    </cfRule>
  </conditionalFormatting>
  <conditionalFormatting sqref="G438">
    <cfRule type="expression" dxfId="1297" priority="1297">
      <formula>INDIRECT(ADDRESS(ROW(),COLUMN())) = "Atrativo"</formula>
    </cfRule>
  </conditionalFormatting>
  <conditionalFormatting sqref="G438">
    <cfRule type="expression" dxfId="1298" priority="1298">
      <formula>INDIRECT(ADDRESS(ROW(),COLUMN())) = "Pouco atrativo"</formula>
    </cfRule>
  </conditionalFormatting>
  <conditionalFormatting sqref="M438">
    <cfRule type="cellIs" operator="equal" dxfId="1299" priority="1299">
      <formula>"Participar"</formula>
    </cfRule>
  </conditionalFormatting>
  <conditionalFormatting sqref="G439">
    <cfRule type="expression" dxfId="1300" priority="1300">
      <formula>INDIRECT(ADDRESS(ROW(),COLUMN())) = "Atrativo"</formula>
    </cfRule>
  </conditionalFormatting>
  <conditionalFormatting sqref="G439">
    <cfRule type="expression" dxfId="1301" priority="1301">
      <formula>INDIRECT(ADDRESS(ROW(),COLUMN())) = "Pouco atrativo"</formula>
    </cfRule>
  </conditionalFormatting>
  <conditionalFormatting sqref="M439">
    <cfRule type="cellIs" operator="equal" dxfId="1302" priority="1302">
      <formula>"Participar"</formula>
    </cfRule>
  </conditionalFormatting>
  <conditionalFormatting sqref="G440">
    <cfRule type="expression" dxfId="1303" priority="1303">
      <formula>INDIRECT(ADDRESS(ROW(),COLUMN())) = "Atrativo"</formula>
    </cfRule>
  </conditionalFormatting>
  <conditionalFormatting sqref="G440">
    <cfRule type="expression" dxfId="1304" priority="1304">
      <formula>INDIRECT(ADDRESS(ROW(),COLUMN())) = "Pouco atrativo"</formula>
    </cfRule>
  </conditionalFormatting>
  <conditionalFormatting sqref="M440">
    <cfRule type="cellIs" operator="equal" dxfId="1305" priority="1305">
      <formula>"Participar"</formula>
    </cfRule>
  </conditionalFormatting>
  <conditionalFormatting sqref="G441">
    <cfRule type="expression" dxfId="1306" priority="1306">
      <formula>INDIRECT(ADDRESS(ROW(),COLUMN())) = "Atrativo"</formula>
    </cfRule>
  </conditionalFormatting>
  <conditionalFormatting sqref="G441">
    <cfRule type="expression" dxfId="1307" priority="1307">
      <formula>INDIRECT(ADDRESS(ROW(),COLUMN())) = "Pouco atrativo"</formula>
    </cfRule>
  </conditionalFormatting>
  <conditionalFormatting sqref="M441">
    <cfRule type="cellIs" operator="equal" dxfId="1308" priority="1308">
      <formula>"Participar"</formula>
    </cfRule>
  </conditionalFormatting>
  <conditionalFormatting sqref="G442">
    <cfRule type="expression" dxfId="1309" priority="1309">
      <formula>INDIRECT(ADDRESS(ROW(),COLUMN())) = "Atrativo"</formula>
    </cfRule>
  </conditionalFormatting>
  <conditionalFormatting sqref="G442">
    <cfRule type="expression" dxfId="1310" priority="1310">
      <formula>INDIRECT(ADDRESS(ROW(),COLUMN())) = "Pouco atrativo"</formula>
    </cfRule>
  </conditionalFormatting>
  <conditionalFormatting sqref="M442">
    <cfRule type="cellIs" operator="equal" dxfId="1311" priority="1311">
      <formula>"Participar"</formula>
    </cfRule>
  </conditionalFormatting>
  <conditionalFormatting sqref="G443">
    <cfRule type="expression" dxfId="1312" priority="1312">
      <formula>INDIRECT(ADDRESS(ROW(),COLUMN())) = "Atrativo"</formula>
    </cfRule>
  </conditionalFormatting>
  <conditionalFormatting sqref="G443">
    <cfRule type="expression" dxfId="1313" priority="1313">
      <formula>INDIRECT(ADDRESS(ROW(),COLUMN())) = "Pouco atrativo"</formula>
    </cfRule>
  </conditionalFormatting>
  <conditionalFormatting sqref="M443">
    <cfRule type="cellIs" operator="equal" dxfId="1314" priority="1314">
      <formula>"Participar"</formula>
    </cfRule>
  </conditionalFormatting>
  <conditionalFormatting sqref="G444">
    <cfRule type="expression" dxfId="1315" priority="1315">
      <formula>INDIRECT(ADDRESS(ROW(),COLUMN())) = "Atrativo"</formula>
    </cfRule>
  </conditionalFormatting>
  <conditionalFormatting sqref="G444">
    <cfRule type="expression" dxfId="1316" priority="1316">
      <formula>INDIRECT(ADDRESS(ROW(),COLUMN())) = "Pouco atrativo"</formula>
    </cfRule>
  </conditionalFormatting>
  <conditionalFormatting sqref="M444">
    <cfRule type="cellIs" operator="equal" dxfId="1317" priority="1317">
      <formula>"Participar"</formula>
    </cfRule>
  </conditionalFormatting>
  <conditionalFormatting sqref="G445">
    <cfRule type="expression" dxfId="1318" priority="1318">
      <formula>INDIRECT(ADDRESS(ROW(),COLUMN())) = "Atrativo"</formula>
    </cfRule>
  </conditionalFormatting>
  <conditionalFormatting sqref="G445">
    <cfRule type="expression" dxfId="1319" priority="1319">
      <formula>INDIRECT(ADDRESS(ROW(),COLUMN())) = "Pouco atrativo"</formula>
    </cfRule>
  </conditionalFormatting>
  <conditionalFormatting sqref="M445">
    <cfRule type="cellIs" operator="equal" dxfId="1320" priority="1320">
      <formula>"Participar"</formula>
    </cfRule>
  </conditionalFormatting>
  <conditionalFormatting sqref="G446">
    <cfRule type="expression" dxfId="1321" priority="1321">
      <formula>INDIRECT(ADDRESS(ROW(),COLUMN())) = "Atrativo"</formula>
    </cfRule>
  </conditionalFormatting>
  <conditionalFormatting sqref="G446">
    <cfRule type="expression" dxfId="1322" priority="1322">
      <formula>INDIRECT(ADDRESS(ROW(),COLUMN())) = "Pouco atrativo"</formula>
    </cfRule>
  </conditionalFormatting>
  <conditionalFormatting sqref="M446">
    <cfRule type="cellIs" operator="equal" dxfId="1323" priority="1323">
      <formula>"Participar"</formula>
    </cfRule>
  </conditionalFormatting>
  <conditionalFormatting sqref="G447">
    <cfRule type="expression" dxfId="1324" priority="1324">
      <formula>INDIRECT(ADDRESS(ROW(),COLUMN())) = "Atrativo"</formula>
    </cfRule>
  </conditionalFormatting>
  <conditionalFormatting sqref="G447">
    <cfRule type="expression" dxfId="1325" priority="1325">
      <formula>INDIRECT(ADDRESS(ROW(),COLUMN())) = "Pouco atrativo"</formula>
    </cfRule>
  </conditionalFormatting>
  <conditionalFormatting sqref="M447">
    <cfRule type="cellIs" operator="equal" dxfId="1326" priority="1326">
      <formula>"Participar"</formula>
    </cfRule>
  </conditionalFormatting>
  <conditionalFormatting sqref="G448">
    <cfRule type="expression" dxfId="1327" priority="1327">
      <formula>INDIRECT(ADDRESS(ROW(),COLUMN())) = "Atrativo"</formula>
    </cfRule>
  </conditionalFormatting>
  <conditionalFormatting sqref="G448">
    <cfRule type="expression" dxfId="1328" priority="1328">
      <formula>INDIRECT(ADDRESS(ROW(),COLUMN())) = "Pouco atrativo"</formula>
    </cfRule>
  </conditionalFormatting>
  <conditionalFormatting sqref="M448">
    <cfRule type="cellIs" operator="equal" dxfId="1329" priority="1329">
      <formula>"Participar"</formula>
    </cfRule>
  </conditionalFormatting>
  <conditionalFormatting sqref="G449">
    <cfRule type="expression" dxfId="1330" priority="1330">
      <formula>INDIRECT(ADDRESS(ROW(),COLUMN())) = "Atrativo"</formula>
    </cfRule>
  </conditionalFormatting>
  <conditionalFormatting sqref="G449">
    <cfRule type="expression" dxfId="1331" priority="1331">
      <formula>INDIRECT(ADDRESS(ROW(),COLUMN())) = "Pouco atrativo"</formula>
    </cfRule>
  </conditionalFormatting>
  <conditionalFormatting sqref="M449">
    <cfRule type="cellIs" operator="equal" dxfId="1332" priority="1332">
      <formula>"Participar"</formula>
    </cfRule>
  </conditionalFormatting>
  <conditionalFormatting sqref="G450">
    <cfRule type="expression" dxfId="1333" priority="1333">
      <formula>INDIRECT(ADDRESS(ROW(),COLUMN())) = "Atrativo"</formula>
    </cfRule>
  </conditionalFormatting>
  <conditionalFormatting sqref="G450">
    <cfRule type="expression" dxfId="1334" priority="1334">
      <formula>INDIRECT(ADDRESS(ROW(),COLUMN())) = "Pouco atrativo"</formula>
    </cfRule>
  </conditionalFormatting>
  <conditionalFormatting sqref="M450">
    <cfRule type="cellIs" operator="equal" dxfId="1335" priority="1335">
      <formula>"Participar"</formula>
    </cfRule>
  </conditionalFormatting>
  <conditionalFormatting sqref="G451">
    <cfRule type="expression" dxfId="1336" priority="1336">
      <formula>INDIRECT(ADDRESS(ROW(),COLUMN())) = "Atrativo"</formula>
    </cfRule>
  </conditionalFormatting>
  <conditionalFormatting sqref="G451">
    <cfRule type="expression" dxfId="1337" priority="1337">
      <formula>INDIRECT(ADDRESS(ROW(),COLUMN())) = "Pouco atrativo"</formula>
    </cfRule>
  </conditionalFormatting>
  <conditionalFormatting sqref="M451">
    <cfRule type="cellIs" operator="equal" dxfId="1338" priority="1338">
      <formula>"Participar"</formula>
    </cfRule>
  </conditionalFormatting>
  <conditionalFormatting sqref="G452">
    <cfRule type="expression" dxfId="1339" priority="1339">
      <formula>INDIRECT(ADDRESS(ROW(),COLUMN())) = "Atrativo"</formula>
    </cfRule>
  </conditionalFormatting>
  <conditionalFormatting sqref="G452">
    <cfRule type="expression" dxfId="1340" priority="1340">
      <formula>INDIRECT(ADDRESS(ROW(),COLUMN())) = "Pouco atrativo"</formula>
    </cfRule>
  </conditionalFormatting>
  <conditionalFormatting sqref="M452">
    <cfRule type="cellIs" operator="equal" dxfId="1341" priority="1341">
      <formula>"Participar"</formula>
    </cfRule>
  </conditionalFormatting>
  <conditionalFormatting sqref="G453">
    <cfRule type="expression" dxfId="1342" priority="1342">
      <formula>INDIRECT(ADDRESS(ROW(),COLUMN())) = "Atrativo"</formula>
    </cfRule>
  </conditionalFormatting>
  <conditionalFormatting sqref="G453">
    <cfRule type="expression" dxfId="1343" priority="1343">
      <formula>INDIRECT(ADDRESS(ROW(),COLUMN())) = "Pouco atrativo"</formula>
    </cfRule>
  </conditionalFormatting>
  <conditionalFormatting sqref="M453">
    <cfRule type="cellIs" operator="equal" dxfId="1344" priority="1344">
      <formula>"Participar"</formula>
    </cfRule>
  </conditionalFormatting>
  <conditionalFormatting sqref="G454">
    <cfRule type="expression" dxfId="1345" priority="1345">
      <formula>INDIRECT(ADDRESS(ROW(),COLUMN())) = "Atrativo"</formula>
    </cfRule>
  </conditionalFormatting>
  <conditionalFormatting sqref="G454">
    <cfRule type="expression" dxfId="1346" priority="1346">
      <formula>INDIRECT(ADDRESS(ROW(),COLUMN())) = "Pouco atrativo"</formula>
    </cfRule>
  </conditionalFormatting>
  <conditionalFormatting sqref="M454">
    <cfRule type="cellIs" operator="equal" dxfId="1347" priority="1347">
      <formula>"Participar"</formula>
    </cfRule>
  </conditionalFormatting>
  <conditionalFormatting sqref="G455">
    <cfRule type="expression" dxfId="1348" priority="1348">
      <formula>INDIRECT(ADDRESS(ROW(),COLUMN())) = "Atrativo"</formula>
    </cfRule>
  </conditionalFormatting>
  <conditionalFormatting sqref="G455">
    <cfRule type="expression" dxfId="1349" priority="1349">
      <formula>INDIRECT(ADDRESS(ROW(),COLUMN())) = "Pouco atrativo"</formula>
    </cfRule>
  </conditionalFormatting>
  <conditionalFormatting sqref="M455">
    <cfRule type="cellIs" operator="equal" dxfId="1350" priority="1350">
      <formula>"Participar"</formula>
    </cfRule>
  </conditionalFormatting>
  <conditionalFormatting sqref="G456">
    <cfRule type="expression" dxfId="1351" priority="1351">
      <formula>INDIRECT(ADDRESS(ROW(),COLUMN())) = "Atrativo"</formula>
    </cfRule>
  </conditionalFormatting>
  <conditionalFormatting sqref="G456">
    <cfRule type="expression" dxfId="1352" priority="1352">
      <formula>INDIRECT(ADDRESS(ROW(),COLUMN())) = "Pouco atrativo"</formula>
    </cfRule>
  </conditionalFormatting>
  <conditionalFormatting sqref="M456">
    <cfRule type="cellIs" operator="equal" dxfId="1353" priority="1353">
      <formula>"Participar"</formula>
    </cfRule>
  </conditionalFormatting>
  <conditionalFormatting sqref="G457">
    <cfRule type="expression" dxfId="1354" priority="1354">
      <formula>INDIRECT(ADDRESS(ROW(),COLUMN())) = "Atrativo"</formula>
    </cfRule>
  </conditionalFormatting>
  <conditionalFormatting sqref="G457">
    <cfRule type="expression" dxfId="1355" priority="1355">
      <formula>INDIRECT(ADDRESS(ROW(),COLUMN())) = "Pouco atrativo"</formula>
    </cfRule>
  </conditionalFormatting>
  <conditionalFormatting sqref="M457">
    <cfRule type="cellIs" operator="equal" dxfId="1356" priority="1356">
      <formula>"Participar"</formula>
    </cfRule>
  </conditionalFormatting>
  <conditionalFormatting sqref="G458">
    <cfRule type="expression" dxfId="1357" priority="1357">
      <formula>INDIRECT(ADDRESS(ROW(),COLUMN())) = "Atrativo"</formula>
    </cfRule>
  </conditionalFormatting>
  <conditionalFormatting sqref="G458">
    <cfRule type="expression" dxfId="1358" priority="1358">
      <formula>INDIRECT(ADDRESS(ROW(),COLUMN())) = "Pouco atrativo"</formula>
    </cfRule>
  </conditionalFormatting>
  <conditionalFormatting sqref="M458">
    <cfRule type="cellIs" operator="equal" dxfId="1359" priority="1359">
      <formula>"Participar"</formula>
    </cfRule>
  </conditionalFormatting>
  <conditionalFormatting sqref="G459">
    <cfRule type="expression" dxfId="1360" priority="1360">
      <formula>INDIRECT(ADDRESS(ROW(),COLUMN())) = "Atrativo"</formula>
    </cfRule>
  </conditionalFormatting>
  <conditionalFormatting sqref="G459">
    <cfRule type="expression" dxfId="1361" priority="1361">
      <formula>INDIRECT(ADDRESS(ROW(),COLUMN())) = "Pouco atrativo"</formula>
    </cfRule>
  </conditionalFormatting>
  <conditionalFormatting sqref="M459">
    <cfRule type="cellIs" operator="equal" dxfId="1362" priority="1362">
      <formula>"Participar"</formula>
    </cfRule>
  </conditionalFormatting>
  <conditionalFormatting sqref="G460">
    <cfRule type="expression" dxfId="1363" priority="1363">
      <formula>INDIRECT(ADDRESS(ROW(),COLUMN())) = "Atrativo"</formula>
    </cfRule>
  </conditionalFormatting>
  <conditionalFormatting sqref="G460">
    <cfRule type="expression" dxfId="1364" priority="1364">
      <formula>INDIRECT(ADDRESS(ROW(),COLUMN())) = "Pouco atrativo"</formula>
    </cfRule>
  </conditionalFormatting>
  <conditionalFormatting sqref="M460">
    <cfRule type="cellIs" operator="equal" dxfId="1365" priority="1365">
      <formula>"Participar"</formula>
    </cfRule>
  </conditionalFormatting>
  <conditionalFormatting sqref="G461">
    <cfRule type="expression" dxfId="1366" priority="1366">
      <formula>INDIRECT(ADDRESS(ROW(),COLUMN())) = "Atrativo"</formula>
    </cfRule>
  </conditionalFormatting>
  <conditionalFormatting sqref="G461">
    <cfRule type="expression" dxfId="1367" priority="1367">
      <formula>INDIRECT(ADDRESS(ROW(),COLUMN())) = "Pouco atrativo"</formula>
    </cfRule>
  </conditionalFormatting>
  <conditionalFormatting sqref="M461">
    <cfRule type="cellIs" operator="equal" dxfId="1368" priority="1368">
      <formula>"Participar"</formula>
    </cfRule>
  </conditionalFormatting>
  <conditionalFormatting sqref="G462">
    <cfRule type="expression" dxfId="1369" priority="1369">
      <formula>INDIRECT(ADDRESS(ROW(),COLUMN())) = "Atrativo"</formula>
    </cfRule>
  </conditionalFormatting>
  <conditionalFormatting sqref="G462">
    <cfRule type="expression" dxfId="1370" priority="1370">
      <formula>INDIRECT(ADDRESS(ROW(),COLUMN())) = "Pouco atrativo"</formula>
    </cfRule>
  </conditionalFormatting>
  <conditionalFormatting sqref="M462">
    <cfRule type="cellIs" operator="equal" dxfId="1371" priority="1371">
      <formula>"Participar"</formula>
    </cfRule>
  </conditionalFormatting>
  <conditionalFormatting sqref="G463">
    <cfRule type="expression" dxfId="1372" priority="1372">
      <formula>INDIRECT(ADDRESS(ROW(),COLUMN())) = "Atrativo"</formula>
    </cfRule>
  </conditionalFormatting>
  <conditionalFormatting sqref="G463">
    <cfRule type="expression" dxfId="1373" priority="1373">
      <formula>INDIRECT(ADDRESS(ROW(),COLUMN())) = "Pouco atrativo"</formula>
    </cfRule>
  </conditionalFormatting>
  <conditionalFormatting sqref="M463">
    <cfRule type="cellIs" operator="equal" dxfId="1374" priority="1374">
      <formula>"Participar"</formula>
    </cfRule>
  </conditionalFormatting>
  <conditionalFormatting sqref="G464">
    <cfRule type="expression" dxfId="1375" priority="1375">
      <formula>INDIRECT(ADDRESS(ROW(),COLUMN())) = "Atrativo"</formula>
    </cfRule>
  </conditionalFormatting>
  <conditionalFormatting sqref="G464">
    <cfRule type="expression" dxfId="1376" priority="1376">
      <formula>INDIRECT(ADDRESS(ROW(),COLUMN())) = "Pouco atrativo"</formula>
    </cfRule>
  </conditionalFormatting>
  <conditionalFormatting sqref="M464">
    <cfRule type="cellIs" operator="equal" dxfId="1377" priority="1377">
      <formula>"Participar"</formula>
    </cfRule>
  </conditionalFormatting>
  <conditionalFormatting sqref="G465">
    <cfRule type="expression" dxfId="1378" priority="1378">
      <formula>INDIRECT(ADDRESS(ROW(),COLUMN())) = "Atrativo"</formula>
    </cfRule>
  </conditionalFormatting>
  <conditionalFormatting sqref="G465">
    <cfRule type="expression" dxfId="1379" priority="1379">
      <formula>INDIRECT(ADDRESS(ROW(),COLUMN())) = "Pouco atrativo"</formula>
    </cfRule>
  </conditionalFormatting>
  <conditionalFormatting sqref="M465">
    <cfRule type="cellIs" operator="equal" dxfId="1380" priority="1380">
      <formula>"Participar"</formula>
    </cfRule>
  </conditionalFormatting>
  <conditionalFormatting sqref="G466">
    <cfRule type="expression" dxfId="1381" priority="1381">
      <formula>INDIRECT(ADDRESS(ROW(),COLUMN())) = "Atrativo"</formula>
    </cfRule>
  </conditionalFormatting>
  <conditionalFormatting sqref="G466">
    <cfRule type="expression" dxfId="1382" priority="1382">
      <formula>INDIRECT(ADDRESS(ROW(),COLUMN())) = "Pouco atrativo"</formula>
    </cfRule>
  </conditionalFormatting>
  <conditionalFormatting sqref="M466">
    <cfRule type="cellIs" operator="equal" dxfId="1383" priority="1383">
      <formula>"Participar"</formula>
    </cfRule>
  </conditionalFormatting>
  <conditionalFormatting sqref="G467">
    <cfRule type="expression" dxfId="1384" priority="1384">
      <formula>INDIRECT(ADDRESS(ROW(),COLUMN())) = "Atrativo"</formula>
    </cfRule>
  </conditionalFormatting>
  <conditionalFormatting sqref="G467">
    <cfRule type="expression" dxfId="1385" priority="1385">
      <formula>INDIRECT(ADDRESS(ROW(),COLUMN())) = "Pouco atrativo"</formula>
    </cfRule>
  </conditionalFormatting>
  <conditionalFormatting sqref="M467">
    <cfRule type="cellIs" operator="equal" dxfId="1386" priority="1386">
      <formula>"Participar"</formula>
    </cfRule>
  </conditionalFormatting>
  <conditionalFormatting sqref="G468">
    <cfRule type="expression" dxfId="1387" priority="1387">
      <formula>INDIRECT(ADDRESS(ROW(),COLUMN())) = "Atrativo"</formula>
    </cfRule>
  </conditionalFormatting>
  <conditionalFormatting sqref="G468">
    <cfRule type="expression" dxfId="1388" priority="1388">
      <formula>INDIRECT(ADDRESS(ROW(),COLUMN())) = "Pouco atrativo"</formula>
    </cfRule>
  </conditionalFormatting>
  <conditionalFormatting sqref="M468">
    <cfRule type="cellIs" operator="equal" dxfId="1389" priority="1389">
      <formula>"Participar"</formula>
    </cfRule>
  </conditionalFormatting>
  <conditionalFormatting sqref="G469">
    <cfRule type="expression" dxfId="1390" priority="1390">
      <formula>INDIRECT(ADDRESS(ROW(),COLUMN())) = "Atrativo"</formula>
    </cfRule>
  </conditionalFormatting>
  <conditionalFormatting sqref="G469">
    <cfRule type="expression" dxfId="1391" priority="1391">
      <formula>INDIRECT(ADDRESS(ROW(),COLUMN())) = "Pouco atrativo"</formula>
    </cfRule>
  </conditionalFormatting>
  <conditionalFormatting sqref="M469">
    <cfRule type="cellIs" operator="equal" dxfId="1392" priority="1392">
      <formula>"Participar"</formula>
    </cfRule>
  </conditionalFormatting>
  <conditionalFormatting sqref="G470">
    <cfRule type="expression" dxfId="1393" priority="1393">
      <formula>INDIRECT(ADDRESS(ROW(),COLUMN())) = "Atrativo"</formula>
    </cfRule>
  </conditionalFormatting>
  <conditionalFormatting sqref="G470">
    <cfRule type="expression" dxfId="1394" priority="1394">
      <formula>INDIRECT(ADDRESS(ROW(),COLUMN())) = "Pouco atrativo"</formula>
    </cfRule>
  </conditionalFormatting>
  <conditionalFormatting sqref="M470">
    <cfRule type="cellIs" operator="equal" dxfId="1395" priority="1395">
      <formula>"Participar"</formula>
    </cfRule>
  </conditionalFormatting>
  <conditionalFormatting sqref="G471">
    <cfRule type="expression" dxfId="1396" priority="1396">
      <formula>INDIRECT(ADDRESS(ROW(),COLUMN())) = "Atrativo"</formula>
    </cfRule>
  </conditionalFormatting>
  <conditionalFormatting sqref="G471">
    <cfRule type="expression" dxfId="1397" priority="1397">
      <formula>INDIRECT(ADDRESS(ROW(),COLUMN())) = "Pouco atrativo"</formula>
    </cfRule>
  </conditionalFormatting>
  <conditionalFormatting sqref="M471">
    <cfRule type="cellIs" operator="equal" dxfId="1398" priority="1398">
      <formula>"Participar"</formula>
    </cfRule>
  </conditionalFormatting>
  <conditionalFormatting sqref="G472">
    <cfRule type="expression" dxfId="1399" priority="1399">
      <formula>INDIRECT(ADDRESS(ROW(),COLUMN())) = "Atrativo"</formula>
    </cfRule>
  </conditionalFormatting>
  <conditionalFormatting sqref="G472">
    <cfRule type="expression" dxfId="1400" priority="1400">
      <formula>INDIRECT(ADDRESS(ROW(),COLUMN())) = "Pouco atrativo"</formula>
    </cfRule>
  </conditionalFormatting>
  <conditionalFormatting sqref="M472">
    <cfRule type="cellIs" operator="equal" dxfId="1401" priority="1401">
      <formula>"Participar"</formula>
    </cfRule>
  </conditionalFormatting>
  <conditionalFormatting sqref="G473">
    <cfRule type="expression" dxfId="1402" priority="1402">
      <formula>INDIRECT(ADDRESS(ROW(),COLUMN())) = "Atrativo"</formula>
    </cfRule>
  </conditionalFormatting>
  <conditionalFormatting sqref="G473">
    <cfRule type="expression" dxfId="1403" priority="1403">
      <formula>INDIRECT(ADDRESS(ROW(),COLUMN())) = "Pouco atrativo"</formula>
    </cfRule>
  </conditionalFormatting>
  <conditionalFormatting sqref="M473">
    <cfRule type="cellIs" operator="equal" dxfId="1404" priority="1404">
      <formula>"Participar"</formula>
    </cfRule>
  </conditionalFormatting>
  <conditionalFormatting sqref="G474">
    <cfRule type="expression" dxfId="1405" priority="1405">
      <formula>INDIRECT(ADDRESS(ROW(),COLUMN())) = "Atrativo"</formula>
    </cfRule>
  </conditionalFormatting>
  <conditionalFormatting sqref="G474">
    <cfRule type="expression" dxfId="1406" priority="1406">
      <formula>INDIRECT(ADDRESS(ROW(),COLUMN())) = "Pouco atrativo"</formula>
    </cfRule>
  </conditionalFormatting>
  <conditionalFormatting sqref="M474">
    <cfRule type="cellIs" operator="equal" dxfId="1407" priority="1407">
      <formula>"Participar"</formula>
    </cfRule>
  </conditionalFormatting>
  <conditionalFormatting sqref="G475">
    <cfRule type="expression" dxfId="1408" priority="1408">
      <formula>INDIRECT(ADDRESS(ROW(),COLUMN())) = "Atrativo"</formula>
    </cfRule>
  </conditionalFormatting>
  <conditionalFormatting sqref="G475">
    <cfRule type="expression" dxfId="1409" priority="1409">
      <formula>INDIRECT(ADDRESS(ROW(),COLUMN())) = "Pouco atrativo"</formula>
    </cfRule>
  </conditionalFormatting>
  <conditionalFormatting sqref="M475">
    <cfRule type="cellIs" operator="equal" dxfId="1410" priority="1410">
      <formula>"Participar"</formula>
    </cfRule>
  </conditionalFormatting>
  <conditionalFormatting sqref="G476">
    <cfRule type="expression" dxfId="1411" priority="1411">
      <formula>INDIRECT(ADDRESS(ROW(),COLUMN())) = "Atrativo"</formula>
    </cfRule>
  </conditionalFormatting>
  <conditionalFormatting sqref="G476">
    <cfRule type="expression" dxfId="1412" priority="1412">
      <formula>INDIRECT(ADDRESS(ROW(),COLUMN())) = "Pouco atrativo"</formula>
    </cfRule>
  </conditionalFormatting>
  <conditionalFormatting sqref="M476">
    <cfRule type="cellIs" operator="equal" dxfId="1413" priority="1413">
      <formula>"Participar"</formula>
    </cfRule>
  </conditionalFormatting>
  <conditionalFormatting sqref="G477">
    <cfRule type="expression" dxfId="1414" priority="1414">
      <formula>INDIRECT(ADDRESS(ROW(),COLUMN())) = "Atrativo"</formula>
    </cfRule>
  </conditionalFormatting>
  <conditionalFormatting sqref="G477">
    <cfRule type="expression" dxfId="1415" priority="1415">
      <formula>INDIRECT(ADDRESS(ROW(),COLUMN())) = "Pouco atrativo"</formula>
    </cfRule>
  </conditionalFormatting>
  <conditionalFormatting sqref="M477">
    <cfRule type="cellIs" operator="equal" dxfId="1416" priority="1416">
      <formula>"Participar"</formula>
    </cfRule>
  </conditionalFormatting>
  <conditionalFormatting sqref="G478">
    <cfRule type="expression" dxfId="1417" priority="1417">
      <formula>INDIRECT(ADDRESS(ROW(),COLUMN())) = "Atrativo"</formula>
    </cfRule>
  </conditionalFormatting>
  <conditionalFormatting sqref="G478">
    <cfRule type="expression" dxfId="1418" priority="1418">
      <formula>INDIRECT(ADDRESS(ROW(),COLUMN())) = "Pouco atrativo"</formula>
    </cfRule>
  </conditionalFormatting>
  <conditionalFormatting sqref="M478">
    <cfRule type="cellIs" operator="equal" dxfId="1419" priority="1419">
      <formula>"Participar"</formula>
    </cfRule>
  </conditionalFormatting>
  <conditionalFormatting sqref="G479">
    <cfRule type="expression" dxfId="1420" priority="1420">
      <formula>INDIRECT(ADDRESS(ROW(),COLUMN())) = "Atrativo"</formula>
    </cfRule>
  </conditionalFormatting>
  <conditionalFormatting sqref="G479">
    <cfRule type="expression" dxfId="1421" priority="1421">
      <formula>INDIRECT(ADDRESS(ROW(),COLUMN())) = "Pouco atrativo"</formula>
    </cfRule>
  </conditionalFormatting>
  <conditionalFormatting sqref="M479">
    <cfRule type="cellIs" operator="equal" dxfId="1422" priority="1422">
      <formula>"Participar"</formula>
    </cfRule>
  </conditionalFormatting>
  <conditionalFormatting sqref="G480">
    <cfRule type="expression" dxfId="1423" priority="1423">
      <formula>INDIRECT(ADDRESS(ROW(),COLUMN())) = "Atrativo"</formula>
    </cfRule>
  </conditionalFormatting>
  <conditionalFormatting sqref="G480">
    <cfRule type="expression" dxfId="1424" priority="1424">
      <formula>INDIRECT(ADDRESS(ROW(),COLUMN())) = "Pouco atrativo"</formula>
    </cfRule>
  </conditionalFormatting>
  <conditionalFormatting sqref="M480">
    <cfRule type="cellIs" operator="equal" dxfId="1425" priority="1425">
      <formula>"Participar"</formula>
    </cfRule>
  </conditionalFormatting>
  <conditionalFormatting sqref="G481">
    <cfRule type="expression" dxfId="1426" priority="1426">
      <formula>INDIRECT(ADDRESS(ROW(),COLUMN())) = "Atrativo"</formula>
    </cfRule>
  </conditionalFormatting>
  <conditionalFormatting sqref="G481">
    <cfRule type="expression" dxfId="1427" priority="1427">
      <formula>INDIRECT(ADDRESS(ROW(),COLUMN())) = "Pouco atrativo"</formula>
    </cfRule>
  </conditionalFormatting>
  <conditionalFormatting sqref="M481">
    <cfRule type="cellIs" operator="equal" dxfId="1428" priority="1428">
      <formula>"Participar"</formula>
    </cfRule>
  </conditionalFormatting>
  <conditionalFormatting sqref="G482">
    <cfRule type="expression" dxfId="1429" priority="1429">
      <formula>INDIRECT(ADDRESS(ROW(),COLUMN())) = "Atrativo"</formula>
    </cfRule>
  </conditionalFormatting>
  <conditionalFormatting sqref="G482">
    <cfRule type="expression" dxfId="1430" priority="1430">
      <formula>INDIRECT(ADDRESS(ROW(),COLUMN())) = "Pouco atrativo"</formula>
    </cfRule>
  </conditionalFormatting>
  <conditionalFormatting sqref="M482">
    <cfRule type="cellIs" operator="equal" dxfId="1431" priority="1431">
      <formula>"Participar"</formula>
    </cfRule>
  </conditionalFormatting>
  <conditionalFormatting sqref="G483">
    <cfRule type="expression" dxfId="1432" priority="1432">
      <formula>INDIRECT(ADDRESS(ROW(),COLUMN())) = "Atrativo"</formula>
    </cfRule>
  </conditionalFormatting>
  <conditionalFormatting sqref="G483">
    <cfRule type="expression" dxfId="1433" priority="1433">
      <formula>INDIRECT(ADDRESS(ROW(),COLUMN())) = "Pouco atrativo"</formula>
    </cfRule>
  </conditionalFormatting>
  <conditionalFormatting sqref="M483">
    <cfRule type="cellIs" operator="equal" dxfId="1434" priority="1434">
      <formula>"Participar"</formula>
    </cfRule>
  </conditionalFormatting>
  <conditionalFormatting sqref="G484">
    <cfRule type="expression" dxfId="1435" priority="1435">
      <formula>INDIRECT(ADDRESS(ROW(),COLUMN())) = "Atrativo"</formula>
    </cfRule>
  </conditionalFormatting>
  <conditionalFormatting sqref="G484">
    <cfRule type="expression" dxfId="1436" priority="1436">
      <formula>INDIRECT(ADDRESS(ROW(),COLUMN())) = "Pouco atrativo"</formula>
    </cfRule>
  </conditionalFormatting>
  <conditionalFormatting sqref="M484">
    <cfRule type="cellIs" operator="equal" dxfId="1437" priority="1437">
      <formula>"Participar"</formula>
    </cfRule>
  </conditionalFormatting>
  <conditionalFormatting sqref="G485">
    <cfRule type="expression" dxfId="1438" priority="1438">
      <formula>INDIRECT(ADDRESS(ROW(),COLUMN())) = "Atrativo"</formula>
    </cfRule>
  </conditionalFormatting>
  <conditionalFormatting sqref="G485">
    <cfRule type="expression" dxfId="1439" priority="1439">
      <formula>INDIRECT(ADDRESS(ROW(),COLUMN())) = "Pouco atrativo"</formula>
    </cfRule>
  </conditionalFormatting>
  <conditionalFormatting sqref="M485">
    <cfRule type="cellIs" operator="equal" dxfId="1440" priority="1440">
      <formula>"Participar"</formula>
    </cfRule>
  </conditionalFormatting>
  <conditionalFormatting sqref="G486">
    <cfRule type="expression" dxfId="1441" priority="1441">
      <formula>INDIRECT(ADDRESS(ROW(),COLUMN())) = "Atrativo"</formula>
    </cfRule>
  </conditionalFormatting>
  <conditionalFormatting sqref="G486">
    <cfRule type="expression" dxfId="1442" priority="1442">
      <formula>INDIRECT(ADDRESS(ROW(),COLUMN())) = "Pouco atrativo"</formula>
    </cfRule>
  </conditionalFormatting>
  <conditionalFormatting sqref="M486">
    <cfRule type="cellIs" operator="equal" dxfId="1443" priority="1443">
      <formula>"Participar"</formula>
    </cfRule>
  </conditionalFormatting>
  <conditionalFormatting sqref="G487">
    <cfRule type="expression" dxfId="1444" priority="1444">
      <formula>INDIRECT(ADDRESS(ROW(),COLUMN())) = "Atrativo"</formula>
    </cfRule>
  </conditionalFormatting>
  <conditionalFormatting sqref="G487">
    <cfRule type="expression" dxfId="1445" priority="1445">
      <formula>INDIRECT(ADDRESS(ROW(),COLUMN())) = "Pouco atrativo"</formula>
    </cfRule>
  </conditionalFormatting>
  <conditionalFormatting sqref="M487">
    <cfRule type="cellIs" operator="equal" dxfId="1446" priority="1446">
      <formula>"Participar"</formula>
    </cfRule>
  </conditionalFormatting>
  <conditionalFormatting sqref="G488">
    <cfRule type="expression" dxfId="1447" priority="1447">
      <formula>INDIRECT(ADDRESS(ROW(),COLUMN())) = "Atrativo"</formula>
    </cfRule>
  </conditionalFormatting>
  <conditionalFormatting sqref="G488">
    <cfRule type="expression" dxfId="1448" priority="1448">
      <formula>INDIRECT(ADDRESS(ROW(),COLUMN())) = "Pouco atrativo"</formula>
    </cfRule>
  </conditionalFormatting>
  <conditionalFormatting sqref="M488">
    <cfRule type="cellIs" operator="equal" dxfId="1449" priority="1449">
      <formula>"Participar"</formula>
    </cfRule>
  </conditionalFormatting>
  <conditionalFormatting sqref="G489">
    <cfRule type="expression" dxfId="1450" priority="1450">
      <formula>INDIRECT(ADDRESS(ROW(),COLUMN())) = "Atrativo"</formula>
    </cfRule>
  </conditionalFormatting>
  <conditionalFormatting sqref="G489">
    <cfRule type="expression" dxfId="1451" priority="1451">
      <formula>INDIRECT(ADDRESS(ROW(),COLUMN())) = "Pouco atrativo"</formula>
    </cfRule>
  </conditionalFormatting>
  <conditionalFormatting sqref="M489">
    <cfRule type="cellIs" operator="equal" dxfId="1452" priority="1452">
      <formula>"Participar"</formula>
    </cfRule>
  </conditionalFormatting>
  <conditionalFormatting sqref="G490">
    <cfRule type="expression" dxfId="1453" priority="1453">
      <formula>INDIRECT(ADDRESS(ROW(),COLUMN())) = "Atrativo"</formula>
    </cfRule>
  </conditionalFormatting>
  <conditionalFormatting sqref="G490">
    <cfRule type="expression" dxfId="1454" priority="1454">
      <formula>INDIRECT(ADDRESS(ROW(),COLUMN())) = "Pouco atrativo"</formula>
    </cfRule>
  </conditionalFormatting>
  <conditionalFormatting sqref="M490">
    <cfRule type="cellIs" operator="equal" dxfId="1455" priority="1455">
      <formula>"Participar"</formula>
    </cfRule>
  </conditionalFormatting>
  <conditionalFormatting sqref="G491">
    <cfRule type="expression" dxfId="1456" priority="1456">
      <formula>INDIRECT(ADDRESS(ROW(),COLUMN())) = "Atrativo"</formula>
    </cfRule>
  </conditionalFormatting>
  <conditionalFormatting sqref="G491">
    <cfRule type="expression" dxfId="1457" priority="1457">
      <formula>INDIRECT(ADDRESS(ROW(),COLUMN())) = "Pouco atrativo"</formula>
    </cfRule>
  </conditionalFormatting>
  <conditionalFormatting sqref="M491">
    <cfRule type="cellIs" operator="equal" dxfId="1458" priority="1458">
      <formula>"Participar"</formula>
    </cfRule>
  </conditionalFormatting>
  <conditionalFormatting sqref="G492">
    <cfRule type="expression" dxfId="1459" priority="1459">
      <formula>INDIRECT(ADDRESS(ROW(),COLUMN())) = "Atrativo"</formula>
    </cfRule>
  </conditionalFormatting>
  <conditionalFormatting sqref="G492">
    <cfRule type="expression" dxfId="1460" priority="1460">
      <formula>INDIRECT(ADDRESS(ROW(),COLUMN())) = "Pouco atrativo"</formula>
    </cfRule>
  </conditionalFormatting>
  <conditionalFormatting sqref="M492">
    <cfRule type="cellIs" operator="equal" dxfId="1461" priority="1461">
      <formula>"Participar"</formula>
    </cfRule>
  </conditionalFormatting>
  <conditionalFormatting sqref="G493">
    <cfRule type="expression" dxfId="1462" priority="1462">
      <formula>INDIRECT(ADDRESS(ROW(),COLUMN())) = "Atrativo"</formula>
    </cfRule>
  </conditionalFormatting>
  <conditionalFormatting sqref="G493">
    <cfRule type="expression" dxfId="1463" priority="1463">
      <formula>INDIRECT(ADDRESS(ROW(),COLUMN())) = "Pouco atrativo"</formula>
    </cfRule>
  </conditionalFormatting>
  <conditionalFormatting sqref="M493">
    <cfRule type="cellIs" operator="equal" dxfId="1464" priority="1464">
      <formula>"Participar"</formula>
    </cfRule>
  </conditionalFormatting>
  <conditionalFormatting sqref="G494">
    <cfRule type="expression" dxfId="1465" priority="1465">
      <formula>INDIRECT(ADDRESS(ROW(),COLUMN())) = "Atrativo"</formula>
    </cfRule>
  </conditionalFormatting>
  <conditionalFormatting sqref="G494">
    <cfRule type="expression" dxfId="1466" priority="1466">
      <formula>INDIRECT(ADDRESS(ROW(),COLUMN())) = "Pouco atrativo"</formula>
    </cfRule>
  </conditionalFormatting>
  <conditionalFormatting sqref="M494">
    <cfRule type="cellIs" operator="equal" dxfId="1467" priority="1467">
      <formula>"Participar"</formula>
    </cfRule>
  </conditionalFormatting>
  <conditionalFormatting sqref="G495">
    <cfRule type="expression" dxfId="1468" priority="1468">
      <formula>INDIRECT(ADDRESS(ROW(),COLUMN())) = "Atrativo"</formula>
    </cfRule>
  </conditionalFormatting>
  <conditionalFormatting sqref="G495">
    <cfRule type="expression" dxfId="1469" priority="1469">
      <formula>INDIRECT(ADDRESS(ROW(),COLUMN())) = "Pouco atrativo"</formula>
    </cfRule>
  </conditionalFormatting>
  <conditionalFormatting sqref="M495">
    <cfRule type="cellIs" operator="equal" dxfId="1470" priority="1470">
      <formula>"Participar"</formula>
    </cfRule>
  </conditionalFormatting>
  <conditionalFormatting sqref="G496">
    <cfRule type="expression" dxfId="1471" priority="1471">
      <formula>INDIRECT(ADDRESS(ROW(),COLUMN())) = "Atrativo"</formula>
    </cfRule>
  </conditionalFormatting>
  <conditionalFormatting sqref="G496">
    <cfRule type="expression" dxfId="1472" priority="1472">
      <formula>INDIRECT(ADDRESS(ROW(),COLUMN())) = "Pouco atrativo"</formula>
    </cfRule>
  </conditionalFormatting>
  <conditionalFormatting sqref="M496">
    <cfRule type="cellIs" operator="equal" dxfId="1473" priority="1473">
      <formula>"Participar"</formula>
    </cfRule>
  </conditionalFormatting>
  <conditionalFormatting sqref="G497">
    <cfRule type="expression" dxfId="1474" priority="1474">
      <formula>INDIRECT(ADDRESS(ROW(),COLUMN())) = "Atrativo"</formula>
    </cfRule>
  </conditionalFormatting>
  <conditionalFormatting sqref="G497">
    <cfRule type="expression" dxfId="1475" priority="1475">
      <formula>INDIRECT(ADDRESS(ROW(),COLUMN())) = "Pouco atrativo"</formula>
    </cfRule>
  </conditionalFormatting>
  <conditionalFormatting sqref="M497">
    <cfRule type="cellIs" operator="equal" dxfId="1476" priority="1476">
      <formula>"Participar"</formula>
    </cfRule>
  </conditionalFormatting>
  <conditionalFormatting sqref="G498">
    <cfRule type="expression" dxfId="1477" priority="1477">
      <formula>INDIRECT(ADDRESS(ROW(),COLUMN())) = "Atrativo"</formula>
    </cfRule>
  </conditionalFormatting>
  <conditionalFormatting sqref="G498">
    <cfRule type="expression" dxfId="1478" priority="1478">
      <formula>INDIRECT(ADDRESS(ROW(),COLUMN())) = "Pouco atrativo"</formula>
    </cfRule>
  </conditionalFormatting>
  <conditionalFormatting sqref="M498">
    <cfRule type="cellIs" operator="equal" dxfId="1479" priority="1479">
      <formula>"Participar"</formula>
    </cfRule>
  </conditionalFormatting>
  <conditionalFormatting sqref="G499">
    <cfRule type="expression" dxfId="1480" priority="1480">
      <formula>INDIRECT(ADDRESS(ROW(),COLUMN())) = "Atrativo"</formula>
    </cfRule>
  </conditionalFormatting>
  <conditionalFormatting sqref="G499">
    <cfRule type="expression" dxfId="1481" priority="1481">
      <formula>INDIRECT(ADDRESS(ROW(),COLUMN())) = "Pouco atrativo"</formula>
    </cfRule>
  </conditionalFormatting>
  <conditionalFormatting sqref="M499">
    <cfRule type="cellIs" operator="equal" dxfId="1482" priority="1482">
      <formula>"Participar"</formula>
    </cfRule>
  </conditionalFormatting>
  <conditionalFormatting sqref="G500">
    <cfRule type="expression" dxfId="1483" priority="1483">
      <formula>INDIRECT(ADDRESS(ROW(),COLUMN())) = "Atrativo"</formula>
    </cfRule>
  </conditionalFormatting>
  <conditionalFormatting sqref="G500">
    <cfRule type="expression" dxfId="1484" priority="1484">
      <formula>INDIRECT(ADDRESS(ROW(),COLUMN())) = "Pouco atrativo"</formula>
    </cfRule>
  </conditionalFormatting>
  <conditionalFormatting sqref="M500">
    <cfRule type="cellIs" operator="equal" dxfId="1485" priority="1485">
      <formula>"Participar"</formula>
    </cfRule>
  </conditionalFormatting>
  <conditionalFormatting sqref="G501">
    <cfRule type="expression" dxfId="1486" priority="1486">
      <formula>INDIRECT(ADDRESS(ROW(),COLUMN())) = "Atrativo"</formula>
    </cfRule>
  </conditionalFormatting>
  <conditionalFormatting sqref="G501">
    <cfRule type="expression" dxfId="1487" priority="1487">
      <formula>INDIRECT(ADDRESS(ROW(),COLUMN())) = "Pouco atrativo"</formula>
    </cfRule>
  </conditionalFormatting>
  <conditionalFormatting sqref="M501">
    <cfRule type="cellIs" operator="equal" dxfId="1488" priority="1488">
      <formula>"Participar"</formula>
    </cfRule>
  </conditionalFormatting>
  <conditionalFormatting sqref="G502">
    <cfRule type="expression" dxfId="1489" priority="1489">
      <formula>INDIRECT(ADDRESS(ROW(),COLUMN())) = "Atrativo"</formula>
    </cfRule>
  </conditionalFormatting>
  <conditionalFormatting sqref="G502">
    <cfRule type="expression" dxfId="1490" priority="1490">
      <formula>INDIRECT(ADDRESS(ROW(),COLUMN())) = "Pouco atrativo"</formula>
    </cfRule>
  </conditionalFormatting>
  <conditionalFormatting sqref="M502">
    <cfRule type="cellIs" operator="equal" dxfId="1491" priority="1491">
      <formula>"Participar"</formula>
    </cfRule>
  </conditionalFormatting>
  <conditionalFormatting sqref="G503">
    <cfRule type="expression" dxfId="1492" priority="1492">
      <formula>INDIRECT(ADDRESS(ROW(),COLUMN())) = "Atrativo"</formula>
    </cfRule>
  </conditionalFormatting>
  <conditionalFormatting sqref="G503">
    <cfRule type="expression" dxfId="1493" priority="1493">
      <formula>INDIRECT(ADDRESS(ROW(),COLUMN())) = "Pouco atrativo"</formula>
    </cfRule>
  </conditionalFormatting>
  <conditionalFormatting sqref="M503">
    <cfRule type="cellIs" operator="equal" dxfId="1494" priority="1494">
      <formula>"Participar"</formula>
    </cfRule>
  </conditionalFormatting>
  <conditionalFormatting sqref="G504">
    <cfRule type="expression" dxfId="1495" priority="1495">
      <formula>INDIRECT(ADDRESS(ROW(),COLUMN())) = "Atrativo"</formula>
    </cfRule>
  </conditionalFormatting>
  <conditionalFormatting sqref="G504">
    <cfRule type="expression" dxfId="1496" priority="1496">
      <formula>INDIRECT(ADDRESS(ROW(),COLUMN())) = "Pouco atrativo"</formula>
    </cfRule>
  </conditionalFormatting>
  <conditionalFormatting sqref="M504">
    <cfRule type="cellIs" operator="equal" dxfId="1497" priority="1497">
      <formula>"Participar"</formula>
    </cfRule>
  </conditionalFormatting>
  <conditionalFormatting sqref="G505">
    <cfRule type="expression" dxfId="1498" priority="1498">
      <formula>INDIRECT(ADDRESS(ROW(),COLUMN())) = "Atrativo"</formula>
    </cfRule>
  </conditionalFormatting>
  <conditionalFormatting sqref="G505">
    <cfRule type="expression" dxfId="1499" priority="1499">
      <formula>INDIRECT(ADDRESS(ROW(),COLUMN())) = "Pouco atrativo"</formula>
    </cfRule>
  </conditionalFormatting>
  <conditionalFormatting sqref="M505">
    <cfRule type="cellIs" operator="equal" dxfId="1500" priority="1500">
      <formula>"Participar"</formula>
    </cfRule>
  </conditionalFormatting>
  <conditionalFormatting sqref="G506">
    <cfRule type="expression" dxfId="1501" priority="1501">
      <formula>INDIRECT(ADDRESS(ROW(),COLUMN())) = "Atrativo"</formula>
    </cfRule>
  </conditionalFormatting>
  <conditionalFormatting sqref="G506">
    <cfRule type="expression" dxfId="1502" priority="1502">
      <formula>INDIRECT(ADDRESS(ROW(),COLUMN())) = "Pouco atrativo"</formula>
    </cfRule>
  </conditionalFormatting>
  <conditionalFormatting sqref="M506">
    <cfRule type="cellIs" operator="equal" dxfId="1503" priority="1503">
      <formula>"Participar"</formula>
    </cfRule>
  </conditionalFormatting>
  <conditionalFormatting sqref="G507">
    <cfRule type="expression" dxfId="1504" priority="1504">
      <formula>INDIRECT(ADDRESS(ROW(),COLUMN())) = "Atrativo"</formula>
    </cfRule>
  </conditionalFormatting>
  <conditionalFormatting sqref="G507">
    <cfRule type="expression" dxfId="1505" priority="1505">
      <formula>INDIRECT(ADDRESS(ROW(),COLUMN())) = "Pouco atrativo"</formula>
    </cfRule>
  </conditionalFormatting>
  <conditionalFormatting sqref="M507">
    <cfRule type="cellIs" operator="equal" dxfId="1506" priority="1506">
      <formula>"Participar"</formula>
    </cfRule>
  </conditionalFormatting>
  <conditionalFormatting sqref="G508">
    <cfRule type="expression" dxfId="1507" priority="1507">
      <formula>INDIRECT(ADDRESS(ROW(),COLUMN())) = "Atrativo"</formula>
    </cfRule>
  </conditionalFormatting>
  <conditionalFormatting sqref="G508">
    <cfRule type="expression" dxfId="1508" priority="1508">
      <formula>INDIRECT(ADDRESS(ROW(),COLUMN())) = "Pouco atrativo"</formula>
    </cfRule>
  </conditionalFormatting>
  <conditionalFormatting sqref="M508">
    <cfRule type="cellIs" operator="equal" dxfId="1509" priority="1509">
      <formula>"Participar"</formula>
    </cfRule>
  </conditionalFormatting>
  <conditionalFormatting sqref="G509">
    <cfRule type="expression" dxfId="1510" priority="1510">
      <formula>INDIRECT(ADDRESS(ROW(),COLUMN())) = "Atrativo"</formula>
    </cfRule>
  </conditionalFormatting>
  <conditionalFormatting sqref="G509">
    <cfRule type="expression" dxfId="1511" priority="1511">
      <formula>INDIRECT(ADDRESS(ROW(),COLUMN())) = "Pouco atrativo"</formula>
    </cfRule>
  </conditionalFormatting>
  <conditionalFormatting sqref="M509">
    <cfRule type="cellIs" operator="equal" dxfId="1512" priority="1512">
      <formula>"Participar"</formula>
    </cfRule>
  </conditionalFormatting>
  <conditionalFormatting sqref="G510">
    <cfRule type="expression" dxfId="1513" priority="1513">
      <formula>INDIRECT(ADDRESS(ROW(),COLUMN())) = "Atrativo"</formula>
    </cfRule>
  </conditionalFormatting>
  <conditionalFormatting sqref="G510">
    <cfRule type="expression" dxfId="1514" priority="1514">
      <formula>INDIRECT(ADDRESS(ROW(),COLUMN())) = "Pouco atrativo"</formula>
    </cfRule>
  </conditionalFormatting>
  <conditionalFormatting sqref="M510">
    <cfRule type="cellIs" operator="equal" dxfId="1515" priority="1515">
      <formula>"Participar"</formula>
    </cfRule>
  </conditionalFormatting>
  <conditionalFormatting sqref="G511">
    <cfRule type="expression" dxfId="1516" priority="1516">
      <formula>INDIRECT(ADDRESS(ROW(),COLUMN())) = "Atrativo"</formula>
    </cfRule>
  </conditionalFormatting>
  <conditionalFormatting sqref="G511">
    <cfRule type="expression" dxfId="1517" priority="1517">
      <formula>INDIRECT(ADDRESS(ROW(),COLUMN())) = "Pouco atrativo"</formula>
    </cfRule>
  </conditionalFormatting>
  <conditionalFormatting sqref="M511">
    <cfRule type="cellIs" operator="equal" dxfId="1518" priority="1518">
      <formula>"Participar"</formula>
    </cfRule>
  </conditionalFormatting>
  <conditionalFormatting sqref="G512">
    <cfRule type="expression" dxfId="1519" priority="1519">
      <formula>INDIRECT(ADDRESS(ROW(),COLUMN())) = "Atrativo"</formula>
    </cfRule>
  </conditionalFormatting>
  <conditionalFormatting sqref="G512">
    <cfRule type="expression" dxfId="1520" priority="1520">
      <formula>INDIRECT(ADDRESS(ROW(),COLUMN())) = "Pouco atrativo"</formula>
    </cfRule>
  </conditionalFormatting>
  <conditionalFormatting sqref="M512">
    <cfRule type="cellIs" operator="equal" dxfId="1521" priority="1521">
      <formula>"Participar"</formula>
    </cfRule>
  </conditionalFormatting>
  <conditionalFormatting sqref="G513">
    <cfRule type="expression" dxfId="1522" priority="1522">
      <formula>INDIRECT(ADDRESS(ROW(),COLUMN())) = "Atrativo"</formula>
    </cfRule>
  </conditionalFormatting>
  <conditionalFormatting sqref="G513">
    <cfRule type="expression" dxfId="1523" priority="1523">
      <formula>INDIRECT(ADDRESS(ROW(),COLUMN())) = "Pouco atrativo"</formula>
    </cfRule>
  </conditionalFormatting>
  <conditionalFormatting sqref="M513">
    <cfRule type="cellIs" operator="equal" dxfId="1524" priority="1524">
      <formula>"Participar"</formula>
    </cfRule>
  </conditionalFormatting>
  <conditionalFormatting sqref="G514">
    <cfRule type="expression" dxfId="1525" priority="1525">
      <formula>INDIRECT(ADDRESS(ROW(),COLUMN())) = "Atrativo"</formula>
    </cfRule>
  </conditionalFormatting>
  <conditionalFormatting sqref="G514">
    <cfRule type="expression" dxfId="1526" priority="1526">
      <formula>INDIRECT(ADDRESS(ROW(),COLUMN())) = "Pouco atrativo"</formula>
    </cfRule>
  </conditionalFormatting>
  <conditionalFormatting sqref="M514">
    <cfRule type="cellIs" operator="equal" dxfId="1527" priority="1527">
      <formula>"Participar"</formula>
    </cfRule>
  </conditionalFormatting>
  <conditionalFormatting sqref="G515">
    <cfRule type="expression" dxfId="1528" priority="1528">
      <formula>INDIRECT(ADDRESS(ROW(),COLUMN())) = "Atrativo"</formula>
    </cfRule>
  </conditionalFormatting>
  <conditionalFormatting sqref="G515">
    <cfRule type="expression" dxfId="1529" priority="1529">
      <formula>INDIRECT(ADDRESS(ROW(),COLUMN())) = "Pouco atrativo"</formula>
    </cfRule>
  </conditionalFormatting>
  <conditionalFormatting sqref="M515">
    <cfRule type="cellIs" operator="equal" dxfId="1530" priority="1530">
      <formula>"Participar"</formula>
    </cfRule>
  </conditionalFormatting>
  <conditionalFormatting sqref="G516">
    <cfRule type="expression" dxfId="1531" priority="1531">
      <formula>INDIRECT(ADDRESS(ROW(),COLUMN())) = "Atrativo"</formula>
    </cfRule>
  </conditionalFormatting>
  <conditionalFormatting sqref="G516">
    <cfRule type="expression" dxfId="1532" priority="1532">
      <formula>INDIRECT(ADDRESS(ROW(),COLUMN())) = "Pouco atrativo"</formula>
    </cfRule>
  </conditionalFormatting>
  <conditionalFormatting sqref="M516">
    <cfRule type="cellIs" operator="equal" dxfId="1533" priority="1533">
      <formula>"Participar"</formula>
    </cfRule>
  </conditionalFormatting>
  <conditionalFormatting sqref="G517">
    <cfRule type="expression" dxfId="1534" priority="1534">
      <formula>INDIRECT(ADDRESS(ROW(),COLUMN())) = "Atrativo"</formula>
    </cfRule>
  </conditionalFormatting>
  <conditionalFormatting sqref="G517">
    <cfRule type="expression" dxfId="1535" priority="1535">
      <formula>INDIRECT(ADDRESS(ROW(),COLUMN())) = "Pouco atrativo"</formula>
    </cfRule>
  </conditionalFormatting>
  <conditionalFormatting sqref="M517">
    <cfRule type="cellIs" operator="equal" dxfId="1536" priority="1536">
      <formula>"Participar"</formula>
    </cfRule>
  </conditionalFormatting>
  <conditionalFormatting sqref="G518">
    <cfRule type="expression" dxfId="1537" priority="1537">
      <formula>INDIRECT(ADDRESS(ROW(),COLUMN())) = "Atrativo"</formula>
    </cfRule>
  </conditionalFormatting>
  <conditionalFormatting sqref="G518">
    <cfRule type="expression" dxfId="1538" priority="1538">
      <formula>INDIRECT(ADDRESS(ROW(),COLUMN())) = "Pouco atrativo"</formula>
    </cfRule>
  </conditionalFormatting>
  <conditionalFormatting sqref="M518">
    <cfRule type="cellIs" operator="equal" dxfId="1539" priority="1539">
      <formula>"Participar"</formula>
    </cfRule>
  </conditionalFormatting>
  <conditionalFormatting sqref="G519">
    <cfRule type="expression" dxfId="1540" priority="1540">
      <formula>INDIRECT(ADDRESS(ROW(),COLUMN())) = "Atrativo"</formula>
    </cfRule>
  </conditionalFormatting>
  <conditionalFormatting sqref="G519">
    <cfRule type="expression" dxfId="1541" priority="1541">
      <formula>INDIRECT(ADDRESS(ROW(),COLUMN())) = "Pouco atrativo"</formula>
    </cfRule>
  </conditionalFormatting>
  <conditionalFormatting sqref="M519">
    <cfRule type="cellIs" operator="equal" dxfId="1542" priority="1542">
      <formula>"Participar"</formula>
    </cfRule>
  </conditionalFormatting>
  <conditionalFormatting sqref="G520">
    <cfRule type="expression" dxfId="1543" priority="1543">
      <formula>INDIRECT(ADDRESS(ROW(),COLUMN())) = "Atrativo"</formula>
    </cfRule>
  </conditionalFormatting>
  <conditionalFormatting sqref="G520">
    <cfRule type="expression" dxfId="1544" priority="1544">
      <formula>INDIRECT(ADDRESS(ROW(),COLUMN())) = "Pouco atrativo"</formula>
    </cfRule>
  </conditionalFormatting>
  <conditionalFormatting sqref="M520">
    <cfRule type="cellIs" operator="equal" dxfId="1545" priority="1545">
      <formula>"Participar"</formula>
    </cfRule>
  </conditionalFormatting>
  <conditionalFormatting sqref="G521">
    <cfRule type="expression" dxfId="1546" priority="1546">
      <formula>INDIRECT(ADDRESS(ROW(),COLUMN())) = "Atrativo"</formula>
    </cfRule>
  </conditionalFormatting>
  <conditionalFormatting sqref="G521">
    <cfRule type="expression" dxfId="1547" priority="1547">
      <formula>INDIRECT(ADDRESS(ROW(),COLUMN())) = "Pouco atrativo"</formula>
    </cfRule>
  </conditionalFormatting>
  <conditionalFormatting sqref="M521">
    <cfRule type="cellIs" operator="equal" dxfId="1548" priority="1548">
      <formula>"Participar"</formula>
    </cfRule>
  </conditionalFormatting>
  <conditionalFormatting sqref="G522">
    <cfRule type="expression" dxfId="1549" priority="1549">
      <formula>INDIRECT(ADDRESS(ROW(),COLUMN())) = "Atrativo"</formula>
    </cfRule>
  </conditionalFormatting>
  <conditionalFormatting sqref="G522">
    <cfRule type="expression" dxfId="1550" priority="1550">
      <formula>INDIRECT(ADDRESS(ROW(),COLUMN())) = "Pouco atrativo"</formula>
    </cfRule>
  </conditionalFormatting>
  <conditionalFormatting sqref="M522">
    <cfRule type="cellIs" operator="equal" dxfId="1551" priority="1551">
      <formula>"Participar"</formula>
    </cfRule>
  </conditionalFormatting>
  <conditionalFormatting sqref="G523">
    <cfRule type="expression" dxfId="1552" priority="1552">
      <formula>INDIRECT(ADDRESS(ROW(),COLUMN())) = "Atrativo"</formula>
    </cfRule>
  </conditionalFormatting>
  <conditionalFormatting sqref="G523">
    <cfRule type="expression" dxfId="1553" priority="1553">
      <formula>INDIRECT(ADDRESS(ROW(),COLUMN())) = "Pouco atrativo"</formula>
    </cfRule>
  </conditionalFormatting>
  <conditionalFormatting sqref="M523">
    <cfRule type="cellIs" operator="equal" dxfId="1554" priority="1554">
      <formula>"Participar"</formula>
    </cfRule>
  </conditionalFormatting>
  <conditionalFormatting sqref="G524">
    <cfRule type="expression" dxfId="1555" priority="1555">
      <formula>INDIRECT(ADDRESS(ROW(),COLUMN())) = "Atrativo"</formula>
    </cfRule>
  </conditionalFormatting>
  <conditionalFormatting sqref="G524">
    <cfRule type="expression" dxfId="1556" priority="1556">
      <formula>INDIRECT(ADDRESS(ROW(),COLUMN())) = "Pouco atrativo"</formula>
    </cfRule>
  </conditionalFormatting>
  <conditionalFormatting sqref="M524">
    <cfRule type="cellIs" operator="equal" dxfId="1557" priority="1557">
      <formula>"Participar"</formula>
    </cfRule>
  </conditionalFormatting>
  <conditionalFormatting sqref="G525">
    <cfRule type="expression" dxfId="1558" priority="1558">
      <formula>INDIRECT(ADDRESS(ROW(),COLUMN())) = "Atrativo"</formula>
    </cfRule>
  </conditionalFormatting>
  <conditionalFormatting sqref="G525">
    <cfRule type="expression" dxfId="1559" priority="1559">
      <formula>INDIRECT(ADDRESS(ROW(),COLUMN())) = "Pouco atrativo"</formula>
    </cfRule>
  </conditionalFormatting>
  <conditionalFormatting sqref="M525">
    <cfRule type="cellIs" operator="equal" dxfId="1560" priority="1560">
      <formula>"Participar"</formula>
    </cfRule>
  </conditionalFormatting>
  <conditionalFormatting sqref="G526">
    <cfRule type="expression" dxfId="1561" priority="1561">
      <formula>INDIRECT(ADDRESS(ROW(),COLUMN())) = "Atrativo"</formula>
    </cfRule>
  </conditionalFormatting>
  <conditionalFormatting sqref="G526">
    <cfRule type="expression" dxfId="1562" priority="1562">
      <formula>INDIRECT(ADDRESS(ROW(),COLUMN())) = "Pouco atrativo"</formula>
    </cfRule>
  </conditionalFormatting>
  <conditionalFormatting sqref="M526">
    <cfRule type="cellIs" operator="equal" dxfId="1563" priority="1563">
      <formula>"Participar"</formula>
    </cfRule>
  </conditionalFormatting>
  <conditionalFormatting sqref="G527">
    <cfRule type="expression" dxfId="1564" priority="1564">
      <formula>INDIRECT(ADDRESS(ROW(),COLUMN())) = "Atrativo"</formula>
    </cfRule>
  </conditionalFormatting>
  <conditionalFormatting sqref="G527">
    <cfRule type="expression" dxfId="1565" priority="1565">
      <formula>INDIRECT(ADDRESS(ROW(),COLUMN())) = "Pouco atrativo"</formula>
    </cfRule>
  </conditionalFormatting>
  <conditionalFormatting sqref="M527">
    <cfRule type="cellIs" operator="equal" dxfId="1566" priority="1566">
      <formula>"Participar"</formula>
    </cfRule>
  </conditionalFormatting>
  <conditionalFormatting sqref="G528">
    <cfRule type="expression" dxfId="1567" priority="1567">
      <formula>INDIRECT(ADDRESS(ROW(),COLUMN())) = "Atrativo"</formula>
    </cfRule>
  </conditionalFormatting>
  <conditionalFormatting sqref="G528">
    <cfRule type="expression" dxfId="1568" priority="1568">
      <formula>INDIRECT(ADDRESS(ROW(),COLUMN())) = "Pouco atrativo"</formula>
    </cfRule>
  </conditionalFormatting>
  <conditionalFormatting sqref="M528">
    <cfRule type="cellIs" operator="equal" dxfId="1569" priority="1569">
      <formula>"Participar"</formula>
    </cfRule>
  </conditionalFormatting>
  <conditionalFormatting sqref="G529">
    <cfRule type="expression" dxfId="1570" priority="1570">
      <formula>INDIRECT(ADDRESS(ROW(),COLUMN())) = "Atrativo"</formula>
    </cfRule>
  </conditionalFormatting>
  <conditionalFormatting sqref="G529">
    <cfRule type="expression" dxfId="1571" priority="1571">
      <formula>INDIRECT(ADDRESS(ROW(),COLUMN())) = "Pouco atrativo"</formula>
    </cfRule>
  </conditionalFormatting>
  <conditionalFormatting sqref="M529">
    <cfRule type="cellIs" operator="equal" dxfId="1572" priority="1572">
      <formula>"Participar"</formula>
    </cfRule>
  </conditionalFormatting>
  <conditionalFormatting sqref="G530">
    <cfRule type="expression" dxfId="1573" priority="1573">
      <formula>INDIRECT(ADDRESS(ROW(),COLUMN())) = "Atrativo"</formula>
    </cfRule>
  </conditionalFormatting>
  <conditionalFormatting sqref="G530">
    <cfRule type="expression" dxfId="1574" priority="1574">
      <formula>INDIRECT(ADDRESS(ROW(),COLUMN())) = "Pouco atrativo"</formula>
    </cfRule>
  </conditionalFormatting>
  <conditionalFormatting sqref="M530">
    <cfRule type="cellIs" operator="equal" dxfId="1575" priority="1575">
      <formula>"Participar"</formula>
    </cfRule>
  </conditionalFormatting>
  <conditionalFormatting sqref="G531">
    <cfRule type="expression" dxfId="1576" priority="1576">
      <formula>INDIRECT(ADDRESS(ROW(),COLUMN())) = "Atrativo"</formula>
    </cfRule>
  </conditionalFormatting>
  <conditionalFormatting sqref="G531">
    <cfRule type="expression" dxfId="1577" priority="1577">
      <formula>INDIRECT(ADDRESS(ROW(),COLUMN())) = "Pouco atrativo"</formula>
    </cfRule>
  </conditionalFormatting>
  <conditionalFormatting sqref="M531">
    <cfRule type="cellIs" operator="equal" dxfId="1578" priority="1578">
      <formula>"Participar"</formula>
    </cfRule>
  </conditionalFormatting>
  <conditionalFormatting sqref="G532">
    <cfRule type="expression" dxfId="1579" priority="1579">
      <formula>INDIRECT(ADDRESS(ROW(),COLUMN())) = "Atrativo"</formula>
    </cfRule>
  </conditionalFormatting>
  <conditionalFormatting sqref="G532">
    <cfRule type="expression" dxfId="1580" priority="1580">
      <formula>INDIRECT(ADDRESS(ROW(),COLUMN())) = "Pouco atrativo"</formula>
    </cfRule>
  </conditionalFormatting>
  <conditionalFormatting sqref="M532">
    <cfRule type="cellIs" operator="equal" dxfId="1581" priority="1581">
      <formula>"Participar"</formula>
    </cfRule>
  </conditionalFormatting>
  <conditionalFormatting sqref="G533">
    <cfRule type="expression" dxfId="1582" priority="1582">
      <formula>INDIRECT(ADDRESS(ROW(),COLUMN())) = "Atrativo"</formula>
    </cfRule>
  </conditionalFormatting>
  <conditionalFormatting sqref="G533">
    <cfRule type="expression" dxfId="1583" priority="1583">
      <formula>INDIRECT(ADDRESS(ROW(),COLUMN())) = "Pouco atrativo"</formula>
    </cfRule>
  </conditionalFormatting>
  <conditionalFormatting sqref="M533">
    <cfRule type="cellIs" operator="equal" dxfId="1584" priority="1584">
      <formula>"Participar"</formula>
    </cfRule>
  </conditionalFormatting>
  <conditionalFormatting sqref="G534">
    <cfRule type="expression" dxfId="1585" priority="1585">
      <formula>INDIRECT(ADDRESS(ROW(),COLUMN())) = "Atrativo"</formula>
    </cfRule>
  </conditionalFormatting>
  <conditionalFormatting sqref="G534">
    <cfRule type="expression" dxfId="1586" priority="1586">
      <formula>INDIRECT(ADDRESS(ROW(),COLUMN())) = "Pouco atrativo"</formula>
    </cfRule>
  </conditionalFormatting>
  <conditionalFormatting sqref="M534">
    <cfRule type="cellIs" operator="equal" dxfId="1587" priority="1587">
      <formula>"Participar"</formula>
    </cfRule>
  </conditionalFormatting>
  <conditionalFormatting sqref="G535">
    <cfRule type="expression" dxfId="1588" priority="1588">
      <formula>INDIRECT(ADDRESS(ROW(),COLUMN())) = "Atrativo"</formula>
    </cfRule>
  </conditionalFormatting>
  <conditionalFormatting sqref="G535">
    <cfRule type="expression" dxfId="1589" priority="1589">
      <formula>INDIRECT(ADDRESS(ROW(),COLUMN())) = "Pouco atrativo"</formula>
    </cfRule>
  </conditionalFormatting>
  <conditionalFormatting sqref="M535">
    <cfRule type="cellIs" operator="equal" dxfId="1590" priority="1590">
      <formula>"Participar"</formula>
    </cfRule>
  </conditionalFormatting>
  <conditionalFormatting sqref="G536">
    <cfRule type="expression" dxfId="1591" priority="1591">
      <formula>INDIRECT(ADDRESS(ROW(),COLUMN())) = "Atrativo"</formula>
    </cfRule>
  </conditionalFormatting>
  <conditionalFormatting sqref="G536">
    <cfRule type="expression" dxfId="1592" priority="1592">
      <formula>INDIRECT(ADDRESS(ROW(),COLUMN())) = "Pouco atrativo"</formula>
    </cfRule>
  </conditionalFormatting>
  <conditionalFormatting sqref="M536">
    <cfRule type="cellIs" operator="equal" dxfId="1593" priority="1593">
      <formula>"Participar"</formula>
    </cfRule>
  </conditionalFormatting>
  <conditionalFormatting sqref="G537">
    <cfRule type="expression" dxfId="1594" priority="1594">
      <formula>INDIRECT(ADDRESS(ROW(),COLUMN())) = "Atrativo"</formula>
    </cfRule>
  </conditionalFormatting>
  <conditionalFormatting sqref="G537">
    <cfRule type="expression" dxfId="1595" priority="1595">
      <formula>INDIRECT(ADDRESS(ROW(),COLUMN())) = "Pouco atrativo"</formula>
    </cfRule>
  </conditionalFormatting>
  <conditionalFormatting sqref="M537">
    <cfRule type="cellIs" operator="equal" dxfId="1596" priority="1596">
      <formula>"Participar"</formula>
    </cfRule>
  </conditionalFormatting>
  <conditionalFormatting sqref="G538">
    <cfRule type="expression" dxfId="1597" priority="1597">
      <formula>INDIRECT(ADDRESS(ROW(),COLUMN())) = "Atrativo"</formula>
    </cfRule>
  </conditionalFormatting>
  <conditionalFormatting sqref="G538">
    <cfRule type="expression" dxfId="1598" priority="1598">
      <formula>INDIRECT(ADDRESS(ROW(),COLUMN())) = "Pouco atrativo"</formula>
    </cfRule>
  </conditionalFormatting>
  <conditionalFormatting sqref="M538">
    <cfRule type="cellIs" operator="equal" dxfId="1599" priority="1599">
      <formula>"Participar"</formula>
    </cfRule>
  </conditionalFormatting>
  <conditionalFormatting sqref="G539">
    <cfRule type="expression" dxfId="1600" priority="1600">
      <formula>INDIRECT(ADDRESS(ROW(),COLUMN())) = "Atrativo"</formula>
    </cfRule>
  </conditionalFormatting>
  <conditionalFormatting sqref="G539">
    <cfRule type="expression" dxfId="1601" priority="1601">
      <formula>INDIRECT(ADDRESS(ROW(),COLUMN())) = "Pouco atrativo"</formula>
    </cfRule>
  </conditionalFormatting>
  <conditionalFormatting sqref="M539">
    <cfRule type="cellIs" operator="equal" dxfId="1602" priority="1602">
      <formula>"Participar"</formula>
    </cfRule>
  </conditionalFormatting>
  <conditionalFormatting sqref="G540">
    <cfRule type="expression" dxfId="1603" priority="1603">
      <formula>INDIRECT(ADDRESS(ROW(),COLUMN())) = "Atrativo"</formula>
    </cfRule>
  </conditionalFormatting>
  <conditionalFormatting sqref="G540">
    <cfRule type="expression" dxfId="1604" priority="1604">
      <formula>INDIRECT(ADDRESS(ROW(),COLUMN())) = "Pouco atrativo"</formula>
    </cfRule>
  </conditionalFormatting>
  <conditionalFormatting sqref="M540">
    <cfRule type="cellIs" operator="equal" dxfId="1605" priority="1605">
      <formula>"Participar"</formula>
    </cfRule>
  </conditionalFormatting>
  <conditionalFormatting sqref="G541">
    <cfRule type="expression" dxfId="1606" priority="1606">
      <formula>INDIRECT(ADDRESS(ROW(),COLUMN())) = "Atrativo"</formula>
    </cfRule>
  </conditionalFormatting>
  <conditionalFormatting sqref="G541">
    <cfRule type="expression" dxfId="1607" priority="1607">
      <formula>INDIRECT(ADDRESS(ROW(),COLUMN())) = "Pouco atrativo"</formula>
    </cfRule>
  </conditionalFormatting>
  <conditionalFormatting sqref="M541">
    <cfRule type="cellIs" operator="equal" dxfId="1608" priority="1608">
      <formula>"Participar"</formula>
    </cfRule>
  </conditionalFormatting>
  <conditionalFormatting sqref="G542">
    <cfRule type="expression" dxfId="1609" priority="1609">
      <formula>INDIRECT(ADDRESS(ROW(),COLUMN())) = "Atrativo"</formula>
    </cfRule>
  </conditionalFormatting>
  <conditionalFormatting sqref="G542">
    <cfRule type="expression" dxfId="1610" priority="1610">
      <formula>INDIRECT(ADDRESS(ROW(),COLUMN())) = "Pouco atrativo"</formula>
    </cfRule>
  </conditionalFormatting>
  <conditionalFormatting sqref="M542">
    <cfRule type="cellIs" operator="equal" dxfId="1611" priority="1611">
      <formula>"Participar"</formula>
    </cfRule>
  </conditionalFormatting>
  <conditionalFormatting sqref="G543">
    <cfRule type="expression" dxfId="1612" priority="1612">
      <formula>INDIRECT(ADDRESS(ROW(),COLUMN())) = "Atrativo"</formula>
    </cfRule>
  </conditionalFormatting>
  <conditionalFormatting sqref="G543">
    <cfRule type="expression" dxfId="1613" priority="1613">
      <formula>INDIRECT(ADDRESS(ROW(),COLUMN())) = "Pouco atrativo"</formula>
    </cfRule>
  </conditionalFormatting>
  <conditionalFormatting sqref="M543">
    <cfRule type="cellIs" operator="equal" dxfId="1614" priority="1614">
      <formula>"Participar"</formula>
    </cfRule>
  </conditionalFormatting>
  <conditionalFormatting sqref="G544">
    <cfRule type="expression" dxfId="1615" priority="1615">
      <formula>INDIRECT(ADDRESS(ROW(),COLUMN())) = "Atrativo"</formula>
    </cfRule>
  </conditionalFormatting>
  <conditionalFormatting sqref="G544">
    <cfRule type="expression" dxfId="1616" priority="1616">
      <formula>INDIRECT(ADDRESS(ROW(),COLUMN())) = "Pouco atrativo"</formula>
    </cfRule>
  </conditionalFormatting>
  <conditionalFormatting sqref="M544">
    <cfRule type="cellIs" operator="equal" dxfId="1617" priority="1617">
      <formula>"Participar"</formula>
    </cfRule>
  </conditionalFormatting>
  <conditionalFormatting sqref="G545">
    <cfRule type="expression" dxfId="1618" priority="1618">
      <formula>INDIRECT(ADDRESS(ROW(),COLUMN())) = "Atrativo"</formula>
    </cfRule>
  </conditionalFormatting>
  <conditionalFormatting sqref="G545">
    <cfRule type="expression" dxfId="1619" priority="1619">
      <formula>INDIRECT(ADDRESS(ROW(),COLUMN())) = "Pouco atrativo"</formula>
    </cfRule>
  </conditionalFormatting>
  <conditionalFormatting sqref="M545">
    <cfRule type="cellIs" operator="equal" dxfId="1620" priority="1620">
      <formula>"Participar"</formula>
    </cfRule>
  </conditionalFormatting>
  <conditionalFormatting sqref="G546">
    <cfRule type="expression" dxfId="1621" priority="1621">
      <formula>INDIRECT(ADDRESS(ROW(),COLUMN())) = "Atrativo"</formula>
    </cfRule>
  </conditionalFormatting>
  <conditionalFormatting sqref="G546">
    <cfRule type="expression" dxfId="1622" priority="1622">
      <formula>INDIRECT(ADDRESS(ROW(),COLUMN())) = "Pouco atrativo"</formula>
    </cfRule>
  </conditionalFormatting>
  <conditionalFormatting sqref="M546">
    <cfRule type="cellIs" operator="equal" dxfId="1623" priority="1623">
      <formula>"Participar"</formula>
    </cfRule>
  </conditionalFormatting>
  <conditionalFormatting sqref="G547">
    <cfRule type="expression" dxfId="1624" priority="1624">
      <formula>INDIRECT(ADDRESS(ROW(),COLUMN())) = "Atrativo"</formula>
    </cfRule>
  </conditionalFormatting>
  <conditionalFormatting sqref="G547">
    <cfRule type="expression" dxfId="1625" priority="1625">
      <formula>INDIRECT(ADDRESS(ROW(),COLUMN())) = "Pouco atrativo"</formula>
    </cfRule>
  </conditionalFormatting>
  <conditionalFormatting sqref="M547">
    <cfRule type="cellIs" operator="equal" dxfId="1626" priority="1626">
      <formula>"Participar"</formula>
    </cfRule>
  </conditionalFormatting>
  <conditionalFormatting sqref="G548">
    <cfRule type="expression" dxfId="1627" priority="1627">
      <formula>INDIRECT(ADDRESS(ROW(),COLUMN())) = "Atrativo"</formula>
    </cfRule>
  </conditionalFormatting>
  <conditionalFormatting sqref="G548">
    <cfRule type="expression" dxfId="1628" priority="1628">
      <formula>INDIRECT(ADDRESS(ROW(),COLUMN())) = "Pouco atrativo"</formula>
    </cfRule>
  </conditionalFormatting>
  <conditionalFormatting sqref="M548">
    <cfRule type="cellIs" operator="equal" dxfId="1629" priority="1629">
      <formula>"Participar"</formula>
    </cfRule>
  </conditionalFormatting>
  <conditionalFormatting sqref="G549">
    <cfRule type="expression" dxfId="1630" priority="1630">
      <formula>INDIRECT(ADDRESS(ROW(),COLUMN())) = "Atrativo"</formula>
    </cfRule>
  </conditionalFormatting>
  <conditionalFormatting sqref="G549">
    <cfRule type="expression" dxfId="1631" priority="1631">
      <formula>INDIRECT(ADDRESS(ROW(),COLUMN())) = "Pouco atrativo"</formula>
    </cfRule>
  </conditionalFormatting>
  <conditionalFormatting sqref="M549">
    <cfRule type="cellIs" operator="equal" dxfId="1632" priority="1632">
      <formula>"Participar"</formula>
    </cfRule>
  </conditionalFormatting>
  <conditionalFormatting sqref="G550">
    <cfRule type="expression" dxfId="1633" priority="1633">
      <formula>INDIRECT(ADDRESS(ROW(),COLUMN())) = "Atrativo"</formula>
    </cfRule>
  </conditionalFormatting>
  <conditionalFormatting sqref="G550">
    <cfRule type="expression" dxfId="1634" priority="1634">
      <formula>INDIRECT(ADDRESS(ROW(),COLUMN())) = "Pouco atrativo"</formula>
    </cfRule>
  </conditionalFormatting>
  <conditionalFormatting sqref="M550">
    <cfRule type="cellIs" operator="equal" dxfId="1635" priority="1635">
      <formula>"Participar"</formula>
    </cfRule>
  </conditionalFormatting>
  <conditionalFormatting sqref="G551">
    <cfRule type="expression" dxfId="1636" priority="1636">
      <formula>INDIRECT(ADDRESS(ROW(),COLUMN())) = "Atrativo"</formula>
    </cfRule>
  </conditionalFormatting>
  <conditionalFormatting sqref="G551">
    <cfRule type="expression" dxfId="1637" priority="1637">
      <formula>INDIRECT(ADDRESS(ROW(),COLUMN())) = "Pouco atrativo"</formula>
    </cfRule>
  </conditionalFormatting>
  <conditionalFormatting sqref="M551">
    <cfRule type="cellIs" operator="equal" dxfId="1638" priority="1638">
      <formula>"Participar"</formula>
    </cfRule>
  </conditionalFormatting>
  <conditionalFormatting sqref="G552">
    <cfRule type="expression" dxfId="1639" priority="1639">
      <formula>INDIRECT(ADDRESS(ROW(),COLUMN())) = "Atrativo"</formula>
    </cfRule>
  </conditionalFormatting>
  <conditionalFormatting sqref="G552">
    <cfRule type="expression" dxfId="1640" priority="1640">
      <formula>INDIRECT(ADDRESS(ROW(),COLUMN())) = "Pouco atrativo"</formula>
    </cfRule>
  </conditionalFormatting>
  <conditionalFormatting sqref="M552">
    <cfRule type="cellIs" operator="equal" dxfId="1641" priority="1641">
      <formula>"Participar"</formula>
    </cfRule>
  </conditionalFormatting>
  <conditionalFormatting sqref="G553">
    <cfRule type="expression" dxfId="1642" priority="1642">
      <formula>INDIRECT(ADDRESS(ROW(),COLUMN())) = "Atrativo"</formula>
    </cfRule>
  </conditionalFormatting>
  <conditionalFormatting sqref="G553">
    <cfRule type="expression" dxfId="1643" priority="1643">
      <formula>INDIRECT(ADDRESS(ROW(),COLUMN())) = "Pouco atrativo"</formula>
    </cfRule>
  </conditionalFormatting>
  <conditionalFormatting sqref="M553">
    <cfRule type="cellIs" operator="equal" dxfId="1644" priority="1644">
      <formula>"Participar"</formula>
    </cfRule>
  </conditionalFormatting>
  <conditionalFormatting sqref="G554">
    <cfRule type="expression" dxfId="1645" priority="1645">
      <formula>INDIRECT(ADDRESS(ROW(),COLUMN())) = "Atrativo"</formula>
    </cfRule>
  </conditionalFormatting>
  <conditionalFormatting sqref="G554">
    <cfRule type="expression" dxfId="1646" priority="1646">
      <formula>INDIRECT(ADDRESS(ROW(),COLUMN())) = "Pouco atrativo"</formula>
    </cfRule>
  </conditionalFormatting>
  <conditionalFormatting sqref="M554">
    <cfRule type="cellIs" operator="equal" dxfId="1647" priority="1647">
      <formula>"Participar"</formula>
    </cfRule>
  </conditionalFormatting>
  <conditionalFormatting sqref="G555">
    <cfRule type="expression" dxfId="1648" priority="1648">
      <formula>INDIRECT(ADDRESS(ROW(),COLUMN())) = "Atrativo"</formula>
    </cfRule>
  </conditionalFormatting>
  <conditionalFormatting sqref="G555">
    <cfRule type="expression" dxfId="1649" priority="1649">
      <formula>INDIRECT(ADDRESS(ROW(),COLUMN())) = "Pouco atrativo"</formula>
    </cfRule>
  </conditionalFormatting>
  <conditionalFormatting sqref="M555">
    <cfRule type="cellIs" operator="equal" dxfId="1650" priority="1650">
      <formula>"Participar"</formula>
    </cfRule>
  </conditionalFormatting>
  <conditionalFormatting sqref="G556">
    <cfRule type="expression" dxfId="1651" priority="1651">
      <formula>INDIRECT(ADDRESS(ROW(),COLUMN())) = "Atrativo"</formula>
    </cfRule>
  </conditionalFormatting>
  <conditionalFormatting sqref="G556">
    <cfRule type="expression" dxfId="1652" priority="1652">
      <formula>INDIRECT(ADDRESS(ROW(),COLUMN())) = "Pouco atrativo"</formula>
    </cfRule>
  </conditionalFormatting>
  <conditionalFormatting sqref="M556">
    <cfRule type="cellIs" operator="equal" dxfId="1653" priority="1653">
      <formula>"Participar"</formula>
    </cfRule>
  </conditionalFormatting>
  <conditionalFormatting sqref="G557">
    <cfRule type="expression" dxfId="1654" priority="1654">
      <formula>INDIRECT(ADDRESS(ROW(),COLUMN())) = "Atrativo"</formula>
    </cfRule>
  </conditionalFormatting>
  <conditionalFormatting sqref="G557">
    <cfRule type="expression" dxfId="1655" priority="1655">
      <formula>INDIRECT(ADDRESS(ROW(),COLUMN())) = "Pouco atrativo"</formula>
    </cfRule>
  </conditionalFormatting>
  <conditionalFormatting sqref="M557">
    <cfRule type="cellIs" operator="equal" dxfId="1656" priority="1656">
      <formula>"Participar"</formula>
    </cfRule>
  </conditionalFormatting>
  <conditionalFormatting sqref="G558">
    <cfRule type="expression" dxfId="1657" priority="1657">
      <formula>INDIRECT(ADDRESS(ROW(),COLUMN())) = "Atrativo"</formula>
    </cfRule>
  </conditionalFormatting>
  <conditionalFormatting sqref="G558">
    <cfRule type="expression" dxfId="1658" priority="1658">
      <formula>INDIRECT(ADDRESS(ROW(),COLUMN())) = "Pouco atrativo"</formula>
    </cfRule>
  </conditionalFormatting>
  <conditionalFormatting sqref="M558">
    <cfRule type="cellIs" operator="equal" dxfId="1659" priority="1659">
      <formula>"Participar"</formula>
    </cfRule>
  </conditionalFormatting>
  <conditionalFormatting sqref="G559">
    <cfRule type="expression" dxfId="1660" priority="1660">
      <formula>INDIRECT(ADDRESS(ROW(),COLUMN())) = "Atrativo"</formula>
    </cfRule>
  </conditionalFormatting>
  <conditionalFormatting sqref="G559">
    <cfRule type="expression" dxfId="1661" priority="1661">
      <formula>INDIRECT(ADDRESS(ROW(),COLUMN())) = "Pouco atrativo"</formula>
    </cfRule>
  </conditionalFormatting>
  <conditionalFormatting sqref="M559">
    <cfRule type="cellIs" operator="equal" dxfId="1662" priority="1662">
      <formula>"Participar"</formula>
    </cfRule>
  </conditionalFormatting>
  <conditionalFormatting sqref="G560">
    <cfRule type="expression" dxfId="1663" priority="1663">
      <formula>INDIRECT(ADDRESS(ROW(),COLUMN())) = "Atrativo"</formula>
    </cfRule>
  </conditionalFormatting>
  <conditionalFormatting sqref="G560">
    <cfRule type="expression" dxfId="1664" priority="1664">
      <formula>INDIRECT(ADDRESS(ROW(),COLUMN())) = "Pouco atrativo"</formula>
    </cfRule>
  </conditionalFormatting>
  <conditionalFormatting sqref="M560">
    <cfRule type="cellIs" operator="equal" dxfId="1665" priority="1665">
      <formula>"Participar"</formula>
    </cfRule>
  </conditionalFormatting>
  <conditionalFormatting sqref="G561">
    <cfRule type="expression" dxfId="1666" priority="1666">
      <formula>INDIRECT(ADDRESS(ROW(),COLUMN())) = "Atrativo"</formula>
    </cfRule>
  </conditionalFormatting>
  <conditionalFormatting sqref="G561">
    <cfRule type="expression" dxfId="1667" priority="1667">
      <formula>INDIRECT(ADDRESS(ROW(),COLUMN())) = "Pouco atrativo"</formula>
    </cfRule>
  </conditionalFormatting>
  <conditionalFormatting sqref="M561">
    <cfRule type="cellIs" operator="equal" dxfId="1668" priority="1668">
      <formula>"Participar"</formula>
    </cfRule>
  </conditionalFormatting>
  <conditionalFormatting sqref="G562">
    <cfRule type="expression" dxfId="1669" priority="1669">
      <formula>INDIRECT(ADDRESS(ROW(),COLUMN())) = "Atrativo"</formula>
    </cfRule>
  </conditionalFormatting>
  <conditionalFormatting sqref="G562">
    <cfRule type="expression" dxfId="1670" priority="1670">
      <formula>INDIRECT(ADDRESS(ROW(),COLUMN())) = "Pouco atrativo"</formula>
    </cfRule>
  </conditionalFormatting>
  <conditionalFormatting sqref="M562">
    <cfRule type="cellIs" operator="equal" dxfId="1671" priority="1671">
      <formula>"Participar"</formula>
    </cfRule>
  </conditionalFormatting>
  <conditionalFormatting sqref="G563">
    <cfRule type="expression" dxfId="1672" priority="1672">
      <formula>INDIRECT(ADDRESS(ROW(),COLUMN())) = "Atrativo"</formula>
    </cfRule>
  </conditionalFormatting>
  <conditionalFormatting sqref="G563">
    <cfRule type="expression" dxfId="1673" priority="1673">
      <formula>INDIRECT(ADDRESS(ROW(),COLUMN())) = "Pouco atrativo"</formula>
    </cfRule>
  </conditionalFormatting>
  <conditionalFormatting sqref="M563">
    <cfRule type="cellIs" operator="equal" dxfId="1674" priority="1674">
      <formula>"Participar"</formula>
    </cfRule>
  </conditionalFormatting>
  <conditionalFormatting sqref="G564">
    <cfRule type="expression" dxfId="1675" priority="1675">
      <formula>INDIRECT(ADDRESS(ROW(),COLUMN())) = "Atrativo"</formula>
    </cfRule>
  </conditionalFormatting>
  <conditionalFormatting sqref="G564">
    <cfRule type="expression" dxfId="1676" priority="1676">
      <formula>INDIRECT(ADDRESS(ROW(),COLUMN())) = "Pouco atrativo"</formula>
    </cfRule>
  </conditionalFormatting>
  <conditionalFormatting sqref="M564">
    <cfRule type="cellIs" operator="equal" dxfId="1677" priority="1677">
      <formula>"Participar"</formula>
    </cfRule>
  </conditionalFormatting>
  <conditionalFormatting sqref="G565">
    <cfRule type="expression" dxfId="1678" priority="1678">
      <formula>INDIRECT(ADDRESS(ROW(),COLUMN())) = "Atrativo"</formula>
    </cfRule>
  </conditionalFormatting>
  <conditionalFormatting sqref="G565">
    <cfRule type="expression" dxfId="1679" priority="1679">
      <formula>INDIRECT(ADDRESS(ROW(),COLUMN())) = "Pouco atrativo"</formula>
    </cfRule>
  </conditionalFormatting>
  <conditionalFormatting sqref="M565">
    <cfRule type="cellIs" operator="equal" dxfId="1680" priority="1680">
      <formula>"Participar"</formula>
    </cfRule>
  </conditionalFormatting>
  <conditionalFormatting sqref="G566">
    <cfRule type="expression" dxfId="1681" priority="1681">
      <formula>INDIRECT(ADDRESS(ROW(),COLUMN())) = "Atrativo"</formula>
    </cfRule>
  </conditionalFormatting>
  <conditionalFormatting sqref="G566">
    <cfRule type="expression" dxfId="1682" priority="1682">
      <formula>INDIRECT(ADDRESS(ROW(),COLUMN())) = "Pouco atrativo"</formula>
    </cfRule>
  </conditionalFormatting>
  <conditionalFormatting sqref="M566">
    <cfRule type="cellIs" operator="equal" dxfId="1683" priority="1683">
      <formula>"Participar"</formula>
    </cfRule>
  </conditionalFormatting>
  <conditionalFormatting sqref="G567">
    <cfRule type="expression" dxfId="1684" priority="1684">
      <formula>INDIRECT(ADDRESS(ROW(),COLUMN())) = "Atrativo"</formula>
    </cfRule>
  </conditionalFormatting>
  <conditionalFormatting sqref="G567">
    <cfRule type="expression" dxfId="1685" priority="1685">
      <formula>INDIRECT(ADDRESS(ROW(),COLUMN())) = "Pouco atrativo"</formula>
    </cfRule>
  </conditionalFormatting>
  <conditionalFormatting sqref="M567">
    <cfRule type="cellIs" operator="equal" dxfId="1686" priority="1686">
      <formula>"Participar"</formula>
    </cfRule>
  </conditionalFormatting>
  <conditionalFormatting sqref="G568">
    <cfRule type="expression" dxfId="1687" priority="1687">
      <formula>INDIRECT(ADDRESS(ROW(),COLUMN())) = "Atrativo"</formula>
    </cfRule>
  </conditionalFormatting>
  <conditionalFormatting sqref="G568">
    <cfRule type="expression" dxfId="1688" priority="1688">
      <formula>INDIRECT(ADDRESS(ROW(),COLUMN())) = "Pouco atrativo"</formula>
    </cfRule>
  </conditionalFormatting>
  <conditionalFormatting sqref="M568">
    <cfRule type="cellIs" operator="equal" dxfId="1689" priority="1689">
      <formula>"Participar"</formula>
    </cfRule>
  </conditionalFormatting>
  <conditionalFormatting sqref="G569">
    <cfRule type="expression" dxfId="1690" priority="1690">
      <formula>INDIRECT(ADDRESS(ROW(),COLUMN())) = "Atrativo"</formula>
    </cfRule>
  </conditionalFormatting>
  <conditionalFormatting sqref="G569">
    <cfRule type="expression" dxfId="1691" priority="1691">
      <formula>INDIRECT(ADDRESS(ROW(),COLUMN())) = "Pouco atrativo"</formula>
    </cfRule>
  </conditionalFormatting>
  <conditionalFormatting sqref="M569">
    <cfRule type="cellIs" operator="equal" dxfId="1692" priority="1692">
      <formula>"Participar"</formula>
    </cfRule>
  </conditionalFormatting>
  <conditionalFormatting sqref="G570">
    <cfRule type="expression" dxfId="1693" priority="1693">
      <formula>INDIRECT(ADDRESS(ROW(),COLUMN())) = "Atrativo"</formula>
    </cfRule>
  </conditionalFormatting>
  <conditionalFormatting sqref="G570">
    <cfRule type="expression" dxfId="1694" priority="1694">
      <formula>INDIRECT(ADDRESS(ROW(),COLUMN())) = "Pouco atrativo"</formula>
    </cfRule>
  </conditionalFormatting>
  <conditionalFormatting sqref="M570">
    <cfRule type="cellIs" operator="equal" dxfId="1695" priority="1695">
      <formula>"Participar"</formula>
    </cfRule>
  </conditionalFormatting>
  <conditionalFormatting sqref="G571">
    <cfRule type="expression" dxfId="1696" priority="1696">
      <formula>INDIRECT(ADDRESS(ROW(),COLUMN())) = "Atrativo"</formula>
    </cfRule>
  </conditionalFormatting>
  <conditionalFormatting sqref="G571">
    <cfRule type="expression" dxfId="1697" priority="1697">
      <formula>INDIRECT(ADDRESS(ROW(),COLUMN())) = "Pouco atrativo"</formula>
    </cfRule>
  </conditionalFormatting>
  <conditionalFormatting sqref="M571">
    <cfRule type="cellIs" operator="equal" dxfId="1698" priority="1698">
      <formula>"Participar"</formula>
    </cfRule>
  </conditionalFormatting>
  <conditionalFormatting sqref="G572">
    <cfRule type="expression" dxfId="1699" priority="1699">
      <formula>INDIRECT(ADDRESS(ROW(),COLUMN())) = "Atrativo"</formula>
    </cfRule>
  </conditionalFormatting>
  <conditionalFormatting sqref="G572">
    <cfRule type="expression" dxfId="1700" priority="1700">
      <formula>INDIRECT(ADDRESS(ROW(),COLUMN())) = "Pouco atrativo"</formula>
    </cfRule>
  </conditionalFormatting>
  <conditionalFormatting sqref="M572">
    <cfRule type="cellIs" operator="equal" dxfId="1701" priority="1701">
      <formula>"Participar"</formula>
    </cfRule>
  </conditionalFormatting>
  <conditionalFormatting sqref="G573">
    <cfRule type="expression" dxfId="1702" priority="1702">
      <formula>INDIRECT(ADDRESS(ROW(),COLUMN())) = "Atrativo"</formula>
    </cfRule>
  </conditionalFormatting>
  <conditionalFormatting sqref="G573">
    <cfRule type="expression" dxfId="1703" priority="1703">
      <formula>INDIRECT(ADDRESS(ROW(),COLUMN())) = "Pouco atrativo"</formula>
    </cfRule>
  </conditionalFormatting>
  <conditionalFormatting sqref="M573">
    <cfRule type="cellIs" operator="equal" dxfId="1704" priority="1704">
      <formula>"Participar"</formula>
    </cfRule>
  </conditionalFormatting>
  <conditionalFormatting sqref="G574">
    <cfRule type="expression" dxfId="1705" priority="1705">
      <formula>INDIRECT(ADDRESS(ROW(),COLUMN())) = "Atrativo"</formula>
    </cfRule>
  </conditionalFormatting>
  <conditionalFormatting sqref="G574">
    <cfRule type="expression" dxfId="1706" priority="1706">
      <formula>INDIRECT(ADDRESS(ROW(),COLUMN())) = "Pouco atrativo"</formula>
    </cfRule>
  </conditionalFormatting>
  <conditionalFormatting sqref="M574">
    <cfRule type="cellIs" operator="equal" dxfId="1707" priority="1707">
      <formula>"Participar"</formula>
    </cfRule>
  </conditionalFormatting>
  <conditionalFormatting sqref="G575">
    <cfRule type="expression" dxfId="1708" priority="1708">
      <formula>INDIRECT(ADDRESS(ROW(),COLUMN())) = "Atrativo"</formula>
    </cfRule>
  </conditionalFormatting>
  <conditionalFormatting sqref="G575">
    <cfRule type="expression" dxfId="1709" priority="1709">
      <formula>INDIRECT(ADDRESS(ROW(),COLUMN())) = "Pouco atrativo"</formula>
    </cfRule>
  </conditionalFormatting>
  <conditionalFormatting sqref="M575">
    <cfRule type="cellIs" operator="equal" dxfId="1710" priority="1710">
      <formula>"Participar"</formula>
    </cfRule>
  </conditionalFormatting>
  <conditionalFormatting sqref="G576">
    <cfRule type="expression" dxfId="1711" priority="1711">
      <formula>INDIRECT(ADDRESS(ROW(),COLUMN())) = "Atrativo"</formula>
    </cfRule>
  </conditionalFormatting>
  <conditionalFormatting sqref="G576">
    <cfRule type="expression" dxfId="1712" priority="1712">
      <formula>INDIRECT(ADDRESS(ROW(),COLUMN())) = "Pouco atrativo"</formula>
    </cfRule>
  </conditionalFormatting>
  <conditionalFormatting sqref="M576">
    <cfRule type="cellIs" operator="equal" dxfId="1713" priority="1713">
      <formula>"Participar"</formula>
    </cfRule>
  </conditionalFormatting>
  <conditionalFormatting sqref="G577">
    <cfRule type="expression" dxfId="1714" priority="1714">
      <formula>INDIRECT(ADDRESS(ROW(),COLUMN())) = "Atrativo"</formula>
    </cfRule>
  </conditionalFormatting>
  <conditionalFormatting sqref="G577">
    <cfRule type="expression" dxfId="1715" priority="1715">
      <formula>INDIRECT(ADDRESS(ROW(),COLUMN())) = "Pouco atrativo"</formula>
    </cfRule>
  </conditionalFormatting>
  <conditionalFormatting sqref="M577">
    <cfRule type="cellIs" operator="equal" dxfId="1716" priority="1716">
      <formula>"Participar"</formula>
    </cfRule>
  </conditionalFormatting>
  <conditionalFormatting sqref="G578">
    <cfRule type="expression" dxfId="1717" priority="1717">
      <formula>INDIRECT(ADDRESS(ROW(),COLUMN())) = "Atrativo"</formula>
    </cfRule>
  </conditionalFormatting>
  <conditionalFormatting sqref="G578">
    <cfRule type="expression" dxfId="1718" priority="1718">
      <formula>INDIRECT(ADDRESS(ROW(),COLUMN())) = "Pouco atrativo"</formula>
    </cfRule>
  </conditionalFormatting>
  <conditionalFormatting sqref="M578">
    <cfRule type="cellIs" operator="equal" dxfId="1719" priority="1719">
      <formula>"Participar"</formula>
    </cfRule>
  </conditionalFormatting>
  <conditionalFormatting sqref="G579">
    <cfRule type="expression" dxfId="1720" priority="1720">
      <formula>INDIRECT(ADDRESS(ROW(),COLUMN())) = "Atrativo"</formula>
    </cfRule>
  </conditionalFormatting>
  <conditionalFormatting sqref="G579">
    <cfRule type="expression" dxfId="1721" priority="1721">
      <formula>INDIRECT(ADDRESS(ROW(),COLUMN())) = "Pouco atrativo"</formula>
    </cfRule>
  </conditionalFormatting>
  <conditionalFormatting sqref="M579">
    <cfRule type="cellIs" operator="equal" dxfId="1722" priority="1722">
      <formula>"Participar"</formula>
    </cfRule>
  </conditionalFormatting>
  <conditionalFormatting sqref="G580">
    <cfRule type="expression" dxfId="1723" priority="1723">
      <formula>INDIRECT(ADDRESS(ROW(),COLUMN())) = "Atrativo"</formula>
    </cfRule>
  </conditionalFormatting>
  <conditionalFormatting sqref="G580">
    <cfRule type="expression" dxfId="1724" priority="1724">
      <formula>INDIRECT(ADDRESS(ROW(),COLUMN())) = "Pouco atrativo"</formula>
    </cfRule>
  </conditionalFormatting>
  <conditionalFormatting sqref="M580">
    <cfRule type="cellIs" operator="equal" dxfId="1725" priority="1725">
      <formula>"Participar"</formula>
    </cfRule>
  </conditionalFormatting>
  <conditionalFormatting sqref="G581">
    <cfRule type="expression" dxfId="1726" priority="1726">
      <formula>INDIRECT(ADDRESS(ROW(),COLUMN())) = "Atrativo"</formula>
    </cfRule>
  </conditionalFormatting>
  <conditionalFormatting sqref="G581">
    <cfRule type="expression" dxfId="1727" priority="1727">
      <formula>INDIRECT(ADDRESS(ROW(),COLUMN())) = "Pouco atrativo"</formula>
    </cfRule>
  </conditionalFormatting>
  <conditionalFormatting sqref="M581">
    <cfRule type="cellIs" operator="equal" dxfId="1728" priority="1728">
      <formula>"Participar"</formula>
    </cfRule>
  </conditionalFormatting>
  <conditionalFormatting sqref="G582">
    <cfRule type="expression" dxfId="1729" priority="1729">
      <formula>INDIRECT(ADDRESS(ROW(),COLUMN())) = "Atrativo"</formula>
    </cfRule>
  </conditionalFormatting>
  <conditionalFormatting sqref="G582">
    <cfRule type="expression" dxfId="1730" priority="1730">
      <formula>INDIRECT(ADDRESS(ROW(),COLUMN())) = "Pouco atrativo"</formula>
    </cfRule>
  </conditionalFormatting>
  <conditionalFormatting sqref="M582">
    <cfRule type="cellIs" operator="equal" dxfId="1731" priority="1731">
      <formula>"Participar"</formula>
    </cfRule>
  </conditionalFormatting>
  <conditionalFormatting sqref="G583">
    <cfRule type="expression" dxfId="1732" priority="1732">
      <formula>INDIRECT(ADDRESS(ROW(),COLUMN())) = "Atrativo"</formula>
    </cfRule>
  </conditionalFormatting>
  <conditionalFormatting sqref="G583">
    <cfRule type="expression" dxfId="1733" priority="1733">
      <formula>INDIRECT(ADDRESS(ROW(),COLUMN())) = "Pouco atrativo"</formula>
    </cfRule>
  </conditionalFormatting>
  <conditionalFormatting sqref="M583">
    <cfRule type="cellIs" operator="equal" dxfId="1734" priority="1734">
      <formula>"Participar"</formula>
    </cfRule>
  </conditionalFormatting>
  <conditionalFormatting sqref="G584">
    <cfRule type="expression" dxfId="1735" priority="1735">
      <formula>INDIRECT(ADDRESS(ROW(),COLUMN())) = "Atrativo"</formula>
    </cfRule>
  </conditionalFormatting>
  <conditionalFormatting sqref="G584">
    <cfRule type="expression" dxfId="1736" priority="1736">
      <formula>INDIRECT(ADDRESS(ROW(),COLUMN())) = "Pouco atrativo"</formula>
    </cfRule>
  </conditionalFormatting>
  <conditionalFormatting sqref="M584">
    <cfRule type="cellIs" operator="equal" dxfId="1737" priority="1737">
      <formula>"Participar"</formula>
    </cfRule>
  </conditionalFormatting>
  <conditionalFormatting sqref="G585">
    <cfRule type="expression" dxfId="1738" priority="1738">
      <formula>INDIRECT(ADDRESS(ROW(),COLUMN())) = "Atrativo"</formula>
    </cfRule>
  </conditionalFormatting>
  <conditionalFormatting sqref="G585">
    <cfRule type="expression" dxfId="1739" priority="1739">
      <formula>INDIRECT(ADDRESS(ROW(),COLUMN())) = "Pouco atrativo"</formula>
    </cfRule>
  </conditionalFormatting>
  <conditionalFormatting sqref="M585">
    <cfRule type="cellIs" operator="equal" dxfId="1740" priority="1740">
      <formula>"Participar"</formula>
    </cfRule>
  </conditionalFormatting>
  <conditionalFormatting sqref="G586">
    <cfRule type="expression" dxfId="1741" priority="1741">
      <formula>INDIRECT(ADDRESS(ROW(),COLUMN())) = "Atrativo"</formula>
    </cfRule>
  </conditionalFormatting>
  <conditionalFormatting sqref="G586">
    <cfRule type="expression" dxfId="1742" priority="1742">
      <formula>INDIRECT(ADDRESS(ROW(),COLUMN())) = "Pouco atrativo"</formula>
    </cfRule>
  </conditionalFormatting>
  <conditionalFormatting sqref="M586">
    <cfRule type="cellIs" operator="equal" dxfId="1743" priority="1743">
      <formula>"Participar"</formula>
    </cfRule>
  </conditionalFormatting>
  <conditionalFormatting sqref="G587">
    <cfRule type="expression" dxfId="1744" priority="1744">
      <formula>INDIRECT(ADDRESS(ROW(),COLUMN())) = "Atrativo"</formula>
    </cfRule>
  </conditionalFormatting>
  <conditionalFormatting sqref="G587">
    <cfRule type="expression" dxfId="1745" priority="1745">
      <formula>INDIRECT(ADDRESS(ROW(),COLUMN())) = "Pouco atrativo"</formula>
    </cfRule>
  </conditionalFormatting>
  <conditionalFormatting sqref="M587">
    <cfRule type="cellIs" operator="equal" dxfId="1746" priority="1746">
      <formula>"Participar"</formula>
    </cfRule>
  </conditionalFormatting>
  <conditionalFormatting sqref="G588">
    <cfRule type="expression" dxfId="1747" priority="1747">
      <formula>INDIRECT(ADDRESS(ROW(),COLUMN())) = "Atrativo"</formula>
    </cfRule>
  </conditionalFormatting>
  <conditionalFormatting sqref="G588">
    <cfRule type="expression" dxfId="1748" priority="1748">
      <formula>INDIRECT(ADDRESS(ROW(),COLUMN())) = "Pouco atrativo"</formula>
    </cfRule>
  </conditionalFormatting>
  <conditionalFormatting sqref="M588">
    <cfRule type="cellIs" operator="equal" dxfId="1749" priority="1749">
      <formula>"Participar"</formula>
    </cfRule>
  </conditionalFormatting>
  <conditionalFormatting sqref="G589">
    <cfRule type="expression" dxfId="1750" priority="1750">
      <formula>INDIRECT(ADDRESS(ROW(),COLUMN())) = "Atrativo"</formula>
    </cfRule>
  </conditionalFormatting>
  <conditionalFormatting sqref="G589">
    <cfRule type="expression" dxfId="1751" priority="1751">
      <formula>INDIRECT(ADDRESS(ROW(),COLUMN())) = "Pouco atrativo"</formula>
    </cfRule>
  </conditionalFormatting>
  <conditionalFormatting sqref="M589">
    <cfRule type="cellIs" operator="equal" dxfId="1752" priority="1752">
      <formula>"Participar"</formula>
    </cfRule>
  </conditionalFormatting>
  <conditionalFormatting sqref="G590">
    <cfRule type="expression" dxfId="1753" priority="1753">
      <formula>INDIRECT(ADDRESS(ROW(),COLUMN())) = "Atrativo"</formula>
    </cfRule>
  </conditionalFormatting>
  <conditionalFormatting sqref="G590">
    <cfRule type="expression" dxfId="1754" priority="1754">
      <formula>INDIRECT(ADDRESS(ROW(),COLUMN())) = "Pouco atrativo"</formula>
    </cfRule>
  </conditionalFormatting>
  <conditionalFormatting sqref="M590">
    <cfRule type="cellIs" operator="equal" dxfId="1755" priority="1755">
      <formula>"Participar"</formula>
    </cfRule>
  </conditionalFormatting>
  <conditionalFormatting sqref="G591">
    <cfRule type="expression" dxfId="1756" priority="1756">
      <formula>INDIRECT(ADDRESS(ROW(),COLUMN())) = "Atrativo"</formula>
    </cfRule>
  </conditionalFormatting>
  <conditionalFormatting sqref="G591">
    <cfRule type="expression" dxfId="1757" priority="1757">
      <formula>INDIRECT(ADDRESS(ROW(),COLUMN())) = "Pouco atrativo"</formula>
    </cfRule>
  </conditionalFormatting>
  <conditionalFormatting sqref="M591">
    <cfRule type="cellIs" operator="equal" dxfId="1758" priority="1758">
      <formula>"Participar"</formula>
    </cfRule>
  </conditionalFormatting>
  <conditionalFormatting sqref="G592">
    <cfRule type="expression" dxfId="1759" priority="1759">
      <formula>INDIRECT(ADDRESS(ROW(),COLUMN())) = "Atrativo"</formula>
    </cfRule>
  </conditionalFormatting>
  <conditionalFormatting sqref="G592">
    <cfRule type="expression" dxfId="1760" priority="1760">
      <formula>INDIRECT(ADDRESS(ROW(),COLUMN())) = "Pouco atrativo"</formula>
    </cfRule>
  </conditionalFormatting>
  <conditionalFormatting sqref="M592">
    <cfRule type="cellIs" operator="equal" dxfId="1761" priority="1761">
      <formula>"Participar"</formula>
    </cfRule>
  </conditionalFormatting>
  <conditionalFormatting sqref="G593">
    <cfRule type="expression" dxfId="1762" priority="1762">
      <formula>INDIRECT(ADDRESS(ROW(),COLUMN())) = "Atrativo"</formula>
    </cfRule>
  </conditionalFormatting>
  <conditionalFormatting sqref="G593">
    <cfRule type="expression" dxfId="1763" priority="1763">
      <formula>INDIRECT(ADDRESS(ROW(),COLUMN())) = "Pouco atrativo"</formula>
    </cfRule>
  </conditionalFormatting>
  <conditionalFormatting sqref="M593">
    <cfRule type="cellIs" operator="equal" dxfId="1764" priority="1764">
      <formula>"Participar"</formula>
    </cfRule>
  </conditionalFormatting>
  <conditionalFormatting sqref="G594">
    <cfRule type="expression" dxfId="1765" priority="1765">
      <formula>INDIRECT(ADDRESS(ROW(),COLUMN())) = "Atrativo"</formula>
    </cfRule>
  </conditionalFormatting>
  <conditionalFormatting sqref="G594">
    <cfRule type="expression" dxfId="1766" priority="1766">
      <formula>INDIRECT(ADDRESS(ROW(),COLUMN())) = "Pouco atrativo"</formula>
    </cfRule>
  </conditionalFormatting>
  <conditionalFormatting sqref="M594">
    <cfRule type="cellIs" operator="equal" dxfId="1767" priority="1767">
      <formula>"Participar"</formula>
    </cfRule>
  </conditionalFormatting>
  <conditionalFormatting sqref="G595">
    <cfRule type="expression" dxfId="1768" priority="1768">
      <formula>INDIRECT(ADDRESS(ROW(),COLUMN())) = "Atrativo"</formula>
    </cfRule>
  </conditionalFormatting>
  <conditionalFormatting sqref="G595">
    <cfRule type="expression" dxfId="1769" priority="1769">
      <formula>INDIRECT(ADDRESS(ROW(),COLUMN())) = "Pouco atrativo"</formula>
    </cfRule>
  </conditionalFormatting>
  <conditionalFormatting sqref="M595">
    <cfRule type="cellIs" operator="equal" dxfId="1770" priority="1770">
      <formula>"Participar"</formula>
    </cfRule>
  </conditionalFormatting>
  <conditionalFormatting sqref="G596">
    <cfRule type="expression" dxfId="1771" priority="1771">
      <formula>INDIRECT(ADDRESS(ROW(),COLUMN())) = "Atrativo"</formula>
    </cfRule>
  </conditionalFormatting>
  <conditionalFormatting sqref="G596">
    <cfRule type="expression" dxfId="1772" priority="1772">
      <formula>INDIRECT(ADDRESS(ROW(),COLUMN())) = "Pouco atrativo"</formula>
    </cfRule>
  </conditionalFormatting>
  <conditionalFormatting sqref="M596">
    <cfRule type="cellIs" operator="equal" dxfId="1773" priority="1773">
      <formula>"Participar"</formula>
    </cfRule>
  </conditionalFormatting>
  <conditionalFormatting sqref="G597">
    <cfRule type="expression" dxfId="1774" priority="1774">
      <formula>INDIRECT(ADDRESS(ROW(),COLUMN())) = "Atrativo"</formula>
    </cfRule>
  </conditionalFormatting>
  <conditionalFormatting sqref="G597">
    <cfRule type="expression" dxfId="1775" priority="1775">
      <formula>INDIRECT(ADDRESS(ROW(),COLUMN())) = "Pouco atrativo"</formula>
    </cfRule>
  </conditionalFormatting>
  <conditionalFormatting sqref="M597">
    <cfRule type="cellIs" operator="equal" dxfId="1776" priority="1776">
      <formula>"Participar"</formula>
    </cfRule>
  </conditionalFormatting>
  <conditionalFormatting sqref="G598">
    <cfRule type="expression" dxfId="1777" priority="1777">
      <formula>INDIRECT(ADDRESS(ROW(),COLUMN())) = "Atrativo"</formula>
    </cfRule>
  </conditionalFormatting>
  <conditionalFormatting sqref="G598">
    <cfRule type="expression" dxfId="1778" priority="1778">
      <formula>INDIRECT(ADDRESS(ROW(),COLUMN())) = "Pouco atrativo"</formula>
    </cfRule>
  </conditionalFormatting>
  <conditionalFormatting sqref="M598">
    <cfRule type="cellIs" operator="equal" dxfId="1779" priority="1779">
      <formula>"Participar"</formula>
    </cfRule>
  </conditionalFormatting>
  <conditionalFormatting sqref="G599">
    <cfRule type="expression" dxfId="1780" priority="1780">
      <formula>INDIRECT(ADDRESS(ROW(),COLUMN())) = "Atrativo"</formula>
    </cfRule>
  </conditionalFormatting>
  <conditionalFormatting sqref="G599">
    <cfRule type="expression" dxfId="1781" priority="1781">
      <formula>INDIRECT(ADDRESS(ROW(),COLUMN())) = "Pouco atrativo"</formula>
    </cfRule>
  </conditionalFormatting>
  <conditionalFormatting sqref="M599">
    <cfRule type="cellIs" operator="equal" dxfId="1782" priority="1782">
      <formula>"Participar"</formula>
    </cfRule>
  </conditionalFormatting>
  <conditionalFormatting sqref="G600">
    <cfRule type="expression" dxfId="1783" priority="1783">
      <formula>INDIRECT(ADDRESS(ROW(),COLUMN())) = "Atrativo"</formula>
    </cfRule>
  </conditionalFormatting>
  <conditionalFormatting sqref="G600">
    <cfRule type="expression" dxfId="1784" priority="1784">
      <formula>INDIRECT(ADDRESS(ROW(),COLUMN())) = "Pouco atrativo"</formula>
    </cfRule>
  </conditionalFormatting>
  <conditionalFormatting sqref="M600">
    <cfRule type="cellIs" operator="equal" dxfId="1785" priority="1785">
      <formula>"Participar"</formula>
    </cfRule>
  </conditionalFormatting>
  <conditionalFormatting sqref="G601">
    <cfRule type="expression" dxfId="1786" priority="1786">
      <formula>INDIRECT(ADDRESS(ROW(),COLUMN())) = "Atrativo"</formula>
    </cfRule>
  </conditionalFormatting>
  <conditionalFormatting sqref="G601">
    <cfRule type="expression" dxfId="1787" priority="1787">
      <formula>INDIRECT(ADDRESS(ROW(),COLUMN())) = "Pouco atrativo"</formula>
    </cfRule>
  </conditionalFormatting>
  <conditionalFormatting sqref="M601">
    <cfRule type="cellIs" operator="equal" dxfId="1788" priority="1788">
      <formula>"Participar"</formula>
    </cfRule>
  </conditionalFormatting>
  <conditionalFormatting sqref="G602">
    <cfRule type="expression" dxfId="1789" priority="1789">
      <formula>INDIRECT(ADDRESS(ROW(),COLUMN())) = "Atrativo"</formula>
    </cfRule>
  </conditionalFormatting>
  <conditionalFormatting sqref="G602">
    <cfRule type="expression" dxfId="1790" priority="1790">
      <formula>INDIRECT(ADDRESS(ROW(),COLUMN())) = "Pouco atrativo"</formula>
    </cfRule>
  </conditionalFormatting>
  <conditionalFormatting sqref="M602">
    <cfRule type="cellIs" operator="equal" dxfId="1791" priority="1791">
      <formula>"Participar"</formula>
    </cfRule>
  </conditionalFormatting>
  <conditionalFormatting sqref="G603">
    <cfRule type="expression" dxfId="1792" priority="1792">
      <formula>INDIRECT(ADDRESS(ROW(),COLUMN())) = "Atrativo"</formula>
    </cfRule>
  </conditionalFormatting>
  <conditionalFormatting sqref="G603">
    <cfRule type="expression" dxfId="1793" priority="1793">
      <formula>INDIRECT(ADDRESS(ROW(),COLUMN())) = "Pouco atrativo"</formula>
    </cfRule>
  </conditionalFormatting>
  <conditionalFormatting sqref="M603">
    <cfRule type="cellIs" operator="equal" dxfId="1794" priority="1794">
      <formula>"Participar"</formula>
    </cfRule>
  </conditionalFormatting>
  <conditionalFormatting sqref="G604">
    <cfRule type="expression" dxfId="1795" priority="1795">
      <formula>INDIRECT(ADDRESS(ROW(),COLUMN())) = "Atrativo"</formula>
    </cfRule>
  </conditionalFormatting>
  <conditionalFormatting sqref="G604">
    <cfRule type="expression" dxfId="1796" priority="1796">
      <formula>INDIRECT(ADDRESS(ROW(),COLUMN())) = "Pouco atrativo"</formula>
    </cfRule>
  </conditionalFormatting>
  <conditionalFormatting sqref="M604">
    <cfRule type="cellIs" operator="equal" dxfId="1797" priority="1797">
      <formula>"Participar"</formula>
    </cfRule>
  </conditionalFormatting>
  <conditionalFormatting sqref="G605">
    <cfRule type="expression" dxfId="1798" priority="1798">
      <formula>INDIRECT(ADDRESS(ROW(),COLUMN())) = "Atrativo"</formula>
    </cfRule>
  </conditionalFormatting>
  <conditionalFormatting sqref="G605">
    <cfRule type="expression" dxfId="1799" priority="1799">
      <formula>INDIRECT(ADDRESS(ROW(),COLUMN())) = "Pouco atrativo"</formula>
    </cfRule>
  </conditionalFormatting>
  <conditionalFormatting sqref="M605">
    <cfRule type="cellIs" operator="equal" dxfId="1800" priority="1800">
      <formula>"Participar"</formula>
    </cfRule>
  </conditionalFormatting>
  <conditionalFormatting sqref="G606">
    <cfRule type="expression" dxfId="1801" priority="1801">
      <formula>INDIRECT(ADDRESS(ROW(),COLUMN())) = "Atrativo"</formula>
    </cfRule>
  </conditionalFormatting>
  <conditionalFormatting sqref="G606">
    <cfRule type="expression" dxfId="1802" priority="1802">
      <formula>INDIRECT(ADDRESS(ROW(),COLUMN())) = "Pouco atrativo"</formula>
    </cfRule>
  </conditionalFormatting>
  <conditionalFormatting sqref="M606">
    <cfRule type="cellIs" operator="equal" dxfId="1803" priority="1803">
      <formula>"Participar"</formula>
    </cfRule>
  </conditionalFormatting>
  <conditionalFormatting sqref="G607">
    <cfRule type="expression" dxfId="1804" priority="1804">
      <formula>INDIRECT(ADDRESS(ROW(),COLUMN())) = "Atrativo"</formula>
    </cfRule>
  </conditionalFormatting>
  <conditionalFormatting sqref="G607">
    <cfRule type="expression" dxfId="1805" priority="1805">
      <formula>INDIRECT(ADDRESS(ROW(),COLUMN())) = "Pouco atrativo"</formula>
    </cfRule>
  </conditionalFormatting>
  <conditionalFormatting sqref="M607">
    <cfRule type="cellIs" operator="equal" dxfId="1806" priority="1806">
      <formula>"Participar"</formula>
    </cfRule>
  </conditionalFormatting>
  <conditionalFormatting sqref="G608">
    <cfRule type="expression" dxfId="1807" priority="1807">
      <formula>INDIRECT(ADDRESS(ROW(),COLUMN())) = "Atrativo"</formula>
    </cfRule>
  </conditionalFormatting>
  <conditionalFormatting sqref="G608">
    <cfRule type="expression" dxfId="1808" priority="1808">
      <formula>INDIRECT(ADDRESS(ROW(),COLUMN())) = "Pouco atrativo"</formula>
    </cfRule>
  </conditionalFormatting>
  <conditionalFormatting sqref="M608">
    <cfRule type="cellIs" operator="equal" dxfId="1809" priority="1809">
      <formula>"Participar"</formula>
    </cfRule>
  </conditionalFormatting>
  <conditionalFormatting sqref="G609">
    <cfRule type="expression" dxfId="1810" priority="1810">
      <formula>INDIRECT(ADDRESS(ROW(),COLUMN())) = "Atrativo"</formula>
    </cfRule>
  </conditionalFormatting>
  <conditionalFormatting sqref="G609">
    <cfRule type="expression" dxfId="1811" priority="1811">
      <formula>INDIRECT(ADDRESS(ROW(),COLUMN())) = "Pouco atrativo"</formula>
    </cfRule>
  </conditionalFormatting>
  <conditionalFormatting sqref="M609">
    <cfRule type="cellIs" operator="equal" dxfId="1812" priority="1812">
      <formula>"Participar"</formula>
    </cfRule>
  </conditionalFormatting>
  <conditionalFormatting sqref="G610">
    <cfRule type="expression" dxfId="1813" priority="1813">
      <formula>INDIRECT(ADDRESS(ROW(),COLUMN())) = "Atrativo"</formula>
    </cfRule>
  </conditionalFormatting>
  <conditionalFormatting sqref="G610">
    <cfRule type="expression" dxfId="1814" priority="1814">
      <formula>INDIRECT(ADDRESS(ROW(),COLUMN())) = "Pouco atrativo"</formula>
    </cfRule>
  </conditionalFormatting>
  <conditionalFormatting sqref="M610">
    <cfRule type="cellIs" operator="equal" dxfId="1815" priority="1815">
      <formula>"Participar"</formula>
    </cfRule>
  </conditionalFormatting>
  <conditionalFormatting sqref="G611">
    <cfRule type="expression" dxfId="1816" priority="1816">
      <formula>INDIRECT(ADDRESS(ROW(),COLUMN())) = "Atrativo"</formula>
    </cfRule>
  </conditionalFormatting>
  <conditionalFormatting sqref="G611">
    <cfRule type="expression" dxfId="1817" priority="1817">
      <formula>INDIRECT(ADDRESS(ROW(),COLUMN())) = "Pouco atrativo"</formula>
    </cfRule>
  </conditionalFormatting>
  <conditionalFormatting sqref="M611">
    <cfRule type="cellIs" operator="equal" dxfId="1818" priority="1818">
      <formula>"Participar"</formula>
    </cfRule>
  </conditionalFormatting>
  <conditionalFormatting sqref="G612">
    <cfRule type="expression" dxfId="1819" priority="1819">
      <formula>INDIRECT(ADDRESS(ROW(),COLUMN())) = "Atrativo"</formula>
    </cfRule>
  </conditionalFormatting>
  <conditionalFormatting sqref="G612">
    <cfRule type="expression" dxfId="1820" priority="1820">
      <formula>INDIRECT(ADDRESS(ROW(),COLUMN())) = "Pouco atrativo"</formula>
    </cfRule>
  </conditionalFormatting>
  <conditionalFormatting sqref="M612">
    <cfRule type="cellIs" operator="equal" dxfId="1821" priority="1821">
      <formula>"Participar"</formula>
    </cfRule>
  </conditionalFormatting>
  <conditionalFormatting sqref="G613">
    <cfRule type="expression" dxfId="1822" priority="1822">
      <formula>INDIRECT(ADDRESS(ROW(),COLUMN())) = "Atrativo"</formula>
    </cfRule>
  </conditionalFormatting>
  <conditionalFormatting sqref="G613">
    <cfRule type="expression" dxfId="1823" priority="1823">
      <formula>INDIRECT(ADDRESS(ROW(),COLUMN())) = "Pouco atrativo"</formula>
    </cfRule>
  </conditionalFormatting>
  <conditionalFormatting sqref="M613">
    <cfRule type="cellIs" operator="equal" dxfId="1824" priority="1824">
      <formula>"Participar"</formula>
    </cfRule>
  </conditionalFormatting>
  <conditionalFormatting sqref="G614">
    <cfRule type="expression" dxfId="1825" priority="1825">
      <formula>INDIRECT(ADDRESS(ROW(),COLUMN())) = "Atrativo"</formula>
    </cfRule>
  </conditionalFormatting>
  <conditionalFormatting sqref="G614">
    <cfRule type="expression" dxfId="1826" priority="1826">
      <formula>INDIRECT(ADDRESS(ROW(),COLUMN())) = "Pouco atrativo"</formula>
    </cfRule>
  </conditionalFormatting>
  <conditionalFormatting sqref="M614">
    <cfRule type="cellIs" operator="equal" dxfId="1827" priority="1827">
      <formula>"Participar"</formula>
    </cfRule>
  </conditionalFormatting>
  <dataValidations count="609">
    <dataValidation type="list" sqref="M6" allowBlank="true" errorStyle="stop" showErrorMessage="true" showInputMessage="true">
      <formula1>"Participar,Não participar"</formula1>
    </dataValidation>
    <dataValidation type="list" sqref="M7" allowBlank="true" errorStyle="stop" showErrorMessage="true" showInputMessage="true">
      <formula1>"Participar,Não participar"</formula1>
    </dataValidation>
    <dataValidation type="list" sqref="M8" allowBlank="true" errorStyle="stop" showErrorMessage="true" showInputMessage="true">
      <formula1>"Participar,Não participar"</formula1>
    </dataValidation>
    <dataValidation type="list" sqref="M9" allowBlank="true" errorStyle="stop" showErrorMessage="true" showInputMessage="true">
      <formula1>"Participar,Não participar"</formula1>
    </dataValidation>
    <dataValidation type="list" sqref="M10" allowBlank="true" errorStyle="stop" showErrorMessage="true" showInputMessage="true">
      <formula1>"Participar,Não participar"</formula1>
    </dataValidation>
    <dataValidation type="list" sqref="M11" allowBlank="true" errorStyle="stop" showErrorMessage="true" showInputMessage="true">
      <formula1>"Participar,Não participar"</formula1>
    </dataValidation>
    <dataValidation type="list" sqref="M12" allowBlank="true" errorStyle="stop" showErrorMessage="true" showInputMessage="true">
      <formula1>"Participar,Não participar"</formula1>
    </dataValidation>
    <dataValidation type="list" sqref="M13" allowBlank="true" errorStyle="stop" showErrorMessage="true" showInputMessage="true">
      <formula1>"Participar,Não participar"</formula1>
    </dataValidation>
    <dataValidation type="list" sqref="M14" allowBlank="true" errorStyle="stop" showErrorMessage="true" showInputMessage="true">
      <formula1>"Participar,Não participar"</formula1>
    </dataValidation>
    <dataValidation type="list" sqref="M15" allowBlank="true" errorStyle="stop" showErrorMessage="true" showInputMessage="true">
      <formula1>"Participar,Não participar"</formula1>
    </dataValidation>
    <dataValidation type="list" sqref="M16" allowBlank="true" errorStyle="stop" showErrorMessage="true" showInputMessage="true">
      <formula1>"Participar,Não participar"</formula1>
    </dataValidation>
    <dataValidation type="list" sqref="M17" allowBlank="true" errorStyle="stop" showErrorMessage="true" showInputMessage="true">
      <formula1>"Participar,Não participar"</formula1>
    </dataValidation>
    <dataValidation type="list" sqref="M18" allowBlank="true" errorStyle="stop" showErrorMessage="true" showInputMessage="true">
      <formula1>"Participar,Não participar"</formula1>
    </dataValidation>
    <dataValidation type="list" sqref="M19" allowBlank="true" errorStyle="stop" showErrorMessage="true" showInputMessage="true">
      <formula1>"Participar,Não participar"</formula1>
    </dataValidation>
    <dataValidation type="list" sqref="M20" allowBlank="true" errorStyle="stop" showErrorMessage="true" showInputMessage="true">
      <formula1>"Participar,Não participar"</formula1>
    </dataValidation>
    <dataValidation type="list" sqref="M21" allowBlank="true" errorStyle="stop" showErrorMessage="true" showInputMessage="true">
      <formula1>"Participar,Não participar"</formula1>
    </dataValidation>
    <dataValidation type="list" sqref="M22" allowBlank="true" errorStyle="stop" showErrorMessage="true" showInputMessage="true">
      <formula1>"Participar,Não participar"</formula1>
    </dataValidation>
    <dataValidation type="list" sqref="M23" allowBlank="true" errorStyle="stop" showErrorMessage="true" showInputMessage="true">
      <formula1>"Participar,Não participar"</formula1>
    </dataValidation>
    <dataValidation type="list" sqref="M24" allowBlank="true" errorStyle="stop" showErrorMessage="true" showInputMessage="true">
      <formula1>"Participar,Não participar"</formula1>
    </dataValidation>
    <dataValidation type="list" sqref="M25" allowBlank="true" errorStyle="stop" showErrorMessage="true" showInputMessage="true">
      <formula1>"Participar,Não participar"</formula1>
    </dataValidation>
    <dataValidation type="list" sqref="M26" allowBlank="true" errorStyle="stop" showErrorMessage="true" showInputMessage="true">
      <formula1>"Participar,Não participar"</formula1>
    </dataValidation>
    <dataValidation type="list" sqref="M27" allowBlank="true" errorStyle="stop" showErrorMessage="true" showInputMessage="true">
      <formula1>"Participar,Não participar"</formula1>
    </dataValidation>
    <dataValidation type="list" sqref="M28" allowBlank="true" errorStyle="stop" showErrorMessage="true" showInputMessage="true">
      <formula1>"Participar,Não participar"</formula1>
    </dataValidation>
    <dataValidation type="list" sqref="M29" allowBlank="true" errorStyle="stop" showErrorMessage="true" showInputMessage="true">
      <formula1>"Participar,Não participar"</formula1>
    </dataValidation>
    <dataValidation type="list" sqref="M30" allowBlank="true" errorStyle="stop" showErrorMessage="true" showInputMessage="true">
      <formula1>"Participar,Não participar"</formula1>
    </dataValidation>
    <dataValidation type="list" sqref="M31" allowBlank="true" errorStyle="stop" showErrorMessage="true" showInputMessage="true">
      <formula1>"Participar,Não participar"</formula1>
    </dataValidation>
    <dataValidation type="list" sqref="M32" allowBlank="true" errorStyle="stop" showErrorMessage="true" showInputMessage="true">
      <formula1>"Participar,Não participar"</formula1>
    </dataValidation>
    <dataValidation type="list" sqref="M33" allowBlank="true" errorStyle="stop" showErrorMessage="true" showInputMessage="true">
      <formula1>"Participar,Não participar"</formula1>
    </dataValidation>
    <dataValidation type="list" sqref="M34" allowBlank="true" errorStyle="stop" showErrorMessage="true" showInputMessage="true">
      <formula1>"Participar,Não participar"</formula1>
    </dataValidation>
    <dataValidation type="list" sqref="M35" allowBlank="true" errorStyle="stop" showErrorMessage="true" showInputMessage="true">
      <formula1>"Participar,Não participar"</formula1>
    </dataValidation>
    <dataValidation type="list" sqref="M36" allowBlank="true" errorStyle="stop" showErrorMessage="true" showInputMessage="true">
      <formula1>"Participar,Não participar"</formula1>
    </dataValidation>
    <dataValidation type="list" sqref="M37" allowBlank="true" errorStyle="stop" showErrorMessage="true" showInputMessage="true">
      <formula1>"Participar,Não participar"</formula1>
    </dataValidation>
    <dataValidation type="list" sqref="M38" allowBlank="true" errorStyle="stop" showErrorMessage="true" showInputMessage="true">
      <formula1>"Participar,Não participar"</formula1>
    </dataValidation>
    <dataValidation type="list" sqref="M39" allowBlank="true" errorStyle="stop" showErrorMessage="true" showInputMessage="true">
      <formula1>"Participar,Não participar"</formula1>
    </dataValidation>
    <dataValidation type="list" sqref="M40" allowBlank="true" errorStyle="stop" showErrorMessage="true" showInputMessage="true">
      <formula1>"Participar,Não participar"</formula1>
    </dataValidation>
    <dataValidation type="list" sqref="M41" allowBlank="true" errorStyle="stop" showErrorMessage="true" showInputMessage="true">
      <formula1>"Participar,Não participar"</formula1>
    </dataValidation>
    <dataValidation type="list" sqref="M42" allowBlank="true" errorStyle="stop" showErrorMessage="true" showInputMessage="true">
      <formula1>"Participar,Não participar"</formula1>
    </dataValidation>
    <dataValidation type="list" sqref="M43" allowBlank="true" errorStyle="stop" showErrorMessage="true" showInputMessage="true">
      <formula1>"Participar,Não participar"</formula1>
    </dataValidation>
    <dataValidation type="list" sqref="M44" allowBlank="true" errorStyle="stop" showErrorMessage="true" showInputMessage="true">
      <formula1>"Participar,Não participar"</formula1>
    </dataValidation>
    <dataValidation type="list" sqref="M45" allowBlank="true" errorStyle="stop" showErrorMessage="true" showInputMessage="true">
      <formula1>"Participar,Não participar"</formula1>
    </dataValidation>
    <dataValidation type="list" sqref="M46" allowBlank="true" errorStyle="stop" showErrorMessage="true" showInputMessage="true">
      <formula1>"Participar,Não participar"</formula1>
    </dataValidation>
    <dataValidation type="list" sqref="M47" allowBlank="true" errorStyle="stop" showErrorMessage="true" showInputMessage="true">
      <formula1>"Participar,Não participar"</formula1>
    </dataValidation>
    <dataValidation type="list" sqref="M48" allowBlank="true" errorStyle="stop" showErrorMessage="true" showInputMessage="true">
      <formula1>"Participar,Não participar"</formula1>
    </dataValidation>
    <dataValidation type="list" sqref="M49" allowBlank="true" errorStyle="stop" showErrorMessage="true" showInputMessage="true">
      <formula1>"Participar,Não participar"</formula1>
    </dataValidation>
    <dataValidation type="list" sqref="M50" allowBlank="true" errorStyle="stop" showErrorMessage="true" showInputMessage="true">
      <formula1>"Participar,Não participar"</formula1>
    </dataValidation>
    <dataValidation type="list" sqref="M51" allowBlank="true" errorStyle="stop" showErrorMessage="true" showInputMessage="true">
      <formula1>"Participar,Não participar"</formula1>
    </dataValidation>
    <dataValidation type="list" sqref="M52" allowBlank="true" errorStyle="stop" showErrorMessage="true" showInputMessage="true">
      <formula1>"Participar,Não participar"</formula1>
    </dataValidation>
    <dataValidation type="list" sqref="M53" allowBlank="true" errorStyle="stop" showErrorMessage="true" showInputMessage="true">
      <formula1>"Participar,Não participar"</formula1>
    </dataValidation>
    <dataValidation type="list" sqref="M54" allowBlank="true" errorStyle="stop" showErrorMessage="true" showInputMessage="true">
      <formula1>"Participar,Não participar"</formula1>
    </dataValidation>
    <dataValidation type="list" sqref="M55" allowBlank="true" errorStyle="stop" showErrorMessage="true" showInputMessage="true">
      <formula1>"Participar,Não participar"</formula1>
    </dataValidation>
    <dataValidation type="list" sqref="M56" allowBlank="true" errorStyle="stop" showErrorMessage="true" showInputMessage="true">
      <formula1>"Participar,Não participar"</formula1>
    </dataValidation>
    <dataValidation type="list" sqref="M57" allowBlank="true" errorStyle="stop" showErrorMessage="true" showInputMessage="true">
      <formula1>"Participar,Não participar"</formula1>
    </dataValidation>
    <dataValidation type="list" sqref="M58" allowBlank="true" errorStyle="stop" showErrorMessage="true" showInputMessage="true">
      <formula1>"Participar,Não participar"</formula1>
    </dataValidation>
    <dataValidation type="list" sqref="M59" allowBlank="true" errorStyle="stop" showErrorMessage="true" showInputMessage="true">
      <formula1>"Participar,Não participar"</formula1>
    </dataValidation>
    <dataValidation type="list" sqref="M60" allowBlank="true" errorStyle="stop" showErrorMessage="true" showInputMessage="true">
      <formula1>"Participar,Não participar"</formula1>
    </dataValidation>
    <dataValidation type="list" sqref="M61" allowBlank="true" errorStyle="stop" showErrorMessage="true" showInputMessage="true">
      <formula1>"Participar,Não participar"</formula1>
    </dataValidation>
    <dataValidation type="list" sqref="M62" allowBlank="true" errorStyle="stop" showErrorMessage="true" showInputMessage="true">
      <formula1>"Participar,Não participar"</formula1>
    </dataValidation>
    <dataValidation type="list" sqref="M63" allowBlank="true" errorStyle="stop" showErrorMessage="true" showInputMessage="true">
      <formula1>"Participar,Não participar"</formula1>
    </dataValidation>
    <dataValidation type="list" sqref="M64" allowBlank="true" errorStyle="stop" showErrorMessage="true" showInputMessage="true">
      <formula1>"Participar,Não participar"</formula1>
    </dataValidation>
    <dataValidation type="list" sqref="M65" allowBlank="true" errorStyle="stop" showErrorMessage="true" showInputMessage="true">
      <formula1>"Participar,Não participar"</formula1>
    </dataValidation>
    <dataValidation type="list" sqref="M66" allowBlank="true" errorStyle="stop" showErrorMessage="true" showInputMessage="true">
      <formula1>"Participar,Não participar"</formula1>
    </dataValidation>
    <dataValidation type="list" sqref="M67" allowBlank="true" errorStyle="stop" showErrorMessage="true" showInputMessage="true">
      <formula1>"Participar,Não participar"</formula1>
    </dataValidation>
    <dataValidation type="list" sqref="M68" allowBlank="true" errorStyle="stop" showErrorMessage="true" showInputMessage="true">
      <formula1>"Participar,Não participar"</formula1>
    </dataValidation>
    <dataValidation type="list" sqref="M69" allowBlank="true" errorStyle="stop" showErrorMessage="true" showInputMessage="true">
      <formula1>"Participar,Não participar"</formula1>
    </dataValidation>
    <dataValidation type="list" sqref="M70" allowBlank="true" errorStyle="stop" showErrorMessage="true" showInputMessage="true">
      <formula1>"Participar,Não participar"</formula1>
    </dataValidation>
    <dataValidation type="list" sqref="M71" allowBlank="true" errorStyle="stop" showErrorMessage="true" showInputMessage="true">
      <formula1>"Participar,Não participar"</formula1>
    </dataValidation>
    <dataValidation type="list" sqref="M72" allowBlank="true" errorStyle="stop" showErrorMessage="true" showInputMessage="true">
      <formula1>"Participar,Não participar"</formula1>
    </dataValidation>
    <dataValidation type="list" sqref="M73" allowBlank="true" errorStyle="stop" showErrorMessage="true" showInputMessage="true">
      <formula1>"Participar,Não participar"</formula1>
    </dataValidation>
    <dataValidation type="list" sqref="M74" allowBlank="true" errorStyle="stop" showErrorMessage="true" showInputMessage="true">
      <formula1>"Participar,Não participar"</formula1>
    </dataValidation>
    <dataValidation type="list" sqref="M75" allowBlank="true" errorStyle="stop" showErrorMessage="true" showInputMessage="true">
      <formula1>"Participar,Não participar"</formula1>
    </dataValidation>
    <dataValidation type="list" sqref="M76" allowBlank="true" errorStyle="stop" showErrorMessage="true" showInputMessage="true">
      <formula1>"Participar,Não participar"</formula1>
    </dataValidation>
    <dataValidation type="list" sqref="M77" allowBlank="true" errorStyle="stop" showErrorMessage="true" showInputMessage="true">
      <formula1>"Participar,Não participar"</formula1>
    </dataValidation>
    <dataValidation type="list" sqref="M78" allowBlank="true" errorStyle="stop" showErrorMessage="true" showInputMessage="true">
      <formula1>"Participar,Não participar"</formula1>
    </dataValidation>
    <dataValidation type="list" sqref="M79" allowBlank="true" errorStyle="stop" showErrorMessage="true" showInputMessage="true">
      <formula1>"Participar,Não participar"</formula1>
    </dataValidation>
    <dataValidation type="list" sqref="M80" allowBlank="true" errorStyle="stop" showErrorMessage="true" showInputMessage="true">
      <formula1>"Participar,Não participar"</formula1>
    </dataValidation>
    <dataValidation type="list" sqref="M81" allowBlank="true" errorStyle="stop" showErrorMessage="true" showInputMessage="true">
      <formula1>"Participar,Não participar"</formula1>
    </dataValidation>
    <dataValidation type="list" sqref="M82" allowBlank="true" errorStyle="stop" showErrorMessage="true" showInputMessage="true">
      <formula1>"Participar,Não participar"</formula1>
    </dataValidation>
    <dataValidation type="list" sqref="M83" allowBlank="true" errorStyle="stop" showErrorMessage="true" showInputMessage="true">
      <formula1>"Participar,Não participar"</formula1>
    </dataValidation>
    <dataValidation type="list" sqref="M84" allowBlank="true" errorStyle="stop" showErrorMessage="true" showInputMessage="true">
      <formula1>"Participar,Não participar"</formula1>
    </dataValidation>
    <dataValidation type="list" sqref="M85" allowBlank="true" errorStyle="stop" showErrorMessage="true" showInputMessage="true">
      <formula1>"Participar,Não participar"</formula1>
    </dataValidation>
    <dataValidation type="list" sqref="M86" allowBlank="true" errorStyle="stop" showErrorMessage="true" showInputMessage="true">
      <formula1>"Participar,Não participar"</formula1>
    </dataValidation>
    <dataValidation type="list" sqref="M87" allowBlank="true" errorStyle="stop" showErrorMessage="true" showInputMessage="true">
      <formula1>"Participar,Não participar"</formula1>
    </dataValidation>
    <dataValidation type="list" sqref="M88" allowBlank="true" errorStyle="stop" showErrorMessage="true" showInputMessage="true">
      <formula1>"Participar,Não participar"</formula1>
    </dataValidation>
    <dataValidation type="list" sqref="M89" allowBlank="true" errorStyle="stop" showErrorMessage="true" showInputMessage="true">
      <formula1>"Participar,Não participar"</formula1>
    </dataValidation>
    <dataValidation type="list" sqref="M90" allowBlank="true" errorStyle="stop" showErrorMessage="true" showInputMessage="true">
      <formula1>"Participar,Não participar"</formula1>
    </dataValidation>
    <dataValidation type="list" sqref="M91" allowBlank="true" errorStyle="stop" showErrorMessage="true" showInputMessage="true">
      <formula1>"Participar,Não participar"</formula1>
    </dataValidation>
    <dataValidation type="list" sqref="M92" allowBlank="true" errorStyle="stop" showErrorMessage="true" showInputMessage="true">
      <formula1>"Participar,Não participar"</formula1>
    </dataValidation>
    <dataValidation type="list" sqref="M93" allowBlank="true" errorStyle="stop" showErrorMessage="true" showInputMessage="true">
      <formula1>"Participar,Não participar"</formula1>
    </dataValidation>
    <dataValidation type="list" sqref="M94" allowBlank="true" errorStyle="stop" showErrorMessage="true" showInputMessage="true">
      <formula1>"Participar,Não participar"</formula1>
    </dataValidation>
    <dataValidation type="list" sqref="M95" allowBlank="true" errorStyle="stop" showErrorMessage="true" showInputMessage="true">
      <formula1>"Participar,Não participar"</formula1>
    </dataValidation>
    <dataValidation type="list" sqref="M96" allowBlank="true" errorStyle="stop" showErrorMessage="true" showInputMessage="true">
      <formula1>"Participar,Não participar"</formula1>
    </dataValidation>
    <dataValidation type="list" sqref="M97" allowBlank="true" errorStyle="stop" showErrorMessage="true" showInputMessage="true">
      <formula1>"Participar,Não participar"</formula1>
    </dataValidation>
    <dataValidation type="list" sqref="M98" allowBlank="true" errorStyle="stop" showErrorMessage="true" showInputMessage="true">
      <formula1>"Participar,Não participar"</formula1>
    </dataValidation>
    <dataValidation type="list" sqref="M99" allowBlank="true" errorStyle="stop" showErrorMessage="true" showInputMessage="true">
      <formula1>"Participar,Não participar"</formula1>
    </dataValidation>
    <dataValidation type="list" sqref="M100" allowBlank="true" errorStyle="stop" showErrorMessage="true" showInputMessage="true">
      <formula1>"Participar,Não participar"</formula1>
    </dataValidation>
    <dataValidation type="list" sqref="M101" allowBlank="true" errorStyle="stop" showErrorMessage="true" showInputMessage="true">
      <formula1>"Participar,Não participar"</formula1>
    </dataValidation>
    <dataValidation type="list" sqref="M102" allowBlank="true" errorStyle="stop" showErrorMessage="true" showInputMessage="true">
      <formula1>"Participar,Não participar"</formula1>
    </dataValidation>
    <dataValidation type="list" sqref="M103" allowBlank="true" errorStyle="stop" showErrorMessage="true" showInputMessage="true">
      <formula1>"Participar,Não participar"</formula1>
    </dataValidation>
    <dataValidation type="list" sqref="M104" allowBlank="true" errorStyle="stop" showErrorMessage="true" showInputMessage="true">
      <formula1>"Participar,Não participar"</formula1>
    </dataValidation>
    <dataValidation type="list" sqref="M105" allowBlank="true" errorStyle="stop" showErrorMessage="true" showInputMessage="true">
      <formula1>"Participar,Não participar"</formula1>
    </dataValidation>
    <dataValidation type="list" sqref="M106" allowBlank="true" errorStyle="stop" showErrorMessage="true" showInputMessage="true">
      <formula1>"Participar,Não participar"</formula1>
    </dataValidation>
    <dataValidation type="list" sqref="M107" allowBlank="true" errorStyle="stop" showErrorMessage="true" showInputMessage="true">
      <formula1>"Participar,Não participar"</formula1>
    </dataValidation>
    <dataValidation type="list" sqref="M108" allowBlank="true" errorStyle="stop" showErrorMessage="true" showInputMessage="true">
      <formula1>"Participar,Não participar"</formula1>
    </dataValidation>
    <dataValidation type="list" sqref="M109" allowBlank="true" errorStyle="stop" showErrorMessage="true" showInputMessage="true">
      <formula1>"Participar,Não participar"</formula1>
    </dataValidation>
    <dataValidation type="list" sqref="M110" allowBlank="true" errorStyle="stop" showErrorMessage="true" showInputMessage="true">
      <formula1>"Participar,Não participar"</formula1>
    </dataValidation>
    <dataValidation type="list" sqref="M111" allowBlank="true" errorStyle="stop" showErrorMessage="true" showInputMessage="true">
      <formula1>"Participar,Não participar"</formula1>
    </dataValidation>
    <dataValidation type="list" sqref="M112" allowBlank="true" errorStyle="stop" showErrorMessage="true" showInputMessage="true">
      <formula1>"Participar,Não participar"</formula1>
    </dataValidation>
    <dataValidation type="list" sqref="M113" allowBlank="true" errorStyle="stop" showErrorMessage="true" showInputMessage="true">
      <formula1>"Participar,Não participar"</formula1>
    </dataValidation>
    <dataValidation type="list" sqref="M114" allowBlank="true" errorStyle="stop" showErrorMessage="true" showInputMessage="true">
      <formula1>"Participar,Não participar"</formula1>
    </dataValidation>
    <dataValidation type="list" sqref="M115" allowBlank="true" errorStyle="stop" showErrorMessage="true" showInputMessage="true">
      <formula1>"Participar,Não participar"</formula1>
    </dataValidation>
    <dataValidation type="list" sqref="M116" allowBlank="true" errorStyle="stop" showErrorMessage="true" showInputMessage="true">
      <formula1>"Participar,Não participar"</formula1>
    </dataValidation>
    <dataValidation type="list" sqref="M117" allowBlank="true" errorStyle="stop" showErrorMessage="true" showInputMessage="true">
      <formula1>"Participar,Não participar"</formula1>
    </dataValidation>
    <dataValidation type="list" sqref="M118" allowBlank="true" errorStyle="stop" showErrorMessage="true" showInputMessage="true">
      <formula1>"Participar,Não participar"</formula1>
    </dataValidation>
    <dataValidation type="list" sqref="M119" allowBlank="true" errorStyle="stop" showErrorMessage="true" showInputMessage="true">
      <formula1>"Participar,Não participar"</formula1>
    </dataValidation>
    <dataValidation type="list" sqref="M120" allowBlank="true" errorStyle="stop" showErrorMessage="true" showInputMessage="true">
      <formula1>"Participar,Não participar"</formula1>
    </dataValidation>
    <dataValidation type="list" sqref="M121" allowBlank="true" errorStyle="stop" showErrorMessage="true" showInputMessage="true">
      <formula1>"Participar,Não participar"</formula1>
    </dataValidation>
    <dataValidation type="list" sqref="M122" allowBlank="true" errorStyle="stop" showErrorMessage="true" showInputMessage="true">
      <formula1>"Participar,Não participar"</formula1>
    </dataValidation>
    <dataValidation type="list" sqref="M123" allowBlank="true" errorStyle="stop" showErrorMessage="true" showInputMessage="true">
      <formula1>"Participar,Não participar"</formula1>
    </dataValidation>
    <dataValidation type="list" sqref="M124" allowBlank="true" errorStyle="stop" showErrorMessage="true" showInputMessage="true">
      <formula1>"Participar,Não participar"</formula1>
    </dataValidation>
    <dataValidation type="list" sqref="M125" allowBlank="true" errorStyle="stop" showErrorMessage="true" showInputMessage="true">
      <formula1>"Participar,Não participar"</formula1>
    </dataValidation>
    <dataValidation type="list" sqref="M126" allowBlank="true" errorStyle="stop" showErrorMessage="true" showInputMessage="true">
      <formula1>"Participar,Não participar"</formula1>
    </dataValidation>
    <dataValidation type="list" sqref="M127" allowBlank="true" errorStyle="stop" showErrorMessage="true" showInputMessage="true">
      <formula1>"Participar,Não participar"</formula1>
    </dataValidation>
    <dataValidation type="list" sqref="M128" allowBlank="true" errorStyle="stop" showErrorMessage="true" showInputMessage="true">
      <formula1>"Participar,Não participar"</formula1>
    </dataValidation>
    <dataValidation type="list" sqref="M129" allowBlank="true" errorStyle="stop" showErrorMessage="true" showInputMessage="true">
      <formula1>"Participar,Não participar"</formula1>
    </dataValidation>
    <dataValidation type="list" sqref="M130" allowBlank="true" errorStyle="stop" showErrorMessage="true" showInputMessage="true">
      <formula1>"Participar,Não participar"</formula1>
    </dataValidation>
    <dataValidation type="list" sqref="M131" allowBlank="true" errorStyle="stop" showErrorMessage="true" showInputMessage="true">
      <formula1>"Participar,Não participar"</formula1>
    </dataValidation>
    <dataValidation type="list" sqref="M132" allowBlank="true" errorStyle="stop" showErrorMessage="true" showInputMessage="true">
      <formula1>"Participar,Não participar"</formula1>
    </dataValidation>
    <dataValidation type="list" sqref="M133" allowBlank="true" errorStyle="stop" showErrorMessage="true" showInputMessage="true">
      <formula1>"Participar,Não participar"</formula1>
    </dataValidation>
    <dataValidation type="list" sqref="M134" allowBlank="true" errorStyle="stop" showErrorMessage="true" showInputMessage="true">
      <formula1>"Participar,Não participar"</formula1>
    </dataValidation>
    <dataValidation type="list" sqref="M135" allowBlank="true" errorStyle="stop" showErrorMessage="true" showInputMessage="true">
      <formula1>"Participar,Não participar"</formula1>
    </dataValidation>
    <dataValidation type="list" sqref="M136" allowBlank="true" errorStyle="stop" showErrorMessage="true" showInputMessage="true">
      <formula1>"Participar,Não participar"</formula1>
    </dataValidation>
    <dataValidation type="list" sqref="M137" allowBlank="true" errorStyle="stop" showErrorMessage="true" showInputMessage="true">
      <formula1>"Participar,Não participar"</formula1>
    </dataValidation>
    <dataValidation type="list" sqref="M138" allowBlank="true" errorStyle="stop" showErrorMessage="true" showInputMessage="true">
      <formula1>"Participar,Não participar"</formula1>
    </dataValidation>
    <dataValidation type="list" sqref="M139" allowBlank="true" errorStyle="stop" showErrorMessage="true" showInputMessage="true">
      <formula1>"Participar,Não participar"</formula1>
    </dataValidation>
    <dataValidation type="list" sqref="M140" allowBlank="true" errorStyle="stop" showErrorMessage="true" showInputMessage="true">
      <formula1>"Participar,Não participar"</formula1>
    </dataValidation>
    <dataValidation type="list" sqref="M141" allowBlank="true" errorStyle="stop" showErrorMessage="true" showInputMessage="true">
      <formula1>"Participar,Não participar"</formula1>
    </dataValidation>
    <dataValidation type="list" sqref="M142" allowBlank="true" errorStyle="stop" showErrorMessage="true" showInputMessage="true">
      <formula1>"Participar,Não participar"</formula1>
    </dataValidation>
    <dataValidation type="list" sqref="M143" allowBlank="true" errorStyle="stop" showErrorMessage="true" showInputMessage="true">
      <formula1>"Participar,Não participar"</formula1>
    </dataValidation>
    <dataValidation type="list" sqref="M144" allowBlank="true" errorStyle="stop" showErrorMessage="true" showInputMessage="true">
      <formula1>"Participar,Não participar"</formula1>
    </dataValidation>
    <dataValidation type="list" sqref="M145" allowBlank="true" errorStyle="stop" showErrorMessage="true" showInputMessage="true">
      <formula1>"Participar,Não participar"</formula1>
    </dataValidation>
    <dataValidation type="list" sqref="M146" allowBlank="true" errorStyle="stop" showErrorMessage="true" showInputMessage="true">
      <formula1>"Participar,Não participar"</formula1>
    </dataValidation>
    <dataValidation type="list" sqref="M147" allowBlank="true" errorStyle="stop" showErrorMessage="true" showInputMessage="true">
      <formula1>"Participar,Não participar"</formula1>
    </dataValidation>
    <dataValidation type="list" sqref="M148" allowBlank="true" errorStyle="stop" showErrorMessage="true" showInputMessage="true">
      <formula1>"Participar,Não participar"</formula1>
    </dataValidation>
    <dataValidation type="list" sqref="M149" allowBlank="true" errorStyle="stop" showErrorMessage="true" showInputMessage="true">
      <formula1>"Participar,Não participar"</formula1>
    </dataValidation>
    <dataValidation type="list" sqref="M150" allowBlank="true" errorStyle="stop" showErrorMessage="true" showInputMessage="true">
      <formula1>"Participar,Não participar"</formula1>
    </dataValidation>
    <dataValidation type="list" sqref="M151" allowBlank="true" errorStyle="stop" showErrorMessage="true" showInputMessage="true">
      <formula1>"Participar,Não participar"</formula1>
    </dataValidation>
    <dataValidation type="list" sqref="M152" allowBlank="true" errorStyle="stop" showErrorMessage="true" showInputMessage="true">
      <formula1>"Participar,Não participar"</formula1>
    </dataValidation>
    <dataValidation type="list" sqref="M153" allowBlank="true" errorStyle="stop" showErrorMessage="true" showInputMessage="true">
      <formula1>"Participar,Não participar"</formula1>
    </dataValidation>
    <dataValidation type="list" sqref="M154" allowBlank="true" errorStyle="stop" showErrorMessage="true" showInputMessage="true">
      <formula1>"Participar,Não participar"</formula1>
    </dataValidation>
    <dataValidation type="list" sqref="M155" allowBlank="true" errorStyle="stop" showErrorMessage="true" showInputMessage="true">
      <formula1>"Participar,Não participar"</formula1>
    </dataValidation>
    <dataValidation type="list" sqref="M156" allowBlank="true" errorStyle="stop" showErrorMessage="true" showInputMessage="true">
      <formula1>"Participar,Não participar"</formula1>
    </dataValidation>
    <dataValidation type="list" sqref="M157" allowBlank="true" errorStyle="stop" showErrorMessage="true" showInputMessage="true">
      <formula1>"Participar,Não participar"</formula1>
    </dataValidation>
    <dataValidation type="list" sqref="M158" allowBlank="true" errorStyle="stop" showErrorMessage="true" showInputMessage="true">
      <formula1>"Participar,Não participar"</formula1>
    </dataValidation>
    <dataValidation type="list" sqref="M159" allowBlank="true" errorStyle="stop" showErrorMessage="true" showInputMessage="true">
      <formula1>"Participar,Não participar"</formula1>
    </dataValidation>
    <dataValidation type="list" sqref="M160" allowBlank="true" errorStyle="stop" showErrorMessage="true" showInputMessage="true">
      <formula1>"Participar,Não participar"</formula1>
    </dataValidation>
    <dataValidation type="list" sqref="M161" allowBlank="true" errorStyle="stop" showErrorMessage="true" showInputMessage="true">
      <formula1>"Participar,Não participar"</formula1>
    </dataValidation>
    <dataValidation type="list" sqref="M162" allowBlank="true" errorStyle="stop" showErrorMessage="true" showInputMessage="true">
      <formula1>"Participar,Não participar"</formula1>
    </dataValidation>
    <dataValidation type="list" sqref="M163" allowBlank="true" errorStyle="stop" showErrorMessage="true" showInputMessage="true">
      <formula1>"Participar,Não participar"</formula1>
    </dataValidation>
    <dataValidation type="list" sqref="M164" allowBlank="true" errorStyle="stop" showErrorMessage="true" showInputMessage="true">
      <formula1>"Participar,Não participar"</formula1>
    </dataValidation>
    <dataValidation type="list" sqref="M165" allowBlank="true" errorStyle="stop" showErrorMessage="true" showInputMessage="true">
      <formula1>"Participar,Não participar"</formula1>
    </dataValidation>
    <dataValidation type="list" sqref="M166" allowBlank="true" errorStyle="stop" showErrorMessage="true" showInputMessage="true">
      <formula1>"Participar,Não participar"</formula1>
    </dataValidation>
    <dataValidation type="list" sqref="M167" allowBlank="true" errorStyle="stop" showErrorMessage="true" showInputMessage="true">
      <formula1>"Participar,Não participar"</formula1>
    </dataValidation>
    <dataValidation type="list" sqref="M168" allowBlank="true" errorStyle="stop" showErrorMessage="true" showInputMessage="true">
      <formula1>"Participar,Não participar"</formula1>
    </dataValidation>
    <dataValidation type="list" sqref="M169" allowBlank="true" errorStyle="stop" showErrorMessage="true" showInputMessage="true">
      <formula1>"Participar,Não participar"</formula1>
    </dataValidation>
    <dataValidation type="list" sqref="M170" allowBlank="true" errorStyle="stop" showErrorMessage="true" showInputMessage="true">
      <formula1>"Participar,Não participar"</formula1>
    </dataValidation>
    <dataValidation type="list" sqref="M171" allowBlank="true" errorStyle="stop" showErrorMessage="true" showInputMessage="true">
      <formula1>"Participar,Não participar"</formula1>
    </dataValidation>
    <dataValidation type="list" sqref="M172" allowBlank="true" errorStyle="stop" showErrorMessage="true" showInputMessage="true">
      <formula1>"Participar,Não participar"</formula1>
    </dataValidation>
    <dataValidation type="list" sqref="M173" allowBlank="true" errorStyle="stop" showErrorMessage="true" showInputMessage="true">
      <formula1>"Participar,Não participar"</formula1>
    </dataValidation>
    <dataValidation type="list" sqref="M174" allowBlank="true" errorStyle="stop" showErrorMessage="true" showInputMessage="true">
      <formula1>"Participar,Não participar"</formula1>
    </dataValidation>
    <dataValidation type="list" sqref="M175" allowBlank="true" errorStyle="stop" showErrorMessage="true" showInputMessage="true">
      <formula1>"Participar,Não participar"</formula1>
    </dataValidation>
    <dataValidation type="list" sqref="M176" allowBlank="true" errorStyle="stop" showErrorMessage="true" showInputMessage="true">
      <formula1>"Participar,Não participar"</formula1>
    </dataValidation>
    <dataValidation type="list" sqref="M177" allowBlank="true" errorStyle="stop" showErrorMessage="true" showInputMessage="true">
      <formula1>"Participar,Não participar"</formula1>
    </dataValidation>
    <dataValidation type="list" sqref="M178" allowBlank="true" errorStyle="stop" showErrorMessage="true" showInputMessage="true">
      <formula1>"Participar,Não participar"</formula1>
    </dataValidation>
    <dataValidation type="list" sqref="M179" allowBlank="true" errorStyle="stop" showErrorMessage="true" showInputMessage="true">
      <formula1>"Participar,Não participar"</formula1>
    </dataValidation>
    <dataValidation type="list" sqref="M180" allowBlank="true" errorStyle="stop" showErrorMessage="true" showInputMessage="true">
      <formula1>"Participar,Não participar"</formula1>
    </dataValidation>
    <dataValidation type="list" sqref="M181" allowBlank="true" errorStyle="stop" showErrorMessage="true" showInputMessage="true">
      <formula1>"Participar,Não participar"</formula1>
    </dataValidation>
    <dataValidation type="list" sqref="M182" allowBlank="true" errorStyle="stop" showErrorMessage="true" showInputMessage="true">
      <formula1>"Participar,Não participar"</formula1>
    </dataValidation>
    <dataValidation type="list" sqref="M183" allowBlank="true" errorStyle="stop" showErrorMessage="true" showInputMessage="true">
      <formula1>"Participar,Não participar"</formula1>
    </dataValidation>
    <dataValidation type="list" sqref="M184" allowBlank="true" errorStyle="stop" showErrorMessage="true" showInputMessage="true">
      <formula1>"Participar,Não participar"</formula1>
    </dataValidation>
    <dataValidation type="list" sqref="M185" allowBlank="true" errorStyle="stop" showErrorMessage="true" showInputMessage="true">
      <formula1>"Participar,Não participar"</formula1>
    </dataValidation>
    <dataValidation type="list" sqref="M186" allowBlank="true" errorStyle="stop" showErrorMessage="true" showInputMessage="true">
      <formula1>"Participar,Não participar"</formula1>
    </dataValidation>
    <dataValidation type="list" sqref="M187" allowBlank="true" errorStyle="stop" showErrorMessage="true" showInputMessage="true">
      <formula1>"Participar,Não participar"</formula1>
    </dataValidation>
    <dataValidation type="list" sqref="M188" allowBlank="true" errorStyle="stop" showErrorMessage="true" showInputMessage="true">
      <formula1>"Participar,Não participar"</formula1>
    </dataValidation>
    <dataValidation type="list" sqref="M189" allowBlank="true" errorStyle="stop" showErrorMessage="true" showInputMessage="true">
      <formula1>"Participar,Não participar"</formula1>
    </dataValidation>
    <dataValidation type="list" sqref="M190" allowBlank="true" errorStyle="stop" showErrorMessage="true" showInputMessage="true">
      <formula1>"Participar,Não participar"</formula1>
    </dataValidation>
    <dataValidation type="list" sqref="M191" allowBlank="true" errorStyle="stop" showErrorMessage="true" showInputMessage="true">
      <formula1>"Participar,Não participar"</formula1>
    </dataValidation>
    <dataValidation type="list" sqref="M192" allowBlank="true" errorStyle="stop" showErrorMessage="true" showInputMessage="true">
      <formula1>"Participar,Não participar"</formula1>
    </dataValidation>
    <dataValidation type="list" sqref="M193" allowBlank="true" errorStyle="stop" showErrorMessage="true" showInputMessage="true">
      <formula1>"Participar,Não participar"</formula1>
    </dataValidation>
    <dataValidation type="list" sqref="M194" allowBlank="true" errorStyle="stop" showErrorMessage="true" showInputMessage="true">
      <formula1>"Participar,Não participar"</formula1>
    </dataValidation>
    <dataValidation type="list" sqref="M195" allowBlank="true" errorStyle="stop" showErrorMessage="true" showInputMessage="true">
      <formula1>"Participar,Não participar"</formula1>
    </dataValidation>
    <dataValidation type="list" sqref="M196" allowBlank="true" errorStyle="stop" showErrorMessage="true" showInputMessage="true">
      <formula1>"Participar,Não participar"</formula1>
    </dataValidation>
    <dataValidation type="list" sqref="M197" allowBlank="true" errorStyle="stop" showErrorMessage="true" showInputMessage="true">
      <formula1>"Participar,Não participar"</formula1>
    </dataValidation>
    <dataValidation type="list" sqref="M198" allowBlank="true" errorStyle="stop" showErrorMessage="true" showInputMessage="true">
      <formula1>"Participar,Não participar"</formula1>
    </dataValidation>
    <dataValidation type="list" sqref="M199" allowBlank="true" errorStyle="stop" showErrorMessage="true" showInputMessage="true">
      <formula1>"Participar,Não participar"</formula1>
    </dataValidation>
    <dataValidation type="list" sqref="M200" allowBlank="true" errorStyle="stop" showErrorMessage="true" showInputMessage="true">
      <formula1>"Participar,Não participar"</formula1>
    </dataValidation>
    <dataValidation type="list" sqref="M201" allowBlank="true" errorStyle="stop" showErrorMessage="true" showInputMessage="true">
      <formula1>"Participar,Não participar"</formula1>
    </dataValidation>
    <dataValidation type="list" sqref="M202" allowBlank="true" errorStyle="stop" showErrorMessage="true" showInputMessage="true">
      <formula1>"Participar,Não participar"</formula1>
    </dataValidation>
    <dataValidation type="list" sqref="M203" allowBlank="true" errorStyle="stop" showErrorMessage="true" showInputMessage="true">
      <formula1>"Participar,Não participar"</formula1>
    </dataValidation>
    <dataValidation type="list" sqref="M204" allowBlank="true" errorStyle="stop" showErrorMessage="true" showInputMessage="true">
      <formula1>"Participar,Não participar"</formula1>
    </dataValidation>
    <dataValidation type="list" sqref="M205" allowBlank="true" errorStyle="stop" showErrorMessage="true" showInputMessage="true">
      <formula1>"Participar,Não participar"</formula1>
    </dataValidation>
    <dataValidation type="list" sqref="M206" allowBlank="true" errorStyle="stop" showErrorMessage="true" showInputMessage="true">
      <formula1>"Participar,Não participar"</formula1>
    </dataValidation>
    <dataValidation type="list" sqref="M207" allowBlank="true" errorStyle="stop" showErrorMessage="true" showInputMessage="true">
      <formula1>"Participar,Não participar"</formula1>
    </dataValidation>
    <dataValidation type="list" sqref="M208" allowBlank="true" errorStyle="stop" showErrorMessage="true" showInputMessage="true">
      <formula1>"Participar,Não participar"</formula1>
    </dataValidation>
    <dataValidation type="list" sqref="M209" allowBlank="true" errorStyle="stop" showErrorMessage="true" showInputMessage="true">
      <formula1>"Participar,Não participar"</formula1>
    </dataValidation>
    <dataValidation type="list" sqref="M210" allowBlank="true" errorStyle="stop" showErrorMessage="true" showInputMessage="true">
      <formula1>"Participar,Não participar"</formula1>
    </dataValidation>
    <dataValidation type="list" sqref="M211" allowBlank="true" errorStyle="stop" showErrorMessage="true" showInputMessage="true">
      <formula1>"Participar,Não participar"</formula1>
    </dataValidation>
    <dataValidation type="list" sqref="M212" allowBlank="true" errorStyle="stop" showErrorMessage="true" showInputMessage="true">
      <formula1>"Participar,Não participar"</formula1>
    </dataValidation>
    <dataValidation type="list" sqref="M213" allowBlank="true" errorStyle="stop" showErrorMessage="true" showInputMessage="true">
      <formula1>"Participar,Não participar"</formula1>
    </dataValidation>
    <dataValidation type="list" sqref="M214" allowBlank="true" errorStyle="stop" showErrorMessage="true" showInputMessage="true">
      <formula1>"Participar,Não participar"</formula1>
    </dataValidation>
    <dataValidation type="list" sqref="M215" allowBlank="true" errorStyle="stop" showErrorMessage="true" showInputMessage="true">
      <formula1>"Participar,Não participar"</formula1>
    </dataValidation>
    <dataValidation type="list" sqref="M216" allowBlank="true" errorStyle="stop" showErrorMessage="true" showInputMessage="true">
      <formula1>"Participar,Não participar"</formula1>
    </dataValidation>
    <dataValidation type="list" sqref="M217" allowBlank="true" errorStyle="stop" showErrorMessage="true" showInputMessage="true">
      <formula1>"Participar,Não participar"</formula1>
    </dataValidation>
    <dataValidation type="list" sqref="M218" allowBlank="true" errorStyle="stop" showErrorMessage="true" showInputMessage="true">
      <formula1>"Participar,Não participar"</formula1>
    </dataValidation>
    <dataValidation type="list" sqref="M219" allowBlank="true" errorStyle="stop" showErrorMessage="true" showInputMessage="true">
      <formula1>"Participar,Não participar"</formula1>
    </dataValidation>
    <dataValidation type="list" sqref="M220" allowBlank="true" errorStyle="stop" showErrorMessage="true" showInputMessage="true">
      <formula1>"Participar,Não participar"</formula1>
    </dataValidation>
    <dataValidation type="list" sqref="M221" allowBlank="true" errorStyle="stop" showErrorMessage="true" showInputMessage="true">
      <formula1>"Participar,Não participar"</formula1>
    </dataValidation>
    <dataValidation type="list" sqref="M222" allowBlank="true" errorStyle="stop" showErrorMessage="true" showInputMessage="true">
      <formula1>"Participar,Não participar"</formula1>
    </dataValidation>
    <dataValidation type="list" sqref="M223" allowBlank="true" errorStyle="stop" showErrorMessage="true" showInputMessage="true">
      <formula1>"Participar,Não participar"</formula1>
    </dataValidation>
    <dataValidation type="list" sqref="M224" allowBlank="true" errorStyle="stop" showErrorMessage="true" showInputMessage="true">
      <formula1>"Participar,Não participar"</formula1>
    </dataValidation>
    <dataValidation type="list" sqref="M225" allowBlank="true" errorStyle="stop" showErrorMessage="true" showInputMessage="true">
      <formula1>"Participar,Não participar"</formula1>
    </dataValidation>
    <dataValidation type="list" sqref="M226" allowBlank="true" errorStyle="stop" showErrorMessage="true" showInputMessage="true">
      <formula1>"Participar,Não participar"</formula1>
    </dataValidation>
    <dataValidation type="list" sqref="M227" allowBlank="true" errorStyle="stop" showErrorMessage="true" showInputMessage="true">
      <formula1>"Participar,Não participar"</formula1>
    </dataValidation>
    <dataValidation type="list" sqref="M228" allowBlank="true" errorStyle="stop" showErrorMessage="true" showInputMessage="true">
      <formula1>"Participar,Não participar"</formula1>
    </dataValidation>
    <dataValidation type="list" sqref="M229" allowBlank="true" errorStyle="stop" showErrorMessage="true" showInputMessage="true">
      <formula1>"Participar,Não participar"</formula1>
    </dataValidation>
    <dataValidation type="list" sqref="M230" allowBlank="true" errorStyle="stop" showErrorMessage="true" showInputMessage="true">
      <formula1>"Participar,Não participar"</formula1>
    </dataValidation>
    <dataValidation type="list" sqref="M231" allowBlank="true" errorStyle="stop" showErrorMessage="true" showInputMessage="true">
      <formula1>"Participar,Não participar"</formula1>
    </dataValidation>
    <dataValidation type="list" sqref="M232" allowBlank="true" errorStyle="stop" showErrorMessage="true" showInputMessage="true">
      <formula1>"Participar,Não participar"</formula1>
    </dataValidation>
    <dataValidation type="list" sqref="M233" allowBlank="true" errorStyle="stop" showErrorMessage="true" showInputMessage="true">
      <formula1>"Participar,Não participar"</formula1>
    </dataValidation>
    <dataValidation type="list" sqref="M234" allowBlank="true" errorStyle="stop" showErrorMessage="true" showInputMessage="true">
      <formula1>"Participar,Não participar"</formula1>
    </dataValidation>
    <dataValidation type="list" sqref="M235" allowBlank="true" errorStyle="stop" showErrorMessage="true" showInputMessage="true">
      <formula1>"Participar,Não participar"</formula1>
    </dataValidation>
    <dataValidation type="list" sqref="M236" allowBlank="true" errorStyle="stop" showErrorMessage="true" showInputMessage="true">
      <formula1>"Participar,Não participar"</formula1>
    </dataValidation>
    <dataValidation type="list" sqref="M237" allowBlank="true" errorStyle="stop" showErrorMessage="true" showInputMessage="true">
      <formula1>"Participar,Não participar"</formula1>
    </dataValidation>
    <dataValidation type="list" sqref="M238" allowBlank="true" errorStyle="stop" showErrorMessage="true" showInputMessage="true">
      <formula1>"Participar,Não participar"</formula1>
    </dataValidation>
    <dataValidation type="list" sqref="M239" allowBlank="true" errorStyle="stop" showErrorMessage="true" showInputMessage="true">
      <formula1>"Participar,Não participar"</formula1>
    </dataValidation>
    <dataValidation type="list" sqref="M240" allowBlank="true" errorStyle="stop" showErrorMessage="true" showInputMessage="true">
      <formula1>"Participar,Não participar"</formula1>
    </dataValidation>
    <dataValidation type="list" sqref="M241" allowBlank="true" errorStyle="stop" showErrorMessage="true" showInputMessage="true">
      <formula1>"Participar,Não participar"</formula1>
    </dataValidation>
    <dataValidation type="list" sqref="M242" allowBlank="true" errorStyle="stop" showErrorMessage="true" showInputMessage="true">
      <formula1>"Participar,Não participar"</formula1>
    </dataValidation>
    <dataValidation type="list" sqref="M243" allowBlank="true" errorStyle="stop" showErrorMessage="true" showInputMessage="true">
      <formula1>"Participar,Não participar"</formula1>
    </dataValidation>
    <dataValidation type="list" sqref="M244" allowBlank="true" errorStyle="stop" showErrorMessage="true" showInputMessage="true">
      <formula1>"Participar,Não participar"</formula1>
    </dataValidation>
    <dataValidation type="list" sqref="M245" allowBlank="true" errorStyle="stop" showErrorMessage="true" showInputMessage="true">
      <formula1>"Participar,Não participar"</formula1>
    </dataValidation>
    <dataValidation type="list" sqref="M246" allowBlank="true" errorStyle="stop" showErrorMessage="true" showInputMessage="true">
      <formula1>"Participar,Não participar"</formula1>
    </dataValidation>
    <dataValidation type="list" sqref="M247" allowBlank="true" errorStyle="stop" showErrorMessage="true" showInputMessage="true">
      <formula1>"Participar,Não participar"</formula1>
    </dataValidation>
    <dataValidation type="list" sqref="M248" allowBlank="true" errorStyle="stop" showErrorMessage="true" showInputMessage="true">
      <formula1>"Participar,Não participar"</formula1>
    </dataValidation>
    <dataValidation type="list" sqref="M249" allowBlank="true" errorStyle="stop" showErrorMessage="true" showInputMessage="true">
      <formula1>"Participar,Não participar"</formula1>
    </dataValidation>
    <dataValidation type="list" sqref="M250" allowBlank="true" errorStyle="stop" showErrorMessage="true" showInputMessage="true">
      <formula1>"Participar,Não participar"</formula1>
    </dataValidation>
    <dataValidation type="list" sqref="M251" allowBlank="true" errorStyle="stop" showErrorMessage="true" showInputMessage="true">
      <formula1>"Participar,Não participar"</formula1>
    </dataValidation>
    <dataValidation type="list" sqref="M252" allowBlank="true" errorStyle="stop" showErrorMessage="true" showInputMessage="true">
      <formula1>"Participar,Não participar"</formula1>
    </dataValidation>
    <dataValidation type="list" sqref="M253" allowBlank="true" errorStyle="stop" showErrorMessage="true" showInputMessage="true">
      <formula1>"Participar,Não participar"</formula1>
    </dataValidation>
    <dataValidation type="list" sqref="M254" allowBlank="true" errorStyle="stop" showErrorMessage="true" showInputMessage="true">
      <formula1>"Participar,Não participar"</formula1>
    </dataValidation>
    <dataValidation type="list" sqref="M255" allowBlank="true" errorStyle="stop" showErrorMessage="true" showInputMessage="true">
      <formula1>"Participar,Não participar"</formula1>
    </dataValidation>
    <dataValidation type="list" sqref="M256" allowBlank="true" errorStyle="stop" showErrorMessage="true" showInputMessage="true">
      <formula1>"Participar,Não participar"</formula1>
    </dataValidation>
    <dataValidation type="list" sqref="M257" allowBlank="true" errorStyle="stop" showErrorMessage="true" showInputMessage="true">
      <formula1>"Participar,Não participar"</formula1>
    </dataValidation>
    <dataValidation type="list" sqref="M258" allowBlank="true" errorStyle="stop" showErrorMessage="true" showInputMessage="true">
      <formula1>"Participar,Não participar"</formula1>
    </dataValidation>
    <dataValidation type="list" sqref="M259" allowBlank="true" errorStyle="stop" showErrorMessage="true" showInputMessage="true">
      <formula1>"Participar,Não participar"</formula1>
    </dataValidation>
    <dataValidation type="list" sqref="M260" allowBlank="true" errorStyle="stop" showErrorMessage="true" showInputMessage="true">
      <formula1>"Participar,Não participar"</formula1>
    </dataValidation>
    <dataValidation type="list" sqref="M261" allowBlank="true" errorStyle="stop" showErrorMessage="true" showInputMessage="true">
      <formula1>"Participar,Não participar"</formula1>
    </dataValidation>
    <dataValidation type="list" sqref="M262" allowBlank="true" errorStyle="stop" showErrorMessage="true" showInputMessage="true">
      <formula1>"Participar,Não participar"</formula1>
    </dataValidation>
    <dataValidation type="list" sqref="M263" allowBlank="true" errorStyle="stop" showErrorMessage="true" showInputMessage="true">
      <formula1>"Participar,Não participar"</formula1>
    </dataValidation>
    <dataValidation type="list" sqref="M264" allowBlank="true" errorStyle="stop" showErrorMessage="true" showInputMessage="true">
      <formula1>"Participar,Não participar"</formula1>
    </dataValidation>
    <dataValidation type="list" sqref="M265" allowBlank="true" errorStyle="stop" showErrorMessage="true" showInputMessage="true">
      <formula1>"Participar,Não participar"</formula1>
    </dataValidation>
    <dataValidation type="list" sqref="M266" allowBlank="true" errorStyle="stop" showErrorMessage="true" showInputMessage="true">
      <formula1>"Participar,Não participar"</formula1>
    </dataValidation>
    <dataValidation type="list" sqref="M267" allowBlank="true" errorStyle="stop" showErrorMessage="true" showInputMessage="true">
      <formula1>"Participar,Não participar"</formula1>
    </dataValidation>
    <dataValidation type="list" sqref="M268" allowBlank="true" errorStyle="stop" showErrorMessage="true" showInputMessage="true">
      <formula1>"Participar,Não participar"</formula1>
    </dataValidation>
    <dataValidation type="list" sqref="M269" allowBlank="true" errorStyle="stop" showErrorMessage="true" showInputMessage="true">
      <formula1>"Participar,Não participar"</formula1>
    </dataValidation>
    <dataValidation type="list" sqref="M270" allowBlank="true" errorStyle="stop" showErrorMessage="true" showInputMessage="true">
      <formula1>"Participar,Não participar"</formula1>
    </dataValidation>
    <dataValidation type="list" sqref="M271" allowBlank="true" errorStyle="stop" showErrorMessage="true" showInputMessage="true">
      <formula1>"Participar,Não participar"</formula1>
    </dataValidation>
    <dataValidation type="list" sqref="M272" allowBlank="true" errorStyle="stop" showErrorMessage="true" showInputMessage="true">
      <formula1>"Participar,Não participar"</formula1>
    </dataValidation>
    <dataValidation type="list" sqref="M273" allowBlank="true" errorStyle="stop" showErrorMessage="true" showInputMessage="true">
      <formula1>"Participar,Não participar"</formula1>
    </dataValidation>
    <dataValidation type="list" sqref="M274" allowBlank="true" errorStyle="stop" showErrorMessage="true" showInputMessage="true">
      <formula1>"Participar,Não participar"</formula1>
    </dataValidation>
    <dataValidation type="list" sqref="M275" allowBlank="true" errorStyle="stop" showErrorMessage="true" showInputMessage="true">
      <formula1>"Participar,Não participar"</formula1>
    </dataValidation>
    <dataValidation type="list" sqref="M276" allowBlank="true" errorStyle="stop" showErrorMessage="true" showInputMessage="true">
      <formula1>"Participar,Não participar"</formula1>
    </dataValidation>
    <dataValidation type="list" sqref="M277" allowBlank="true" errorStyle="stop" showErrorMessage="true" showInputMessage="true">
      <formula1>"Participar,Não participar"</formula1>
    </dataValidation>
    <dataValidation type="list" sqref="M278" allowBlank="true" errorStyle="stop" showErrorMessage="true" showInputMessage="true">
      <formula1>"Participar,Não participar"</formula1>
    </dataValidation>
    <dataValidation type="list" sqref="M279" allowBlank="true" errorStyle="stop" showErrorMessage="true" showInputMessage="true">
      <formula1>"Participar,Não participar"</formula1>
    </dataValidation>
    <dataValidation type="list" sqref="M280" allowBlank="true" errorStyle="stop" showErrorMessage="true" showInputMessage="true">
      <formula1>"Participar,Não participar"</formula1>
    </dataValidation>
    <dataValidation type="list" sqref="M281" allowBlank="true" errorStyle="stop" showErrorMessage="true" showInputMessage="true">
      <formula1>"Participar,Não participar"</formula1>
    </dataValidation>
    <dataValidation type="list" sqref="M282" allowBlank="true" errorStyle="stop" showErrorMessage="true" showInputMessage="true">
      <formula1>"Participar,Não participar"</formula1>
    </dataValidation>
    <dataValidation type="list" sqref="M283" allowBlank="true" errorStyle="stop" showErrorMessage="true" showInputMessage="true">
      <formula1>"Participar,Não participar"</formula1>
    </dataValidation>
    <dataValidation type="list" sqref="M284" allowBlank="true" errorStyle="stop" showErrorMessage="true" showInputMessage="true">
      <formula1>"Participar,Não participar"</formula1>
    </dataValidation>
    <dataValidation type="list" sqref="M285" allowBlank="true" errorStyle="stop" showErrorMessage="true" showInputMessage="true">
      <formula1>"Participar,Não participar"</formula1>
    </dataValidation>
    <dataValidation type="list" sqref="M286" allowBlank="true" errorStyle="stop" showErrorMessage="true" showInputMessage="true">
      <formula1>"Participar,Não participar"</formula1>
    </dataValidation>
    <dataValidation type="list" sqref="M287" allowBlank="true" errorStyle="stop" showErrorMessage="true" showInputMessage="true">
      <formula1>"Participar,Não participar"</formula1>
    </dataValidation>
    <dataValidation type="list" sqref="M288" allowBlank="true" errorStyle="stop" showErrorMessage="true" showInputMessage="true">
      <formula1>"Participar,Não participar"</formula1>
    </dataValidation>
    <dataValidation type="list" sqref="M289" allowBlank="true" errorStyle="stop" showErrorMessage="true" showInputMessage="true">
      <formula1>"Participar,Não participar"</formula1>
    </dataValidation>
    <dataValidation type="list" sqref="M290" allowBlank="true" errorStyle="stop" showErrorMessage="true" showInputMessage="true">
      <formula1>"Participar,Não participar"</formula1>
    </dataValidation>
    <dataValidation type="list" sqref="M291" allowBlank="true" errorStyle="stop" showErrorMessage="true" showInputMessage="true">
      <formula1>"Participar,Não participar"</formula1>
    </dataValidation>
    <dataValidation type="list" sqref="M292" allowBlank="true" errorStyle="stop" showErrorMessage="true" showInputMessage="true">
      <formula1>"Participar,Não participar"</formula1>
    </dataValidation>
    <dataValidation type="list" sqref="M293" allowBlank="true" errorStyle="stop" showErrorMessage="true" showInputMessage="true">
      <formula1>"Participar,Não participar"</formula1>
    </dataValidation>
    <dataValidation type="list" sqref="M294" allowBlank="true" errorStyle="stop" showErrorMessage="true" showInputMessage="true">
      <formula1>"Participar,Não participar"</formula1>
    </dataValidation>
    <dataValidation type="list" sqref="M295" allowBlank="true" errorStyle="stop" showErrorMessage="true" showInputMessage="true">
      <formula1>"Participar,Não participar"</formula1>
    </dataValidation>
    <dataValidation type="list" sqref="M296" allowBlank="true" errorStyle="stop" showErrorMessage="true" showInputMessage="true">
      <formula1>"Participar,Não participar"</formula1>
    </dataValidation>
    <dataValidation type="list" sqref="M297" allowBlank="true" errorStyle="stop" showErrorMessage="true" showInputMessage="true">
      <formula1>"Participar,Não participar"</formula1>
    </dataValidation>
    <dataValidation type="list" sqref="M298" allowBlank="true" errorStyle="stop" showErrorMessage="true" showInputMessage="true">
      <formula1>"Participar,Não participar"</formula1>
    </dataValidation>
    <dataValidation type="list" sqref="M299" allowBlank="true" errorStyle="stop" showErrorMessage="true" showInputMessage="true">
      <formula1>"Participar,Não participar"</formula1>
    </dataValidation>
    <dataValidation type="list" sqref="M300" allowBlank="true" errorStyle="stop" showErrorMessage="true" showInputMessage="true">
      <formula1>"Participar,Não participar"</formula1>
    </dataValidation>
    <dataValidation type="list" sqref="M301" allowBlank="true" errorStyle="stop" showErrorMessage="true" showInputMessage="true">
      <formula1>"Participar,Não participar"</formula1>
    </dataValidation>
    <dataValidation type="list" sqref="M302" allowBlank="true" errorStyle="stop" showErrorMessage="true" showInputMessage="true">
      <formula1>"Participar,Não participar"</formula1>
    </dataValidation>
    <dataValidation type="list" sqref="M303" allowBlank="true" errorStyle="stop" showErrorMessage="true" showInputMessage="true">
      <formula1>"Participar,Não participar"</formula1>
    </dataValidation>
    <dataValidation type="list" sqref="M304" allowBlank="true" errorStyle="stop" showErrorMessage="true" showInputMessage="true">
      <formula1>"Participar,Não participar"</formula1>
    </dataValidation>
    <dataValidation type="list" sqref="M305" allowBlank="true" errorStyle="stop" showErrorMessage="true" showInputMessage="true">
      <formula1>"Participar,Não participar"</formula1>
    </dataValidation>
    <dataValidation type="list" sqref="M306" allowBlank="true" errorStyle="stop" showErrorMessage="true" showInputMessage="true">
      <formula1>"Participar,Não participar"</formula1>
    </dataValidation>
    <dataValidation type="list" sqref="M307" allowBlank="true" errorStyle="stop" showErrorMessage="true" showInputMessage="true">
      <formula1>"Participar,Não participar"</formula1>
    </dataValidation>
    <dataValidation type="list" sqref="M308" allowBlank="true" errorStyle="stop" showErrorMessage="true" showInputMessage="true">
      <formula1>"Participar,Não participar"</formula1>
    </dataValidation>
    <dataValidation type="list" sqref="M309" allowBlank="true" errorStyle="stop" showErrorMessage="true" showInputMessage="true">
      <formula1>"Participar,Não participar"</formula1>
    </dataValidation>
    <dataValidation type="list" sqref="M310" allowBlank="true" errorStyle="stop" showErrorMessage="true" showInputMessage="true">
      <formula1>"Participar,Não participar"</formula1>
    </dataValidation>
    <dataValidation type="list" sqref="M311" allowBlank="true" errorStyle="stop" showErrorMessage="true" showInputMessage="true">
      <formula1>"Participar,Não participar"</formula1>
    </dataValidation>
    <dataValidation type="list" sqref="M312" allowBlank="true" errorStyle="stop" showErrorMessage="true" showInputMessage="true">
      <formula1>"Participar,Não participar"</formula1>
    </dataValidation>
    <dataValidation type="list" sqref="M313" allowBlank="true" errorStyle="stop" showErrorMessage="true" showInputMessage="true">
      <formula1>"Participar,Não participar"</formula1>
    </dataValidation>
    <dataValidation type="list" sqref="M314" allowBlank="true" errorStyle="stop" showErrorMessage="true" showInputMessage="true">
      <formula1>"Participar,Não participar"</formula1>
    </dataValidation>
    <dataValidation type="list" sqref="M315" allowBlank="true" errorStyle="stop" showErrorMessage="true" showInputMessage="true">
      <formula1>"Participar,Não participar"</formula1>
    </dataValidation>
    <dataValidation type="list" sqref="M316" allowBlank="true" errorStyle="stop" showErrorMessage="true" showInputMessage="true">
      <formula1>"Participar,Não participar"</formula1>
    </dataValidation>
    <dataValidation type="list" sqref="M317" allowBlank="true" errorStyle="stop" showErrorMessage="true" showInputMessage="true">
      <formula1>"Participar,Não participar"</formula1>
    </dataValidation>
    <dataValidation type="list" sqref="M318" allowBlank="true" errorStyle="stop" showErrorMessage="true" showInputMessage="true">
      <formula1>"Participar,Não participar"</formula1>
    </dataValidation>
    <dataValidation type="list" sqref="M319" allowBlank="true" errorStyle="stop" showErrorMessage="true" showInputMessage="true">
      <formula1>"Participar,Não participar"</formula1>
    </dataValidation>
    <dataValidation type="list" sqref="M320" allowBlank="true" errorStyle="stop" showErrorMessage="true" showInputMessage="true">
      <formula1>"Participar,Não participar"</formula1>
    </dataValidation>
    <dataValidation type="list" sqref="M321" allowBlank="true" errorStyle="stop" showErrorMessage="true" showInputMessage="true">
      <formula1>"Participar,Não participar"</formula1>
    </dataValidation>
    <dataValidation type="list" sqref="M322" allowBlank="true" errorStyle="stop" showErrorMessage="true" showInputMessage="true">
      <formula1>"Participar,Não participar"</formula1>
    </dataValidation>
    <dataValidation type="list" sqref="M323" allowBlank="true" errorStyle="stop" showErrorMessage="true" showInputMessage="true">
      <formula1>"Participar,Não participar"</formula1>
    </dataValidation>
    <dataValidation type="list" sqref="M324" allowBlank="true" errorStyle="stop" showErrorMessage="true" showInputMessage="true">
      <formula1>"Participar,Não participar"</formula1>
    </dataValidation>
    <dataValidation type="list" sqref="M325" allowBlank="true" errorStyle="stop" showErrorMessage="true" showInputMessage="true">
      <formula1>"Participar,Não participar"</formula1>
    </dataValidation>
    <dataValidation type="list" sqref="M326" allowBlank="true" errorStyle="stop" showErrorMessage="true" showInputMessage="true">
      <formula1>"Participar,Não participar"</formula1>
    </dataValidation>
    <dataValidation type="list" sqref="M327" allowBlank="true" errorStyle="stop" showErrorMessage="true" showInputMessage="true">
      <formula1>"Participar,Não participar"</formula1>
    </dataValidation>
    <dataValidation type="list" sqref="M328" allowBlank="true" errorStyle="stop" showErrorMessage="true" showInputMessage="true">
      <formula1>"Participar,Não participar"</formula1>
    </dataValidation>
    <dataValidation type="list" sqref="M329" allowBlank="true" errorStyle="stop" showErrorMessage="true" showInputMessage="true">
      <formula1>"Participar,Não participar"</formula1>
    </dataValidation>
    <dataValidation type="list" sqref="M330" allowBlank="true" errorStyle="stop" showErrorMessage="true" showInputMessage="true">
      <formula1>"Participar,Não participar"</formula1>
    </dataValidation>
    <dataValidation type="list" sqref="M331" allowBlank="true" errorStyle="stop" showErrorMessage="true" showInputMessage="true">
      <formula1>"Participar,Não participar"</formula1>
    </dataValidation>
    <dataValidation type="list" sqref="M332" allowBlank="true" errorStyle="stop" showErrorMessage="true" showInputMessage="true">
      <formula1>"Participar,Não participar"</formula1>
    </dataValidation>
    <dataValidation type="list" sqref="M333" allowBlank="true" errorStyle="stop" showErrorMessage="true" showInputMessage="true">
      <formula1>"Participar,Não participar"</formula1>
    </dataValidation>
    <dataValidation type="list" sqref="M334" allowBlank="true" errorStyle="stop" showErrorMessage="true" showInputMessage="true">
      <formula1>"Participar,Não participar"</formula1>
    </dataValidation>
    <dataValidation type="list" sqref="M335" allowBlank="true" errorStyle="stop" showErrorMessage="true" showInputMessage="true">
      <formula1>"Participar,Não participar"</formula1>
    </dataValidation>
    <dataValidation type="list" sqref="M336" allowBlank="true" errorStyle="stop" showErrorMessage="true" showInputMessage="true">
      <formula1>"Participar,Não participar"</formula1>
    </dataValidation>
    <dataValidation type="list" sqref="M337" allowBlank="true" errorStyle="stop" showErrorMessage="true" showInputMessage="true">
      <formula1>"Participar,Não participar"</formula1>
    </dataValidation>
    <dataValidation type="list" sqref="M338" allowBlank="true" errorStyle="stop" showErrorMessage="true" showInputMessage="true">
      <formula1>"Participar,Não participar"</formula1>
    </dataValidation>
    <dataValidation type="list" sqref="M339" allowBlank="true" errorStyle="stop" showErrorMessage="true" showInputMessage="true">
      <formula1>"Participar,Não participar"</formula1>
    </dataValidation>
    <dataValidation type="list" sqref="M340" allowBlank="true" errorStyle="stop" showErrorMessage="true" showInputMessage="true">
      <formula1>"Participar,Não participar"</formula1>
    </dataValidation>
    <dataValidation type="list" sqref="M341" allowBlank="true" errorStyle="stop" showErrorMessage="true" showInputMessage="true">
      <formula1>"Participar,Não participar"</formula1>
    </dataValidation>
    <dataValidation type="list" sqref="M342" allowBlank="true" errorStyle="stop" showErrorMessage="true" showInputMessage="true">
      <formula1>"Participar,Não participar"</formula1>
    </dataValidation>
    <dataValidation type="list" sqref="M343" allowBlank="true" errorStyle="stop" showErrorMessage="true" showInputMessage="true">
      <formula1>"Participar,Não participar"</formula1>
    </dataValidation>
    <dataValidation type="list" sqref="M344" allowBlank="true" errorStyle="stop" showErrorMessage="true" showInputMessage="true">
      <formula1>"Participar,Não participar"</formula1>
    </dataValidation>
    <dataValidation type="list" sqref="M345" allowBlank="true" errorStyle="stop" showErrorMessage="true" showInputMessage="true">
      <formula1>"Participar,Não participar"</formula1>
    </dataValidation>
    <dataValidation type="list" sqref="M346" allowBlank="true" errorStyle="stop" showErrorMessage="true" showInputMessage="true">
      <formula1>"Participar,Não participar"</formula1>
    </dataValidation>
    <dataValidation type="list" sqref="M347" allowBlank="true" errorStyle="stop" showErrorMessage="true" showInputMessage="true">
      <formula1>"Participar,Não participar"</formula1>
    </dataValidation>
    <dataValidation type="list" sqref="M348" allowBlank="true" errorStyle="stop" showErrorMessage="true" showInputMessage="true">
      <formula1>"Participar,Não participar"</formula1>
    </dataValidation>
    <dataValidation type="list" sqref="M349" allowBlank="true" errorStyle="stop" showErrorMessage="true" showInputMessage="true">
      <formula1>"Participar,Não participar"</formula1>
    </dataValidation>
    <dataValidation type="list" sqref="M350" allowBlank="true" errorStyle="stop" showErrorMessage="true" showInputMessage="true">
      <formula1>"Participar,Não participar"</formula1>
    </dataValidation>
    <dataValidation type="list" sqref="M351" allowBlank="true" errorStyle="stop" showErrorMessage="true" showInputMessage="true">
      <formula1>"Participar,Não participar"</formula1>
    </dataValidation>
    <dataValidation type="list" sqref="M352" allowBlank="true" errorStyle="stop" showErrorMessage="true" showInputMessage="true">
      <formula1>"Participar,Não participar"</formula1>
    </dataValidation>
    <dataValidation type="list" sqref="M353" allowBlank="true" errorStyle="stop" showErrorMessage="true" showInputMessage="true">
      <formula1>"Participar,Não participar"</formula1>
    </dataValidation>
    <dataValidation type="list" sqref="M354" allowBlank="true" errorStyle="stop" showErrorMessage="true" showInputMessage="true">
      <formula1>"Participar,Não participar"</formula1>
    </dataValidation>
    <dataValidation type="list" sqref="M355" allowBlank="true" errorStyle="stop" showErrorMessage="true" showInputMessage="true">
      <formula1>"Participar,Não participar"</formula1>
    </dataValidation>
    <dataValidation type="list" sqref="M356" allowBlank="true" errorStyle="stop" showErrorMessage="true" showInputMessage="true">
      <formula1>"Participar,Não participar"</formula1>
    </dataValidation>
    <dataValidation type="list" sqref="M357" allowBlank="true" errorStyle="stop" showErrorMessage="true" showInputMessage="true">
      <formula1>"Participar,Não participar"</formula1>
    </dataValidation>
    <dataValidation type="list" sqref="M358" allowBlank="true" errorStyle="stop" showErrorMessage="true" showInputMessage="true">
      <formula1>"Participar,Não participar"</formula1>
    </dataValidation>
    <dataValidation type="list" sqref="M359" allowBlank="true" errorStyle="stop" showErrorMessage="true" showInputMessage="true">
      <formula1>"Participar,Não participar"</formula1>
    </dataValidation>
    <dataValidation type="list" sqref="M360" allowBlank="true" errorStyle="stop" showErrorMessage="true" showInputMessage="true">
      <formula1>"Participar,Não participar"</formula1>
    </dataValidation>
    <dataValidation type="list" sqref="M361" allowBlank="true" errorStyle="stop" showErrorMessage="true" showInputMessage="true">
      <formula1>"Participar,Não participar"</formula1>
    </dataValidation>
    <dataValidation type="list" sqref="M362" allowBlank="true" errorStyle="stop" showErrorMessage="true" showInputMessage="true">
      <formula1>"Participar,Não participar"</formula1>
    </dataValidation>
    <dataValidation type="list" sqref="M363" allowBlank="true" errorStyle="stop" showErrorMessage="true" showInputMessage="true">
      <formula1>"Participar,Não participar"</formula1>
    </dataValidation>
    <dataValidation type="list" sqref="M364" allowBlank="true" errorStyle="stop" showErrorMessage="true" showInputMessage="true">
      <formula1>"Participar,Não participar"</formula1>
    </dataValidation>
    <dataValidation type="list" sqref="M365" allowBlank="true" errorStyle="stop" showErrorMessage="true" showInputMessage="true">
      <formula1>"Participar,Não participar"</formula1>
    </dataValidation>
    <dataValidation type="list" sqref="M366" allowBlank="true" errorStyle="stop" showErrorMessage="true" showInputMessage="true">
      <formula1>"Participar,Não participar"</formula1>
    </dataValidation>
    <dataValidation type="list" sqref="M367" allowBlank="true" errorStyle="stop" showErrorMessage="true" showInputMessage="true">
      <formula1>"Participar,Não participar"</formula1>
    </dataValidation>
    <dataValidation type="list" sqref="M368" allowBlank="true" errorStyle="stop" showErrorMessage="true" showInputMessage="true">
      <formula1>"Participar,Não participar"</formula1>
    </dataValidation>
    <dataValidation type="list" sqref="M369" allowBlank="true" errorStyle="stop" showErrorMessage="true" showInputMessage="true">
      <formula1>"Participar,Não participar"</formula1>
    </dataValidation>
    <dataValidation type="list" sqref="M370" allowBlank="true" errorStyle="stop" showErrorMessage="true" showInputMessage="true">
      <formula1>"Participar,Não participar"</formula1>
    </dataValidation>
    <dataValidation type="list" sqref="M371" allowBlank="true" errorStyle="stop" showErrorMessage="true" showInputMessage="true">
      <formula1>"Participar,Não participar"</formula1>
    </dataValidation>
    <dataValidation type="list" sqref="M372" allowBlank="true" errorStyle="stop" showErrorMessage="true" showInputMessage="true">
      <formula1>"Participar,Não participar"</formula1>
    </dataValidation>
    <dataValidation type="list" sqref="M373" allowBlank="true" errorStyle="stop" showErrorMessage="true" showInputMessage="true">
      <formula1>"Participar,Não participar"</formula1>
    </dataValidation>
    <dataValidation type="list" sqref="M374" allowBlank="true" errorStyle="stop" showErrorMessage="true" showInputMessage="true">
      <formula1>"Participar,Não participar"</formula1>
    </dataValidation>
    <dataValidation type="list" sqref="M375" allowBlank="true" errorStyle="stop" showErrorMessage="true" showInputMessage="true">
      <formula1>"Participar,Não participar"</formula1>
    </dataValidation>
    <dataValidation type="list" sqref="M376" allowBlank="true" errorStyle="stop" showErrorMessage="true" showInputMessage="true">
      <formula1>"Participar,Não participar"</formula1>
    </dataValidation>
    <dataValidation type="list" sqref="M377" allowBlank="true" errorStyle="stop" showErrorMessage="true" showInputMessage="true">
      <formula1>"Participar,Não participar"</formula1>
    </dataValidation>
    <dataValidation type="list" sqref="M378" allowBlank="true" errorStyle="stop" showErrorMessage="true" showInputMessage="true">
      <formula1>"Participar,Não participar"</formula1>
    </dataValidation>
    <dataValidation type="list" sqref="M379" allowBlank="true" errorStyle="stop" showErrorMessage="true" showInputMessage="true">
      <formula1>"Participar,Não participar"</formula1>
    </dataValidation>
    <dataValidation type="list" sqref="M380" allowBlank="true" errorStyle="stop" showErrorMessage="true" showInputMessage="true">
      <formula1>"Participar,Não participar"</formula1>
    </dataValidation>
    <dataValidation type="list" sqref="M381" allowBlank="true" errorStyle="stop" showErrorMessage="true" showInputMessage="true">
      <formula1>"Participar,Não participar"</formula1>
    </dataValidation>
    <dataValidation type="list" sqref="M382" allowBlank="true" errorStyle="stop" showErrorMessage="true" showInputMessage="true">
      <formula1>"Participar,Não participar"</formula1>
    </dataValidation>
    <dataValidation type="list" sqref="M383" allowBlank="true" errorStyle="stop" showErrorMessage="true" showInputMessage="true">
      <formula1>"Participar,Não participar"</formula1>
    </dataValidation>
    <dataValidation type="list" sqref="M384" allowBlank="true" errorStyle="stop" showErrorMessage="true" showInputMessage="true">
      <formula1>"Participar,Não participar"</formula1>
    </dataValidation>
    <dataValidation type="list" sqref="M385" allowBlank="true" errorStyle="stop" showErrorMessage="true" showInputMessage="true">
      <formula1>"Participar,Não participar"</formula1>
    </dataValidation>
    <dataValidation type="list" sqref="M386" allowBlank="true" errorStyle="stop" showErrorMessage="true" showInputMessage="true">
      <formula1>"Participar,Não participar"</formula1>
    </dataValidation>
    <dataValidation type="list" sqref="M387" allowBlank="true" errorStyle="stop" showErrorMessage="true" showInputMessage="true">
      <formula1>"Participar,Não participar"</formula1>
    </dataValidation>
    <dataValidation type="list" sqref="M388" allowBlank="true" errorStyle="stop" showErrorMessage="true" showInputMessage="true">
      <formula1>"Participar,Não participar"</formula1>
    </dataValidation>
    <dataValidation type="list" sqref="M389" allowBlank="true" errorStyle="stop" showErrorMessage="true" showInputMessage="true">
      <formula1>"Participar,Não participar"</formula1>
    </dataValidation>
    <dataValidation type="list" sqref="M390" allowBlank="true" errorStyle="stop" showErrorMessage="true" showInputMessage="true">
      <formula1>"Participar,Não participar"</formula1>
    </dataValidation>
    <dataValidation type="list" sqref="M391" allowBlank="true" errorStyle="stop" showErrorMessage="true" showInputMessage="true">
      <formula1>"Participar,Não participar"</formula1>
    </dataValidation>
    <dataValidation type="list" sqref="M392" allowBlank="true" errorStyle="stop" showErrorMessage="true" showInputMessage="true">
      <formula1>"Participar,Não participar"</formula1>
    </dataValidation>
    <dataValidation type="list" sqref="M393" allowBlank="true" errorStyle="stop" showErrorMessage="true" showInputMessage="true">
      <formula1>"Participar,Não participar"</formula1>
    </dataValidation>
    <dataValidation type="list" sqref="M394" allowBlank="true" errorStyle="stop" showErrorMessage="true" showInputMessage="true">
      <formula1>"Participar,Não participar"</formula1>
    </dataValidation>
    <dataValidation type="list" sqref="M395" allowBlank="true" errorStyle="stop" showErrorMessage="true" showInputMessage="true">
      <formula1>"Participar,Não participar"</formula1>
    </dataValidation>
    <dataValidation type="list" sqref="M396" allowBlank="true" errorStyle="stop" showErrorMessage="true" showInputMessage="true">
      <formula1>"Participar,Não participar"</formula1>
    </dataValidation>
    <dataValidation type="list" sqref="M397" allowBlank="true" errorStyle="stop" showErrorMessage="true" showInputMessage="true">
      <formula1>"Participar,Não participar"</formula1>
    </dataValidation>
    <dataValidation type="list" sqref="M398" allowBlank="true" errorStyle="stop" showErrorMessage="true" showInputMessage="true">
      <formula1>"Participar,Não participar"</formula1>
    </dataValidation>
    <dataValidation type="list" sqref="M399" allowBlank="true" errorStyle="stop" showErrorMessage="true" showInputMessage="true">
      <formula1>"Participar,Não participar"</formula1>
    </dataValidation>
    <dataValidation type="list" sqref="M400" allowBlank="true" errorStyle="stop" showErrorMessage="true" showInputMessage="true">
      <formula1>"Participar,Não participar"</formula1>
    </dataValidation>
    <dataValidation type="list" sqref="M401" allowBlank="true" errorStyle="stop" showErrorMessage="true" showInputMessage="true">
      <formula1>"Participar,Não participar"</formula1>
    </dataValidation>
    <dataValidation type="list" sqref="M402" allowBlank="true" errorStyle="stop" showErrorMessage="true" showInputMessage="true">
      <formula1>"Participar,Não participar"</formula1>
    </dataValidation>
    <dataValidation type="list" sqref="M403" allowBlank="true" errorStyle="stop" showErrorMessage="true" showInputMessage="true">
      <formula1>"Participar,Não participar"</formula1>
    </dataValidation>
    <dataValidation type="list" sqref="M404" allowBlank="true" errorStyle="stop" showErrorMessage="true" showInputMessage="true">
      <formula1>"Participar,Não participar"</formula1>
    </dataValidation>
    <dataValidation type="list" sqref="M405" allowBlank="true" errorStyle="stop" showErrorMessage="true" showInputMessage="true">
      <formula1>"Participar,Não participar"</formula1>
    </dataValidation>
    <dataValidation type="list" sqref="M406" allowBlank="true" errorStyle="stop" showErrorMessage="true" showInputMessage="true">
      <formula1>"Participar,Não participar"</formula1>
    </dataValidation>
    <dataValidation type="list" sqref="M407" allowBlank="true" errorStyle="stop" showErrorMessage="true" showInputMessage="true">
      <formula1>"Participar,Não participar"</formula1>
    </dataValidation>
    <dataValidation type="list" sqref="M408" allowBlank="true" errorStyle="stop" showErrorMessage="true" showInputMessage="true">
      <formula1>"Participar,Não participar"</formula1>
    </dataValidation>
    <dataValidation type="list" sqref="M409" allowBlank="true" errorStyle="stop" showErrorMessage="true" showInputMessage="true">
      <formula1>"Participar,Não participar"</formula1>
    </dataValidation>
    <dataValidation type="list" sqref="M410" allowBlank="true" errorStyle="stop" showErrorMessage="true" showInputMessage="true">
      <formula1>"Participar,Não participar"</formula1>
    </dataValidation>
    <dataValidation type="list" sqref="M411" allowBlank="true" errorStyle="stop" showErrorMessage="true" showInputMessage="true">
      <formula1>"Participar,Não participar"</formula1>
    </dataValidation>
    <dataValidation type="list" sqref="M412" allowBlank="true" errorStyle="stop" showErrorMessage="true" showInputMessage="true">
      <formula1>"Participar,Não participar"</formula1>
    </dataValidation>
    <dataValidation type="list" sqref="M413" allowBlank="true" errorStyle="stop" showErrorMessage="true" showInputMessage="true">
      <formula1>"Participar,Não participar"</formula1>
    </dataValidation>
    <dataValidation type="list" sqref="M414" allowBlank="true" errorStyle="stop" showErrorMessage="true" showInputMessage="true">
      <formula1>"Participar,Não participar"</formula1>
    </dataValidation>
    <dataValidation type="list" sqref="M415" allowBlank="true" errorStyle="stop" showErrorMessage="true" showInputMessage="true">
      <formula1>"Participar,Não participar"</formula1>
    </dataValidation>
    <dataValidation type="list" sqref="M416" allowBlank="true" errorStyle="stop" showErrorMessage="true" showInputMessage="true">
      <formula1>"Participar,Não participar"</formula1>
    </dataValidation>
    <dataValidation type="list" sqref="M417" allowBlank="true" errorStyle="stop" showErrorMessage="true" showInputMessage="true">
      <formula1>"Participar,Não participar"</formula1>
    </dataValidation>
    <dataValidation type="list" sqref="M418" allowBlank="true" errorStyle="stop" showErrorMessage="true" showInputMessage="true">
      <formula1>"Participar,Não participar"</formula1>
    </dataValidation>
    <dataValidation type="list" sqref="M419" allowBlank="true" errorStyle="stop" showErrorMessage="true" showInputMessage="true">
      <formula1>"Participar,Não participar"</formula1>
    </dataValidation>
    <dataValidation type="list" sqref="M420" allowBlank="true" errorStyle="stop" showErrorMessage="true" showInputMessage="true">
      <formula1>"Participar,Não participar"</formula1>
    </dataValidation>
    <dataValidation type="list" sqref="M421" allowBlank="true" errorStyle="stop" showErrorMessage="true" showInputMessage="true">
      <formula1>"Participar,Não participar"</formula1>
    </dataValidation>
    <dataValidation type="list" sqref="M422" allowBlank="true" errorStyle="stop" showErrorMessage="true" showInputMessage="true">
      <formula1>"Participar,Não participar"</formula1>
    </dataValidation>
    <dataValidation type="list" sqref="M423" allowBlank="true" errorStyle="stop" showErrorMessage="true" showInputMessage="true">
      <formula1>"Participar,Não participar"</formula1>
    </dataValidation>
    <dataValidation type="list" sqref="M424" allowBlank="true" errorStyle="stop" showErrorMessage="true" showInputMessage="true">
      <formula1>"Participar,Não participar"</formula1>
    </dataValidation>
    <dataValidation type="list" sqref="M425" allowBlank="true" errorStyle="stop" showErrorMessage="true" showInputMessage="true">
      <formula1>"Participar,Não participar"</formula1>
    </dataValidation>
    <dataValidation type="list" sqref="M426" allowBlank="true" errorStyle="stop" showErrorMessage="true" showInputMessage="true">
      <formula1>"Participar,Não participar"</formula1>
    </dataValidation>
    <dataValidation type="list" sqref="M427" allowBlank="true" errorStyle="stop" showErrorMessage="true" showInputMessage="true">
      <formula1>"Participar,Não participar"</formula1>
    </dataValidation>
    <dataValidation type="list" sqref="M428" allowBlank="true" errorStyle="stop" showErrorMessage="true" showInputMessage="true">
      <formula1>"Participar,Não participar"</formula1>
    </dataValidation>
    <dataValidation type="list" sqref="M429" allowBlank="true" errorStyle="stop" showErrorMessage="true" showInputMessage="true">
      <formula1>"Participar,Não participar"</formula1>
    </dataValidation>
    <dataValidation type="list" sqref="M430" allowBlank="true" errorStyle="stop" showErrorMessage="true" showInputMessage="true">
      <formula1>"Participar,Não participar"</formula1>
    </dataValidation>
    <dataValidation type="list" sqref="M431" allowBlank="true" errorStyle="stop" showErrorMessage="true" showInputMessage="true">
      <formula1>"Participar,Não participar"</formula1>
    </dataValidation>
    <dataValidation type="list" sqref="M432" allowBlank="true" errorStyle="stop" showErrorMessage="true" showInputMessage="true">
      <formula1>"Participar,Não participar"</formula1>
    </dataValidation>
    <dataValidation type="list" sqref="M433" allowBlank="true" errorStyle="stop" showErrorMessage="true" showInputMessage="true">
      <formula1>"Participar,Não participar"</formula1>
    </dataValidation>
    <dataValidation type="list" sqref="M434" allowBlank="true" errorStyle="stop" showErrorMessage="true" showInputMessage="true">
      <formula1>"Participar,Não participar"</formula1>
    </dataValidation>
    <dataValidation type="list" sqref="M435" allowBlank="true" errorStyle="stop" showErrorMessage="true" showInputMessage="true">
      <formula1>"Participar,Não participar"</formula1>
    </dataValidation>
    <dataValidation type="list" sqref="M436" allowBlank="true" errorStyle="stop" showErrorMessage="true" showInputMessage="true">
      <formula1>"Participar,Não participar"</formula1>
    </dataValidation>
    <dataValidation type="list" sqref="M437" allowBlank="true" errorStyle="stop" showErrorMessage="true" showInputMessage="true">
      <formula1>"Participar,Não participar"</formula1>
    </dataValidation>
    <dataValidation type="list" sqref="M438" allowBlank="true" errorStyle="stop" showErrorMessage="true" showInputMessage="true">
      <formula1>"Participar,Não participar"</formula1>
    </dataValidation>
    <dataValidation type="list" sqref="M439" allowBlank="true" errorStyle="stop" showErrorMessage="true" showInputMessage="true">
      <formula1>"Participar,Não participar"</formula1>
    </dataValidation>
    <dataValidation type="list" sqref="M440" allowBlank="true" errorStyle="stop" showErrorMessage="true" showInputMessage="true">
      <formula1>"Participar,Não participar"</formula1>
    </dataValidation>
    <dataValidation type="list" sqref="M441" allowBlank="true" errorStyle="stop" showErrorMessage="true" showInputMessage="true">
      <formula1>"Participar,Não participar"</formula1>
    </dataValidation>
    <dataValidation type="list" sqref="M442" allowBlank="true" errorStyle="stop" showErrorMessage="true" showInputMessage="true">
      <formula1>"Participar,Não participar"</formula1>
    </dataValidation>
    <dataValidation type="list" sqref="M443" allowBlank="true" errorStyle="stop" showErrorMessage="true" showInputMessage="true">
      <formula1>"Participar,Não participar"</formula1>
    </dataValidation>
    <dataValidation type="list" sqref="M444" allowBlank="true" errorStyle="stop" showErrorMessage="true" showInputMessage="true">
      <formula1>"Participar,Não participar"</formula1>
    </dataValidation>
    <dataValidation type="list" sqref="M445" allowBlank="true" errorStyle="stop" showErrorMessage="true" showInputMessage="true">
      <formula1>"Participar,Não participar"</formula1>
    </dataValidation>
    <dataValidation type="list" sqref="M446" allowBlank="true" errorStyle="stop" showErrorMessage="true" showInputMessage="true">
      <formula1>"Participar,Não participar"</formula1>
    </dataValidation>
    <dataValidation type="list" sqref="M447" allowBlank="true" errorStyle="stop" showErrorMessage="true" showInputMessage="true">
      <formula1>"Participar,Não participar"</formula1>
    </dataValidation>
    <dataValidation type="list" sqref="M448" allowBlank="true" errorStyle="stop" showErrorMessage="true" showInputMessage="true">
      <formula1>"Participar,Não participar"</formula1>
    </dataValidation>
    <dataValidation type="list" sqref="M449" allowBlank="true" errorStyle="stop" showErrorMessage="true" showInputMessage="true">
      <formula1>"Participar,Não participar"</formula1>
    </dataValidation>
    <dataValidation type="list" sqref="M450" allowBlank="true" errorStyle="stop" showErrorMessage="true" showInputMessage="true">
      <formula1>"Participar,Não participar"</formula1>
    </dataValidation>
    <dataValidation type="list" sqref="M451" allowBlank="true" errorStyle="stop" showErrorMessage="true" showInputMessage="true">
      <formula1>"Participar,Não participar"</formula1>
    </dataValidation>
    <dataValidation type="list" sqref="M452" allowBlank="true" errorStyle="stop" showErrorMessage="true" showInputMessage="true">
      <formula1>"Participar,Não participar"</formula1>
    </dataValidation>
    <dataValidation type="list" sqref="M453" allowBlank="true" errorStyle="stop" showErrorMessage="true" showInputMessage="true">
      <formula1>"Participar,Não participar"</formula1>
    </dataValidation>
    <dataValidation type="list" sqref="M454" allowBlank="true" errorStyle="stop" showErrorMessage="true" showInputMessage="true">
      <formula1>"Participar,Não participar"</formula1>
    </dataValidation>
    <dataValidation type="list" sqref="M455" allowBlank="true" errorStyle="stop" showErrorMessage="true" showInputMessage="true">
      <formula1>"Participar,Não participar"</formula1>
    </dataValidation>
    <dataValidation type="list" sqref="M456" allowBlank="true" errorStyle="stop" showErrorMessage="true" showInputMessage="true">
      <formula1>"Participar,Não participar"</formula1>
    </dataValidation>
    <dataValidation type="list" sqref="M457" allowBlank="true" errorStyle="stop" showErrorMessage="true" showInputMessage="true">
      <formula1>"Participar,Não participar"</formula1>
    </dataValidation>
    <dataValidation type="list" sqref="M458" allowBlank="true" errorStyle="stop" showErrorMessage="true" showInputMessage="true">
      <formula1>"Participar,Não participar"</formula1>
    </dataValidation>
    <dataValidation type="list" sqref="M459" allowBlank="true" errorStyle="stop" showErrorMessage="true" showInputMessage="true">
      <formula1>"Participar,Não participar"</formula1>
    </dataValidation>
    <dataValidation type="list" sqref="M460" allowBlank="true" errorStyle="stop" showErrorMessage="true" showInputMessage="true">
      <formula1>"Participar,Não participar"</formula1>
    </dataValidation>
    <dataValidation type="list" sqref="M461" allowBlank="true" errorStyle="stop" showErrorMessage="true" showInputMessage="true">
      <formula1>"Participar,Não participar"</formula1>
    </dataValidation>
    <dataValidation type="list" sqref="M462" allowBlank="true" errorStyle="stop" showErrorMessage="true" showInputMessage="true">
      <formula1>"Participar,Não participar"</formula1>
    </dataValidation>
    <dataValidation type="list" sqref="M463" allowBlank="true" errorStyle="stop" showErrorMessage="true" showInputMessage="true">
      <formula1>"Participar,Não participar"</formula1>
    </dataValidation>
    <dataValidation type="list" sqref="M464" allowBlank="true" errorStyle="stop" showErrorMessage="true" showInputMessage="true">
      <formula1>"Participar,Não participar"</formula1>
    </dataValidation>
    <dataValidation type="list" sqref="M465" allowBlank="true" errorStyle="stop" showErrorMessage="true" showInputMessage="true">
      <formula1>"Participar,Não participar"</formula1>
    </dataValidation>
    <dataValidation type="list" sqref="M466" allowBlank="true" errorStyle="stop" showErrorMessage="true" showInputMessage="true">
      <formula1>"Participar,Não participar"</formula1>
    </dataValidation>
    <dataValidation type="list" sqref="M467" allowBlank="true" errorStyle="stop" showErrorMessage="true" showInputMessage="true">
      <formula1>"Participar,Não participar"</formula1>
    </dataValidation>
    <dataValidation type="list" sqref="M468" allowBlank="true" errorStyle="stop" showErrorMessage="true" showInputMessage="true">
      <formula1>"Participar,Não participar"</formula1>
    </dataValidation>
    <dataValidation type="list" sqref="M469" allowBlank="true" errorStyle="stop" showErrorMessage="true" showInputMessage="true">
      <formula1>"Participar,Não participar"</formula1>
    </dataValidation>
    <dataValidation type="list" sqref="M470" allowBlank="true" errorStyle="stop" showErrorMessage="true" showInputMessage="true">
      <formula1>"Participar,Não participar"</formula1>
    </dataValidation>
    <dataValidation type="list" sqref="M471" allowBlank="true" errorStyle="stop" showErrorMessage="true" showInputMessage="true">
      <formula1>"Participar,Não participar"</formula1>
    </dataValidation>
    <dataValidation type="list" sqref="M472" allowBlank="true" errorStyle="stop" showErrorMessage="true" showInputMessage="true">
      <formula1>"Participar,Não participar"</formula1>
    </dataValidation>
    <dataValidation type="list" sqref="M473" allowBlank="true" errorStyle="stop" showErrorMessage="true" showInputMessage="true">
      <formula1>"Participar,Não participar"</formula1>
    </dataValidation>
    <dataValidation type="list" sqref="M474" allowBlank="true" errorStyle="stop" showErrorMessage="true" showInputMessage="true">
      <formula1>"Participar,Não participar"</formula1>
    </dataValidation>
    <dataValidation type="list" sqref="M475" allowBlank="true" errorStyle="stop" showErrorMessage="true" showInputMessage="true">
      <formula1>"Participar,Não participar"</formula1>
    </dataValidation>
    <dataValidation type="list" sqref="M476" allowBlank="true" errorStyle="stop" showErrorMessage="true" showInputMessage="true">
      <formula1>"Participar,Não participar"</formula1>
    </dataValidation>
    <dataValidation type="list" sqref="M477" allowBlank="true" errorStyle="stop" showErrorMessage="true" showInputMessage="true">
      <formula1>"Participar,Não participar"</formula1>
    </dataValidation>
    <dataValidation type="list" sqref="M478" allowBlank="true" errorStyle="stop" showErrorMessage="true" showInputMessage="true">
      <formula1>"Participar,Não participar"</formula1>
    </dataValidation>
    <dataValidation type="list" sqref="M479" allowBlank="true" errorStyle="stop" showErrorMessage="true" showInputMessage="true">
      <formula1>"Participar,Não participar"</formula1>
    </dataValidation>
    <dataValidation type="list" sqref="M480" allowBlank="true" errorStyle="stop" showErrorMessage="true" showInputMessage="true">
      <formula1>"Participar,Não participar"</formula1>
    </dataValidation>
    <dataValidation type="list" sqref="M481" allowBlank="true" errorStyle="stop" showErrorMessage="true" showInputMessage="true">
      <formula1>"Participar,Não participar"</formula1>
    </dataValidation>
    <dataValidation type="list" sqref="M482" allowBlank="true" errorStyle="stop" showErrorMessage="true" showInputMessage="true">
      <formula1>"Participar,Não participar"</formula1>
    </dataValidation>
    <dataValidation type="list" sqref="M483" allowBlank="true" errorStyle="stop" showErrorMessage="true" showInputMessage="true">
      <formula1>"Participar,Não participar"</formula1>
    </dataValidation>
    <dataValidation type="list" sqref="M484" allowBlank="true" errorStyle="stop" showErrorMessage="true" showInputMessage="true">
      <formula1>"Participar,Não participar"</formula1>
    </dataValidation>
    <dataValidation type="list" sqref="M485" allowBlank="true" errorStyle="stop" showErrorMessage="true" showInputMessage="true">
      <formula1>"Participar,Não participar"</formula1>
    </dataValidation>
    <dataValidation type="list" sqref="M486" allowBlank="true" errorStyle="stop" showErrorMessage="true" showInputMessage="true">
      <formula1>"Participar,Não participar"</formula1>
    </dataValidation>
    <dataValidation type="list" sqref="M487" allowBlank="true" errorStyle="stop" showErrorMessage="true" showInputMessage="true">
      <formula1>"Participar,Não participar"</formula1>
    </dataValidation>
    <dataValidation type="list" sqref="M488" allowBlank="true" errorStyle="stop" showErrorMessage="true" showInputMessage="true">
      <formula1>"Participar,Não participar"</formula1>
    </dataValidation>
    <dataValidation type="list" sqref="M489" allowBlank="true" errorStyle="stop" showErrorMessage="true" showInputMessage="true">
      <formula1>"Participar,Não participar"</formula1>
    </dataValidation>
    <dataValidation type="list" sqref="M490" allowBlank="true" errorStyle="stop" showErrorMessage="true" showInputMessage="true">
      <formula1>"Participar,Não participar"</formula1>
    </dataValidation>
    <dataValidation type="list" sqref="M491" allowBlank="true" errorStyle="stop" showErrorMessage="true" showInputMessage="true">
      <formula1>"Participar,Não participar"</formula1>
    </dataValidation>
    <dataValidation type="list" sqref="M492" allowBlank="true" errorStyle="stop" showErrorMessage="true" showInputMessage="true">
      <formula1>"Participar,Não participar"</formula1>
    </dataValidation>
    <dataValidation type="list" sqref="M493" allowBlank="true" errorStyle="stop" showErrorMessage="true" showInputMessage="true">
      <formula1>"Participar,Não participar"</formula1>
    </dataValidation>
    <dataValidation type="list" sqref="M494" allowBlank="true" errorStyle="stop" showErrorMessage="true" showInputMessage="true">
      <formula1>"Participar,Não participar"</formula1>
    </dataValidation>
    <dataValidation type="list" sqref="M495" allowBlank="true" errorStyle="stop" showErrorMessage="true" showInputMessage="true">
      <formula1>"Participar,Não participar"</formula1>
    </dataValidation>
    <dataValidation type="list" sqref="M496" allowBlank="true" errorStyle="stop" showErrorMessage="true" showInputMessage="true">
      <formula1>"Participar,Não participar"</formula1>
    </dataValidation>
    <dataValidation type="list" sqref="M497" allowBlank="true" errorStyle="stop" showErrorMessage="true" showInputMessage="true">
      <formula1>"Participar,Não participar"</formula1>
    </dataValidation>
    <dataValidation type="list" sqref="M498" allowBlank="true" errorStyle="stop" showErrorMessage="true" showInputMessage="true">
      <formula1>"Participar,Não participar"</formula1>
    </dataValidation>
    <dataValidation type="list" sqref="M499" allowBlank="true" errorStyle="stop" showErrorMessage="true" showInputMessage="true">
      <formula1>"Participar,Não participar"</formula1>
    </dataValidation>
    <dataValidation type="list" sqref="M500" allowBlank="true" errorStyle="stop" showErrorMessage="true" showInputMessage="true">
      <formula1>"Participar,Não participar"</formula1>
    </dataValidation>
    <dataValidation type="list" sqref="M501" allowBlank="true" errorStyle="stop" showErrorMessage="true" showInputMessage="true">
      <formula1>"Participar,Não participar"</formula1>
    </dataValidation>
    <dataValidation type="list" sqref="M502" allowBlank="true" errorStyle="stop" showErrorMessage="true" showInputMessage="true">
      <formula1>"Participar,Não participar"</formula1>
    </dataValidation>
    <dataValidation type="list" sqref="M503" allowBlank="true" errorStyle="stop" showErrorMessage="true" showInputMessage="true">
      <formula1>"Participar,Não participar"</formula1>
    </dataValidation>
    <dataValidation type="list" sqref="M504" allowBlank="true" errorStyle="stop" showErrorMessage="true" showInputMessage="true">
      <formula1>"Participar,Não participar"</formula1>
    </dataValidation>
    <dataValidation type="list" sqref="M505" allowBlank="true" errorStyle="stop" showErrorMessage="true" showInputMessage="true">
      <formula1>"Participar,Não participar"</formula1>
    </dataValidation>
    <dataValidation type="list" sqref="M506" allowBlank="true" errorStyle="stop" showErrorMessage="true" showInputMessage="true">
      <formula1>"Participar,Não participar"</formula1>
    </dataValidation>
    <dataValidation type="list" sqref="M507" allowBlank="true" errorStyle="stop" showErrorMessage="true" showInputMessage="true">
      <formula1>"Participar,Não participar"</formula1>
    </dataValidation>
    <dataValidation type="list" sqref="M508" allowBlank="true" errorStyle="stop" showErrorMessage="true" showInputMessage="true">
      <formula1>"Participar,Não participar"</formula1>
    </dataValidation>
    <dataValidation type="list" sqref="M509" allowBlank="true" errorStyle="stop" showErrorMessage="true" showInputMessage="true">
      <formula1>"Participar,Não participar"</formula1>
    </dataValidation>
    <dataValidation type="list" sqref="M510" allowBlank="true" errorStyle="stop" showErrorMessage="true" showInputMessage="true">
      <formula1>"Participar,Não participar"</formula1>
    </dataValidation>
    <dataValidation type="list" sqref="M511" allowBlank="true" errorStyle="stop" showErrorMessage="true" showInputMessage="true">
      <formula1>"Participar,Não participar"</formula1>
    </dataValidation>
    <dataValidation type="list" sqref="M512" allowBlank="true" errorStyle="stop" showErrorMessage="true" showInputMessage="true">
      <formula1>"Participar,Não participar"</formula1>
    </dataValidation>
    <dataValidation type="list" sqref="M513" allowBlank="true" errorStyle="stop" showErrorMessage="true" showInputMessage="true">
      <formula1>"Participar,Não participar"</formula1>
    </dataValidation>
    <dataValidation type="list" sqref="M514" allowBlank="true" errorStyle="stop" showErrorMessage="true" showInputMessage="true">
      <formula1>"Participar,Não participar"</formula1>
    </dataValidation>
    <dataValidation type="list" sqref="M515" allowBlank="true" errorStyle="stop" showErrorMessage="true" showInputMessage="true">
      <formula1>"Participar,Não participar"</formula1>
    </dataValidation>
    <dataValidation type="list" sqref="M516" allowBlank="true" errorStyle="stop" showErrorMessage="true" showInputMessage="true">
      <formula1>"Participar,Não participar"</formula1>
    </dataValidation>
    <dataValidation type="list" sqref="M517" allowBlank="true" errorStyle="stop" showErrorMessage="true" showInputMessage="true">
      <formula1>"Participar,Não participar"</formula1>
    </dataValidation>
    <dataValidation type="list" sqref="M518" allowBlank="true" errorStyle="stop" showErrorMessage="true" showInputMessage="true">
      <formula1>"Participar,Não participar"</formula1>
    </dataValidation>
    <dataValidation type="list" sqref="M519" allowBlank="true" errorStyle="stop" showErrorMessage="true" showInputMessage="true">
      <formula1>"Participar,Não participar"</formula1>
    </dataValidation>
    <dataValidation type="list" sqref="M520" allowBlank="true" errorStyle="stop" showErrorMessage="true" showInputMessage="true">
      <formula1>"Participar,Não participar"</formula1>
    </dataValidation>
    <dataValidation type="list" sqref="M521" allowBlank="true" errorStyle="stop" showErrorMessage="true" showInputMessage="true">
      <formula1>"Participar,Não participar"</formula1>
    </dataValidation>
    <dataValidation type="list" sqref="M522" allowBlank="true" errorStyle="stop" showErrorMessage="true" showInputMessage="true">
      <formula1>"Participar,Não participar"</formula1>
    </dataValidation>
    <dataValidation type="list" sqref="M523" allowBlank="true" errorStyle="stop" showErrorMessage="true" showInputMessage="true">
      <formula1>"Participar,Não participar"</formula1>
    </dataValidation>
    <dataValidation type="list" sqref="M524" allowBlank="true" errorStyle="stop" showErrorMessage="true" showInputMessage="true">
      <formula1>"Participar,Não participar"</formula1>
    </dataValidation>
    <dataValidation type="list" sqref="M525" allowBlank="true" errorStyle="stop" showErrorMessage="true" showInputMessage="true">
      <formula1>"Participar,Não participar"</formula1>
    </dataValidation>
    <dataValidation type="list" sqref="M526" allowBlank="true" errorStyle="stop" showErrorMessage="true" showInputMessage="true">
      <formula1>"Participar,Não participar"</formula1>
    </dataValidation>
    <dataValidation type="list" sqref="M527" allowBlank="true" errorStyle="stop" showErrorMessage="true" showInputMessage="true">
      <formula1>"Participar,Não participar"</formula1>
    </dataValidation>
    <dataValidation type="list" sqref="M528" allowBlank="true" errorStyle="stop" showErrorMessage="true" showInputMessage="true">
      <formula1>"Participar,Não participar"</formula1>
    </dataValidation>
    <dataValidation type="list" sqref="M529" allowBlank="true" errorStyle="stop" showErrorMessage="true" showInputMessage="true">
      <formula1>"Participar,Não participar"</formula1>
    </dataValidation>
    <dataValidation type="list" sqref="M530" allowBlank="true" errorStyle="stop" showErrorMessage="true" showInputMessage="true">
      <formula1>"Participar,Não participar"</formula1>
    </dataValidation>
    <dataValidation type="list" sqref="M531" allowBlank="true" errorStyle="stop" showErrorMessage="true" showInputMessage="true">
      <formula1>"Participar,Não participar"</formula1>
    </dataValidation>
    <dataValidation type="list" sqref="M532" allowBlank="true" errorStyle="stop" showErrorMessage="true" showInputMessage="true">
      <formula1>"Participar,Não participar"</formula1>
    </dataValidation>
    <dataValidation type="list" sqref="M533" allowBlank="true" errorStyle="stop" showErrorMessage="true" showInputMessage="true">
      <formula1>"Participar,Não participar"</formula1>
    </dataValidation>
    <dataValidation type="list" sqref="M534" allowBlank="true" errorStyle="stop" showErrorMessage="true" showInputMessage="true">
      <formula1>"Participar,Não participar"</formula1>
    </dataValidation>
    <dataValidation type="list" sqref="M535" allowBlank="true" errorStyle="stop" showErrorMessage="true" showInputMessage="true">
      <formula1>"Participar,Não participar"</formula1>
    </dataValidation>
    <dataValidation type="list" sqref="M536" allowBlank="true" errorStyle="stop" showErrorMessage="true" showInputMessage="true">
      <formula1>"Participar,Não participar"</formula1>
    </dataValidation>
    <dataValidation type="list" sqref="M537" allowBlank="true" errorStyle="stop" showErrorMessage="true" showInputMessage="true">
      <formula1>"Participar,Não participar"</formula1>
    </dataValidation>
    <dataValidation type="list" sqref="M538" allowBlank="true" errorStyle="stop" showErrorMessage="true" showInputMessage="true">
      <formula1>"Participar,Não participar"</formula1>
    </dataValidation>
    <dataValidation type="list" sqref="M539" allowBlank="true" errorStyle="stop" showErrorMessage="true" showInputMessage="true">
      <formula1>"Participar,Não participar"</formula1>
    </dataValidation>
    <dataValidation type="list" sqref="M540" allowBlank="true" errorStyle="stop" showErrorMessage="true" showInputMessage="true">
      <formula1>"Participar,Não participar"</formula1>
    </dataValidation>
    <dataValidation type="list" sqref="M541" allowBlank="true" errorStyle="stop" showErrorMessage="true" showInputMessage="true">
      <formula1>"Participar,Não participar"</formula1>
    </dataValidation>
    <dataValidation type="list" sqref="M542" allowBlank="true" errorStyle="stop" showErrorMessage="true" showInputMessage="true">
      <formula1>"Participar,Não participar"</formula1>
    </dataValidation>
    <dataValidation type="list" sqref="M543" allowBlank="true" errorStyle="stop" showErrorMessage="true" showInputMessage="true">
      <formula1>"Participar,Não participar"</formula1>
    </dataValidation>
    <dataValidation type="list" sqref="M544" allowBlank="true" errorStyle="stop" showErrorMessage="true" showInputMessage="true">
      <formula1>"Participar,Não participar"</formula1>
    </dataValidation>
    <dataValidation type="list" sqref="M545" allowBlank="true" errorStyle="stop" showErrorMessage="true" showInputMessage="true">
      <formula1>"Participar,Não participar"</formula1>
    </dataValidation>
    <dataValidation type="list" sqref="M546" allowBlank="true" errorStyle="stop" showErrorMessage="true" showInputMessage="true">
      <formula1>"Participar,Não participar"</formula1>
    </dataValidation>
    <dataValidation type="list" sqref="M547" allowBlank="true" errorStyle="stop" showErrorMessage="true" showInputMessage="true">
      <formula1>"Participar,Não participar"</formula1>
    </dataValidation>
    <dataValidation type="list" sqref="M548" allowBlank="true" errorStyle="stop" showErrorMessage="true" showInputMessage="true">
      <formula1>"Participar,Não participar"</formula1>
    </dataValidation>
    <dataValidation type="list" sqref="M549" allowBlank="true" errorStyle="stop" showErrorMessage="true" showInputMessage="true">
      <formula1>"Participar,Não participar"</formula1>
    </dataValidation>
    <dataValidation type="list" sqref="M550" allowBlank="true" errorStyle="stop" showErrorMessage="true" showInputMessage="true">
      <formula1>"Participar,Não participar"</formula1>
    </dataValidation>
    <dataValidation type="list" sqref="M551" allowBlank="true" errorStyle="stop" showErrorMessage="true" showInputMessage="true">
      <formula1>"Participar,Não participar"</formula1>
    </dataValidation>
    <dataValidation type="list" sqref="M552" allowBlank="true" errorStyle="stop" showErrorMessage="true" showInputMessage="true">
      <formula1>"Participar,Não participar"</formula1>
    </dataValidation>
    <dataValidation type="list" sqref="M553" allowBlank="true" errorStyle="stop" showErrorMessage="true" showInputMessage="true">
      <formula1>"Participar,Não participar"</formula1>
    </dataValidation>
    <dataValidation type="list" sqref="M554" allowBlank="true" errorStyle="stop" showErrorMessage="true" showInputMessage="true">
      <formula1>"Participar,Não participar"</formula1>
    </dataValidation>
    <dataValidation type="list" sqref="M555" allowBlank="true" errorStyle="stop" showErrorMessage="true" showInputMessage="true">
      <formula1>"Participar,Não participar"</formula1>
    </dataValidation>
    <dataValidation type="list" sqref="M556" allowBlank="true" errorStyle="stop" showErrorMessage="true" showInputMessage="true">
      <formula1>"Participar,Não participar"</formula1>
    </dataValidation>
    <dataValidation type="list" sqref="M557" allowBlank="true" errorStyle="stop" showErrorMessage="true" showInputMessage="true">
      <formula1>"Participar,Não participar"</formula1>
    </dataValidation>
    <dataValidation type="list" sqref="M558" allowBlank="true" errorStyle="stop" showErrorMessage="true" showInputMessage="true">
      <formula1>"Participar,Não participar"</formula1>
    </dataValidation>
    <dataValidation type="list" sqref="M559" allowBlank="true" errorStyle="stop" showErrorMessage="true" showInputMessage="true">
      <formula1>"Participar,Não participar"</formula1>
    </dataValidation>
    <dataValidation type="list" sqref="M560" allowBlank="true" errorStyle="stop" showErrorMessage="true" showInputMessage="true">
      <formula1>"Participar,Não participar"</formula1>
    </dataValidation>
    <dataValidation type="list" sqref="M561" allowBlank="true" errorStyle="stop" showErrorMessage="true" showInputMessage="true">
      <formula1>"Participar,Não participar"</formula1>
    </dataValidation>
    <dataValidation type="list" sqref="M562" allowBlank="true" errorStyle="stop" showErrorMessage="true" showInputMessage="true">
      <formula1>"Participar,Não participar"</formula1>
    </dataValidation>
    <dataValidation type="list" sqref="M563" allowBlank="true" errorStyle="stop" showErrorMessage="true" showInputMessage="true">
      <formula1>"Participar,Não participar"</formula1>
    </dataValidation>
    <dataValidation type="list" sqref="M564" allowBlank="true" errorStyle="stop" showErrorMessage="true" showInputMessage="true">
      <formula1>"Participar,Não participar"</formula1>
    </dataValidation>
    <dataValidation type="list" sqref="M565" allowBlank="true" errorStyle="stop" showErrorMessage="true" showInputMessage="true">
      <formula1>"Participar,Não participar"</formula1>
    </dataValidation>
    <dataValidation type="list" sqref="M566" allowBlank="true" errorStyle="stop" showErrorMessage="true" showInputMessage="true">
      <formula1>"Participar,Não participar"</formula1>
    </dataValidation>
    <dataValidation type="list" sqref="M567" allowBlank="true" errorStyle="stop" showErrorMessage="true" showInputMessage="true">
      <formula1>"Participar,Não participar"</formula1>
    </dataValidation>
    <dataValidation type="list" sqref="M568" allowBlank="true" errorStyle="stop" showErrorMessage="true" showInputMessage="true">
      <formula1>"Participar,Não participar"</formula1>
    </dataValidation>
    <dataValidation type="list" sqref="M569" allowBlank="true" errorStyle="stop" showErrorMessage="true" showInputMessage="true">
      <formula1>"Participar,Não participar"</formula1>
    </dataValidation>
    <dataValidation type="list" sqref="M570" allowBlank="true" errorStyle="stop" showErrorMessage="true" showInputMessage="true">
      <formula1>"Participar,Não participar"</formula1>
    </dataValidation>
    <dataValidation type="list" sqref="M571" allowBlank="true" errorStyle="stop" showErrorMessage="true" showInputMessage="true">
      <formula1>"Participar,Não participar"</formula1>
    </dataValidation>
    <dataValidation type="list" sqref="M572" allowBlank="true" errorStyle="stop" showErrorMessage="true" showInputMessage="true">
      <formula1>"Participar,Não participar"</formula1>
    </dataValidation>
    <dataValidation type="list" sqref="M573" allowBlank="true" errorStyle="stop" showErrorMessage="true" showInputMessage="true">
      <formula1>"Participar,Não participar"</formula1>
    </dataValidation>
    <dataValidation type="list" sqref="M574" allowBlank="true" errorStyle="stop" showErrorMessage="true" showInputMessage="true">
      <formula1>"Participar,Não participar"</formula1>
    </dataValidation>
    <dataValidation type="list" sqref="M575" allowBlank="true" errorStyle="stop" showErrorMessage="true" showInputMessage="true">
      <formula1>"Participar,Não participar"</formula1>
    </dataValidation>
    <dataValidation type="list" sqref="M576" allowBlank="true" errorStyle="stop" showErrorMessage="true" showInputMessage="true">
      <formula1>"Participar,Não participar"</formula1>
    </dataValidation>
    <dataValidation type="list" sqref="M577" allowBlank="true" errorStyle="stop" showErrorMessage="true" showInputMessage="true">
      <formula1>"Participar,Não participar"</formula1>
    </dataValidation>
    <dataValidation type="list" sqref="M578" allowBlank="true" errorStyle="stop" showErrorMessage="true" showInputMessage="true">
      <formula1>"Participar,Não participar"</formula1>
    </dataValidation>
    <dataValidation type="list" sqref="M579" allowBlank="true" errorStyle="stop" showErrorMessage="true" showInputMessage="true">
      <formula1>"Participar,Não participar"</formula1>
    </dataValidation>
    <dataValidation type="list" sqref="M580" allowBlank="true" errorStyle="stop" showErrorMessage="true" showInputMessage="true">
      <formula1>"Participar,Não participar"</formula1>
    </dataValidation>
    <dataValidation type="list" sqref="M581" allowBlank="true" errorStyle="stop" showErrorMessage="true" showInputMessage="true">
      <formula1>"Participar,Não participar"</formula1>
    </dataValidation>
    <dataValidation type="list" sqref="M582" allowBlank="true" errorStyle="stop" showErrorMessage="true" showInputMessage="true">
      <formula1>"Participar,Não participar"</formula1>
    </dataValidation>
    <dataValidation type="list" sqref="M583" allowBlank="true" errorStyle="stop" showErrorMessage="true" showInputMessage="true">
      <formula1>"Participar,Não participar"</formula1>
    </dataValidation>
    <dataValidation type="list" sqref="M584" allowBlank="true" errorStyle="stop" showErrorMessage="true" showInputMessage="true">
      <formula1>"Participar,Não participar"</formula1>
    </dataValidation>
    <dataValidation type="list" sqref="M585" allowBlank="true" errorStyle="stop" showErrorMessage="true" showInputMessage="true">
      <formula1>"Participar,Não participar"</formula1>
    </dataValidation>
    <dataValidation type="list" sqref="M586" allowBlank="true" errorStyle="stop" showErrorMessage="true" showInputMessage="true">
      <formula1>"Participar,Não participar"</formula1>
    </dataValidation>
    <dataValidation type="list" sqref="M587" allowBlank="true" errorStyle="stop" showErrorMessage="true" showInputMessage="true">
      <formula1>"Participar,Não participar"</formula1>
    </dataValidation>
    <dataValidation type="list" sqref="M588" allowBlank="true" errorStyle="stop" showErrorMessage="true" showInputMessage="true">
      <formula1>"Participar,Não participar"</formula1>
    </dataValidation>
    <dataValidation type="list" sqref="M589" allowBlank="true" errorStyle="stop" showErrorMessage="true" showInputMessage="true">
      <formula1>"Participar,Não participar"</formula1>
    </dataValidation>
    <dataValidation type="list" sqref="M590" allowBlank="true" errorStyle="stop" showErrorMessage="true" showInputMessage="true">
      <formula1>"Participar,Não participar"</formula1>
    </dataValidation>
    <dataValidation type="list" sqref="M591" allowBlank="true" errorStyle="stop" showErrorMessage="true" showInputMessage="true">
      <formula1>"Participar,Não participar"</formula1>
    </dataValidation>
    <dataValidation type="list" sqref="M592" allowBlank="true" errorStyle="stop" showErrorMessage="true" showInputMessage="true">
      <formula1>"Participar,Não participar"</formula1>
    </dataValidation>
    <dataValidation type="list" sqref="M593" allowBlank="true" errorStyle="stop" showErrorMessage="true" showInputMessage="true">
      <formula1>"Participar,Não participar"</formula1>
    </dataValidation>
    <dataValidation type="list" sqref="M594" allowBlank="true" errorStyle="stop" showErrorMessage="true" showInputMessage="true">
      <formula1>"Participar,Não participar"</formula1>
    </dataValidation>
    <dataValidation type="list" sqref="M595" allowBlank="true" errorStyle="stop" showErrorMessage="true" showInputMessage="true">
      <formula1>"Participar,Não participar"</formula1>
    </dataValidation>
    <dataValidation type="list" sqref="M596" allowBlank="true" errorStyle="stop" showErrorMessage="true" showInputMessage="true">
      <formula1>"Participar,Não participar"</formula1>
    </dataValidation>
    <dataValidation type="list" sqref="M597" allowBlank="true" errorStyle="stop" showErrorMessage="true" showInputMessage="true">
      <formula1>"Participar,Não participar"</formula1>
    </dataValidation>
    <dataValidation type="list" sqref="M598" allowBlank="true" errorStyle="stop" showErrorMessage="true" showInputMessage="true">
      <formula1>"Participar,Não participar"</formula1>
    </dataValidation>
    <dataValidation type="list" sqref="M599" allowBlank="true" errorStyle="stop" showErrorMessage="true" showInputMessage="true">
      <formula1>"Participar,Não participar"</formula1>
    </dataValidation>
    <dataValidation type="list" sqref="M600" allowBlank="true" errorStyle="stop" showErrorMessage="true" showInputMessage="true">
      <formula1>"Participar,Não participar"</formula1>
    </dataValidation>
    <dataValidation type="list" sqref="M601" allowBlank="true" errorStyle="stop" showErrorMessage="true" showInputMessage="true">
      <formula1>"Participar,Não participar"</formula1>
    </dataValidation>
    <dataValidation type="list" sqref="M602" allowBlank="true" errorStyle="stop" showErrorMessage="true" showInputMessage="true">
      <formula1>"Participar,Não participar"</formula1>
    </dataValidation>
    <dataValidation type="list" sqref="M603" allowBlank="true" errorStyle="stop" showErrorMessage="true" showInputMessage="true">
      <formula1>"Participar,Não participar"</formula1>
    </dataValidation>
    <dataValidation type="list" sqref="M604" allowBlank="true" errorStyle="stop" showErrorMessage="true" showInputMessage="true">
      <formula1>"Participar,Não participar"</formula1>
    </dataValidation>
    <dataValidation type="list" sqref="M605" allowBlank="true" errorStyle="stop" showErrorMessage="true" showInputMessage="true">
      <formula1>"Participar,Não participar"</formula1>
    </dataValidation>
    <dataValidation type="list" sqref="M606" allowBlank="true" errorStyle="stop" showErrorMessage="true" showInputMessage="true">
      <formula1>"Participar,Não participar"</formula1>
    </dataValidation>
    <dataValidation type="list" sqref="M607" allowBlank="true" errorStyle="stop" showErrorMessage="true" showInputMessage="true">
      <formula1>"Participar,Não participar"</formula1>
    </dataValidation>
    <dataValidation type="list" sqref="M608" allowBlank="true" errorStyle="stop" showErrorMessage="true" showInputMessage="true">
      <formula1>"Participar,Não participar"</formula1>
    </dataValidation>
    <dataValidation type="list" sqref="M609" allowBlank="true" errorStyle="stop" showErrorMessage="true" showInputMessage="true">
      <formula1>"Participar,Não participar"</formula1>
    </dataValidation>
    <dataValidation type="list" sqref="M610" allowBlank="true" errorStyle="stop" showErrorMessage="true" showInputMessage="true">
      <formula1>"Participar,Não participar"</formula1>
    </dataValidation>
    <dataValidation type="list" sqref="M611" allowBlank="true" errorStyle="stop" showErrorMessage="true" showInputMessage="true">
      <formula1>"Participar,Não participar"</formula1>
    </dataValidation>
    <dataValidation type="list" sqref="M612" allowBlank="true" errorStyle="stop" showErrorMessage="true" showInputMessage="true">
      <formula1>"Participar,Não participar"</formula1>
    </dataValidation>
    <dataValidation type="list" sqref="M613" allowBlank="true" errorStyle="stop" showErrorMessage="true" showInputMessage="true">
      <formula1>"Participar,Não participar"</formula1>
    </dataValidation>
    <dataValidation type="list" sqref="M614" allowBlank="true" errorStyle="stop" showErrorMessage="true" showInputMessage="true">
      <formula1>"Participar,Não participar"</formula1>
    </dataValidation>
  </dataValidations>
  <hyperlinks>
    <hyperlink ref="N5" r:id="rId1"/>
  </hyperlinks>
  <pageMargins bottom="0.75" footer="0.3" header="0.3" left="0.7" right="0.7" top="0.75"/>
  <ignoredErrors>
    <ignoredError sqref="A6:A10001" numberStoredAsText="true"/>
    <ignoredError sqref="A6:A10001" numberStoredAsText="true"/>
    <ignoredError sqref="B6:B10001" numberStoredAsText="true"/>
    <ignoredError sqref="B6:B10001" numberStoredAsText="true"/>
    <ignoredError sqref="C6:C10001" numberStoredAsText="true"/>
    <ignoredError sqref="C6:C10001" numberStoredAsText="true"/>
    <ignoredError sqref="D6:D10001" numberStoredAsText="true"/>
    <ignoredError sqref="D6:D10001" numberStoredAsText="true"/>
    <ignoredError sqref="E6:E10001" numberStoredAsText="true"/>
    <ignoredError sqref="E6:E10001" numberStoredAsText="true"/>
    <ignoredError sqref="F6:F10001" numberStoredAsText="true"/>
    <ignoredError sqref="F6:F10001" numberStoredAsText="true"/>
    <ignoredError sqref="G6:G10001" numberStoredAsText="true"/>
    <ignoredError sqref="G6:G10001" numberStoredAsText="true"/>
    <ignoredError sqref="H6:H10001" numberStoredAsText="true"/>
    <ignoredError sqref="H6:H10001" numberStoredAsText="true"/>
    <ignoredError sqref="I6:I10001" numberStoredAsText="true"/>
    <ignoredError sqref="I6:I10001" numberStoredAsText="true"/>
    <ignoredError sqref="J6:J10001" numberStoredAsText="true"/>
    <ignoredError sqref="J6:J10001" numberStoredAsText="true"/>
    <ignoredError sqref="K6:K10001" numberStoredAsText="true"/>
    <ignoredError sqref="K6:K10001" numberStoredAsText="true"/>
    <ignoredError sqref="L6:L10001" numberStoredAsText="true"/>
    <ignoredError sqref="L6:L10001" numberStoredAsText="true"/>
    <ignoredError sqref="M6:M10001" numberStoredAsText="true"/>
    <ignoredError sqref="M6:M10001" numberStoredAsText="true"/>
    <ignoredError sqref="N6:N10001" numberStoredAsText="true"/>
    <ignoredError sqref="N6:N10001" numberStoredAsText="true"/>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Ajuda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2021-08-12T19:46:15Z</dcterms:created>
  <dc:creator>Facundo Salmerón</dc:creator>
  <cp:lastModifiedBy>Alejandro Knubel</cp:lastModifiedBy>
  <dcterms:modified xsi:type="dcterms:W3CDTF">2024-10-25T14:50:17Z</dcterms:modified>
</cp:coreProperties>
</file>