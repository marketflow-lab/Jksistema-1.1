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hidden" r:id="rId5" sheetId="2" state="veryHidden"/>
    <sheet name="Anúncios" r:id="rId6" sheetId="3"/>
  </sheets>
  <calcPr/>
</workbook>
</file>

<file path=xl/sharedStrings.xml><?xml version="1.0" encoding="utf-8"?>
<sst xmlns="http://schemas.openxmlformats.org/spreadsheetml/2006/main" count="16083" uniqueCount="5056">
  <si>
    <t>Modifique seus anúncios</t>
  </si>
  <si>
    <t>Modifique os dados dos seus produtos muito mais rápido.</t>
  </si>
  <si>
    <t>Ver anuncios</t>
  </si>
  <si>
    <t>Já preencheu os dados?</t>
  </si>
  <si>
    <t xml:space="preserve">Ao terminar, lembre-se de salvar e </t>
  </si>
  <si>
    <t>Importante...</t>
  </si>
  <si>
    <t>Basta alterar ou editar as células que estejam com fundo branco.</t>
  </si>
  <si>
    <t>A partir deste arquivo em Excel, não é possível incluir ou excluir anúncios nem imagens do produto.</t>
  </si>
  <si>
    <t>Lembre-se de manter a ordem das colunas para que possamos identificar o que você preencheu.</t>
  </si>
  <si>
    <t>O que cada cor significa nas células?</t>
  </si>
  <si>
    <t>São as que você pode preencher.</t>
  </si>
  <si>
    <t>Publicação Principal</t>
  </si>
  <si>
    <t>Você não pode alterá-las.</t>
  </si>
  <si>
    <t>Variável</t>
  </si>
  <si>
    <t>Você não pode modificá-las.</t>
  </si>
  <si>
    <t>Enviar a planilha Excel</t>
  </si>
  <si>
    <t>Faça isso antes de 16 de Abril</t>
  </si>
  <si>
    <t>Como usar estas colunas?</t>
  </si>
  <si>
    <t>Estas são as colunas que estão agrupadas. Você pode expandi-las pressionando o sinal de [+] ou recolhê-las pressionado o sinal de [-] na parte superior.</t>
  </si>
  <si>
    <t>Título do produto</t>
  </si>
  <si>
    <t>2f530204-825d-41ba-8570-5dee45ae5ff0</t>
  </si>
  <si>
    <t>FAMILY_ID</t>
  </si>
  <si>
    <t/>
  </si>
  <si>
    <t>Agrupador de variações</t>
  </si>
  <si>
    <t>ITEM_ID</t>
  </si>
  <si>
    <t>Código do anúncio</t>
  </si>
  <si>
    <t>PRODUCT_NUMBER</t>
  </si>
  <si>
    <t>Número do produto</t>
  </si>
  <si>
    <t>VARIATION_ID</t>
  </si>
  <si>
    <t>Número da variação</t>
  </si>
  <si>
    <t>SKU</t>
  </si>
  <si>
    <t>TITLE</t>
  </si>
  <si>
    <t>Título</t>
  </si>
  <si>
    <t>VARIATIONS</t>
  </si>
  <si>
    <t>Variações</t>
  </si>
  <si>
    <t>Anúncios</t>
  </si>
  <si>
    <t>STOCK_FULL</t>
  </si>
  <si>
    <t>No Full
(Centro de distribuição do ML)</t>
  </si>
  <si>
    <t>Informação de estoque</t>
  </si>
  <si>
    <t>PRICE</t>
  </si>
  <si>
    <t>Obrigatório</t>
  </si>
  <si>
    <t>Preço</t>
  </si>
  <si>
    <t>CURRENCY_ID</t>
  </si>
  <si>
    <t>Moeda</t>
  </si>
  <si>
    <t>TIERED_PRICING_TAX_INCLUSION_TYPE</t>
  </si>
  <si>
    <t>Impostos incluídos</t>
  </si>
  <si>
    <t>TIERED_PRICING_PRICE_1</t>
  </si>
  <si>
    <t>Preço de cada unidade</t>
  </si>
  <si>
    <t>TIERED_PRICING_QUANTITY_1</t>
  </si>
  <si>
    <t>Quantidade mínima de compra</t>
  </si>
  <si>
    <t>TIERED_PRICING_PRICE_2</t>
  </si>
  <si>
    <t>TIERED_PRICING_QUANTITY_2</t>
  </si>
  <si>
    <t>TIERED_PRICING_PRICE_3</t>
  </si>
  <si>
    <t>TIERED_PRICING_QUANTITY_3</t>
  </si>
  <si>
    <t>TIERED_PRICING_PRICE_4</t>
  </si>
  <si>
    <t>TIERED_PRICING_QUANTITY_4</t>
  </si>
  <si>
    <t>TIERED_PRICING_PRICE_5</t>
  </si>
  <si>
    <t>TIERED_PRICING_QUANTITY_5</t>
  </si>
  <si>
    <t>Preço de atacado 5 [ML]</t>
  </si>
  <si>
    <t>Preço de atacado 4 [ML]</t>
  </si>
  <si>
    <t>Preço de atacado 3 [ML]</t>
  </si>
  <si>
    <t>Preço de atacado 2 [ML]</t>
  </si>
  <si>
    <t>Preço de atacado 1 [ML]</t>
  </si>
  <si>
    <t>Informações do produto</t>
  </si>
  <si>
    <t>SHIPPING_METHOD</t>
  </si>
  <si>
    <t>Forma de entrega</t>
  </si>
  <si>
    <t>Condições de entrega</t>
  </si>
  <si>
    <t>LISTING_TYPE</t>
  </si>
  <si>
    <t>Tipo de anúncio</t>
  </si>
  <si>
    <t>FEE_PER_SALE</t>
  </si>
  <si>
    <t>Tarifa de venda</t>
  </si>
  <si>
    <t>CATEGORY</t>
  </si>
  <si>
    <t>Categoria</t>
  </si>
  <si>
    <t>Condições do anúncio</t>
  </si>
  <si>
    <t>7700419096021879</t>
  </si>
  <si>
    <t>MLB2081890398</t>
  </si>
  <si>
    <t>U749667404</t>
  </si>
  <si>
    <t>342</t>
  </si>
  <si>
    <t>Marcador Medidor Sensor Nível Combustível Digital Universal</t>
  </si>
  <si>
    <t>17</t>
  </si>
  <si>
    <t>R$</t>
  </si>
  <si>
    <t>Com impostos</t>
  </si>
  <si>
    <t>Mercado Envios grátis</t>
  </si>
  <si>
    <t>Premium</t>
  </si>
  <si>
    <t>Medidores de combustível para veículos</t>
  </si>
  <si>
    <t>8336832737195854</t>
  </si>
  <si>
    <t>MLB2043212082</t>
  </si>
  <si>
    <t>U745565833</t>
  </si>
  <si>
    <t>53</t>
  </si>
  <si>
    <t>Mangueira Filtro Ar Tbi Nissan Sentra 1.8 2.0 2010 2011 2012</t>
  </si>
  <si>
    <t>9</t>
  </si>
  <si>
    <t>Mercado Envios por conta do comprador</t>
  </si>
  <si>
    <t>Clássico</t>
  </si>
  <si>
    <t>Mangueiras de admissão para veículos</t>
  </si>
  <si>
    <t>1435464904298829</t>
  </si>
  <si>
    <t>MLB3137138717</t>
  </si>
  <si>
    <t>U1117982121</t>
  </si>
  <si>
    <t>99-1</t>
  </si>
  <si>
    <t>Sincronizador Calibrador Tpms Sensor Pneu Gm S10 Agile Onix</t>
  </si>
  <si>
    <t>1</t>
  </si>
  <si>
    <t>Sensores TPMS para veículos</t>
  </si>
  <si>
    <t>MLB3660376395</t>
  </si>
  <si>
    <t>Mini Bomba D'agua 12 Volts 800 Litros/h Coluna 5m 19w</t>
  </si>
  <si>
    <t>-</t>
  </si>
  <si>
    <t>Bombas para aquários</t>
  </si>
  <si>
    <t>182498121517</t>
  </si>
  <si>
    <t>78</t>
  </si>
  <si>
    <t>24</t>
  </si>
  <si>
    <t>182498121519</t>
  </si>
  <si>
    <t>79</t>
  </si>
  <si>
    <t>12</t>
  </si>
  <si>
    <t>426419685437086</t>
  </si>
  <si>
    <t>MLB2991319103</t>
  </si>
  <si>
    <t>U757075116</t>
  </si>
  <si>
    <t>Marcador Medidor Sensor Nível De Combustível Digital</t>
  </si>
  <si>
    <t>10</t>
  </si>
  <si>
    <t>8264904191697594</t>
  </si>
  <si>
    <t>MLB2891461901</t>
  </si>
  <si>
    <t>U753336531</t>
  </si>
  <si>
    <t>411</t>
  </si>
  <si>
    <t>Carburador Completo Honda Biz 100 Dream C100 Sundown Web 100</t>
  </si>
  <si>
    <t>Carburadores para veículos</t>
  </si>
  <si>
    <t>2705625510330548</t>
  </si>
  <si>
    <t>MLB1754398064</t>
  </si>
  <si>
    <t>U735703508</t>
  </si>
  <si>
    <t>19-1</t>
  </si>
  <si>
    <t>Manopla Câmbio Automático Citroen C4 C5 Peugeot 307 408 Capa</t>
  </si>
  <si>
    <t>Preto</t>
  </si>
  <si>
    <t>Manoplas de câmbio para veículos</t>
  </si>
  <si>
    <t>MLB1988895735</t>
  </si>
  <si>
    <t>103</t>
  </si>
  <si>
    <t>Mini Bomba D'água 12v 22w 800 Litros/h Coluna 5m</t>
  </si>
  <si>
    <t>2</t>
  </si>
  <si>
    <t>Bombas para piscinas</t>
  </si>
  <si>
    <t>174800674277</t>
  </si>
  <si>
    <t>24V</t>
  </si>
  <si>
    <t>175707075871</t>
  </si>
  <si>
    <t>12V</t>
  </si>
  <si>
    <t>4988774111918679</t>
  </si>
  <si>
    <t>MLB2068228159</t>
  </si>
  <si>
    <t>U746668519</t>
  </si>
  <si>
    <t>99</t>
  </si>
  <si>
    <t>Calibrador Sincronizador Tpms Sensor Pneu Ford Fusion - Edge</t>
  </si>
  <si>
    <t>6</t>
  </si>
  <si>
    <t>Scanners para veículos</t>
  </si>
  <si>
    <t>6918722691625274</t>
  </si>
  <si>
    <t>MLB2935823315</t>
  </si>
  <si>
    <t>U753393641</t>
  </si>
  <si>
    <t>16</t>
  </si>
  <si>
    <t>Cebolão Interruptor Ventoinha Honda Civic 1.7 2001 2002 2006</t>
  </si>
  <si>
    <t>22</t>
  </si>
  <si>
    <t>Interruptores de eletroventilador para veículos</t>
  </si>
  <si>
    <t>3529555246137610</t>
  </si>
  <si>
    <t>MLB2069105883</t>
  </si>
  <si>
    <t>U1304345520</t>
  </si>
  <si>
    <t>241</t>
  </si>
  <si>
    <t>Suporte Celular Moto Gps Bmw R 1200 R 1250 Gs F 850 F 800</t>
  </si>
  <si>
    <t>5</t>
  </si>
  <si>
    <t>Suportes de celulares e GPS para veículos</t>
  </si>
  <si>
    <t>3983273583505373</t>
  </si>
  <si>
    <t>MLB1986895010</t>
  </si>
  <si>
    <t>U796288344</t>
  </si>
  <si>
    <t>290</t>
  </si>
  <si>
    <t>Caixa Bsm Peugeot 206, 207, 307 1.4 E 1.6 - Nova E Original</t>
  </si>
  <si>
    <t>Caixas de fusíveis para veículos</t>
  </si>
  <si>
    <t>134163183263555</t>
  </si>
  <si>
    <t>MLB3852698189</t>
  </si>
  <si>
    <t>U1226445300</t>
  </si>
  <si>
    <t>Ativador Sensor Tpms Gm Chevrolet El-50448 S10 Cruze Onix</t>
  </si>
  <si>
    <t>6545833834834163</t>
  </si>
  <si>
    <t>MLB2891603596</t>
  </si>
  <si>
    <t>U756343486</t>
  </si>
  <si>
    <t>Carburador Honda Biz-100 1998 A 2005 Mod Original</t>
  </si>
  <si>
    <t>7</t>
  </si>
  <si>
    <t>5222790236372584</t>
  </si>
  <si>
    <t>MLB3465314544</t>
  </si>
  <si>
    <t>U765102544</t>
  </si>
  <si>
    <t>46</t>
  </si>
  <si>
    <t>Sensor Pressão Tpms Pneu Captiva Camaro Malibu Gm Chevrolet</t>
  </si>
  <si>
    <t>MLB2181971176</t>
  </si>
  <si>
    <t>Luz Subaquática Submarina 42 Led's 12v Barcos Lanchas Iates</t>
  </si>
  <si>
    <t>Acessórios náuticos</t>
  </si>
  <si>
    <t>174215877996</t>
  </si>
  <si>
    <t>385-2</t>
  </si>
  <si>
    <t>Branco</t>
  </si>
  <si>
    <t>174215877997</t>
  </si>
  <si>
    <t>385-4</t>
  </si>
  <si>
    <t>Azul</t>
  </si>
  <si>
    <t>181885848373</t>
  </si>
  <si>
    <t>385-3</t>
  </si>
  <si>
    <t>Verde</t>
  </si>
  <si>
    <t>556610500130033</t>
  </si>
  <si>
    <t>MLB3265912775</t>
  </si>
  <si>
    <t>U1120804439</t>
  </si>
  <si>
    <t>Caixa Modulo Bsm Peugeot 206 207 307 Citroen C3 C4 1.6 1.4</t>
  </si>
  <si>
    <t>4091455017744626</t>
  </si>
  <si>
    <t>MLB2031655802</t>
  </si>
  <si>
    <t>U1101181712</t>
  </si>
  <si>
    <t>81</t>
  </si>
  <si>
    <t>Lâmpada D4r Xenon Original Toyota Corolla Seg Alti 6000k 1un</t>
  </si>
  <si>
    <t>Lâmpadas para veículos</t>
  </si>
  <si>
    <t>7714823401790964</t>
  </si>
  <si>
    <t>MLB4379616141</t>
  </si>
  <si>
    <t>U795945097</t>
  </si>
  <si>
    <t>3389077289495455</t>
  </si>
  <si>
    <t>MLB2928792686</t>
  </si>
  <si>
    <t>U753397459</t>
  </si>
  <si>
    <t>Mangueira Filtro Ar Tbi Nissan Sentra 1.8 16v 2007 Ate 2013</t>
  </si>
  <si>
    <t>4626841977140596</t>
  </si>
  <si>
    <t>MLB1754403273</t>
  </si>
  <si>
    <t>U735762758</t>
  </si>
  <si>
    <t>Manopla Cambio Aut Citroën C4 Pallas/hatch Original Deckas</t>
  </si>
  <si>
    <t>3472923962217615</t>
  </si>
  <si>
    <t>MLB2043231421</t>
  </si>
  <si>
    <t>U748555616</t>
  </si>
  <si>
    <t>Mangueira Filtro Ar Tbi Nissan Sentra 2.0 2010 2011 2012</t>
  </si>
  <si>
    <t>8236333474238056</t>
  </si>
  <si>
    <t>MLB1984861692</t>
  </si>
  <si>
    <t>U744138197</t>
  </si>
  <si>
    <t>20</t>
  </si>
  <si>
    <t>Boia Sensor Nível Combustível P/ Focus 2.0 Duratec Gas 08/09</t>
  </si>
  <si>
    <t>Bóias de combustível para veículos</t>
  </si>
  <si>
    <t>1154002920379688</t>
  </si>
  <si>
    <t>MLB2929686863</t>
  </si>
  <si>
    <t>U753395653</t>
  </si>
  <si>
    <t>160-K</t>
  </si>
  <si>
    <t xml:space="preserve">Ponteira De Escape  Honda Civic Touring Turbo G10  Par </t>
  </si>
  <si>
    <t>Cromado</t>
  </si>
  <si>
    <t>14</t>
  </si>
  <si>
    <t>Ponteiras de escapamento para veículos</t>
  </si>
  <si>
    <t>5646203535291363</t>
  </si>
  <si>
    <t>MLB2928632506</t>
  </si>
  <si>
    <t>U756404992</t>
  </si>
  <si>
    <t>Sensor Tpms Pressão Pneu Gm, Captiva, Camaro E Malibu</t>
  </si>
  <si>
    <t>3</t>
  </si>
  <si>
    <t>4506630519447975</t>
  </si>
  <si>
    <t>MLB1987848106</t>
  </si>
  <si>
    <t>U1096888769</t>
  </si>
  <si>
    <t>62</t>
  </si>
  <si>
    <t>Manopla Cambio Automatico Ford Focus 09 2010 2011 2012 2013</t>
  </si>
  <si>
    <t>4504371606885155</t>
  </si>
  <si>
    <t>MLB2894818909</t>
  </si>
  <si>
    <t>U1118743146</t>
  </si>
  <si>
    <t>001</t>
  </si>
  <si>
    <t>Cebolinha Cebolão Radiador Cb500 Hornet Shadow Cbr900 1100xx</t>
  </si>
  <si>
    <t>Acessórios para motos</t>
  </si>
  <si>
    <t>3174159455441592</t>
  </si>
  <si>
    <t>MLB2065150709</t>
  </si>
  <si>
    <t>U1098866423</t>
  </si>
  <si>
    <t>318</t>
  </si>
  <si>
    <t>Fechadura Trava Tranca Tampa Porta Malas Hb20s Sedan 2016</t>
  </si>
  <si>
    <t>Fechaduras de porta-malas e portões para veículos</t>
  </si>
  <si>
    <t>2790369150574283</t>
  </si>
  <si>
    <t>MLB1987804808</t>
  </si>
  <si>
    <t>U744142067</t>
  </si>
  <si>
    <t>Sensor De Pressão Do Pneu Captiva 2.4 3.0 E 3.6 V6 Após 2008</t>
  </si>
  <si>
    <t>2486003661632413</t>
  </si>
  <si>
    <t>MLB2798920215</t>
  </si>
  <si>
    <t>U1116453760</t>
  </si>
  <si>
    <t>410</t>
  </si>
  <si>
    <t>Mangueira Filtro De Ar Tbi Honda Civic 2012/2016 17225r1aa01</t>
  </si>
  <si>
    <t>4986344192830214</t>
  </si>
  <si>
    <t>MLB1992383814</t>
  </si>
  <si>
    <t>U1096889961</t>
  </si>
  <si>
    <t>181</t>
  </si>
  <si>
    <t>Par Seta Retrovisor Sequencial Led Focus Mk2 Mk3 2008 A 2018</t>
  </si>
  <si>
    <t>Capas de retrovisores para carros e caminhonetes</t>
  </si>
  <si>
    <t>5950510759001213</t>
  </si>
  <si>
    <t>MLB1984448321</t>
  </si>
  <si>
    <t>U747176012</t>
  </si>
  <si>
    <t>286</t>
  </si>
  <si>
    <t>Valvula Nivel Banco Volvo Fh Vm Sc 124 Serie Pgr Mb Axor</t>
  </si>
  <si>
    <t>Válvulas de expansão de ar condicionado para veículos</t>
  </si>
  <si>
    <t>8331595273127316</t>
  </si>
  <si>
    <t>MLB3548384971</t>
  </si>
  <si>
    <t>U784089321</t>
  </si>
  <si>
    <t>Relógio Marcador Combustível Digital 52mm Universal 12v Led</t>
  </si>
  <si>
    <t>6264957127317644</t>
  </si>
  <si>
    <t>MLB2696185988</t>
  </si>
  <si>
    <t>U753402130</t>
  </si>
  <si>
    <t>384</t>
  </si>
  <si>
    <t>Mangueira Turbina Frontier 2012 A 2016, Nova Importada</t>
  </si>
  <si>
    <t>4323933153384589</t>
  </si>
  <si>
    <t>MLB2929577676</t>
  </si>
  <si>
    <t>U756413728</t>
  </si>
  <si>
    <t>160</t>
  </si>
  <si>
    <t>Ponteira Honda Civic 2017 2018 2019 2020 . G-10 Em Aço Inox</t>
  </si>
  <si>
    <t>Silenciosos para veículos</t>
  </si>
  <si>
    <t>1195228344906763</t>
  </si>
  <si>
    <t>MLB3457840421</t>
  </si>
  <si>
    <t>U1130734059</t>
  </si>
  <si>
    <t>Caixa Fusivel Rele Bsm B5 Peugeot 206 207 Citroen C3 Nova</t>
  </si>
  <si>
    <t>2446906165614509</t>
  </si>
  <si>
    <t>MLB3271833971</t>
  </si>
  <si>
    <t>U761124920</t>
  </si>
  <si>
    <t>120</t>
  </si>
  <si>
    <t>Junta Valvula Vtec Honda Civic Ex 1998-2005 1.6 1.7 Original</t>
  </si>
  <si>
    <t>Juntas de motor para veículos</t>
  </si>
  <si>
    <t>MLB2989066400</t>
  </si>
  <si>
    <t>Enxada Rotativa Para Roçadeira Stihl Fs80 Fs85 Fs120 Fs200</t>
  </si>
  <si>
    <t>Enxadas</t>
  </si>
  <si>
    <t>187454778901</t>
  </si>
  <si>
    <t>412-2</t>
  </si>
  <si>
    <t>26mm Quadrado 5.0</t>
  </si>
  <si>
    <t>4</t>
  </si>
  <si>
    <t>175905226987</t>
  </si>
  <si>
    <t>412-22</t>
  </si>
  <si>
    <t>26mm Quadrado</t>
  </si>
  <si>
    <t>178731269475</t>
  </si>
  <si>
    <t>412-44</t>
  </si>
  <si>
    <t>28mm Quadrada</t>
  </si>
  <si>
    <t>175905226988</t>
  </si>
  <si>
    <t>412-1</t>
  </si>
  <si>
    <t>26mm 9 Estrias</t>
  </si>
  <si>
    <t>182671322279</t>
  </si>
  <si>
    <t>412-55</t>
  </si>
  <si>
    <t>26mm quadrada 5.5mm</t>
  </si>
  <si>
    <t>182673712971</t>
  </si>
  <si>
    <t>412-6</t>
  </si>
  <si>
    <t>26mm 7 estrias</t>
  </si>
  <si>
    <t>178731269473</t>
  </si>
  <si>
    <t>412-3</t>
  </si>
  <si>
    <t>28mm 9 Estrias</t>
  </si>
  <si>
    <t>187454778903</t>
  </si>
  <si>
    <t>412-5</t>
  </si>
  <si>
    <t>26mm Quadrado 5.5</t>
  </si>
  <si>
    <t>187454778905</t>
  </si>
  <si>
    <t>412-7</t>
  </si>
  <si>
    <t>26mm Quadrado 6.0</t>
  </si>
  <si>
    <t>187454778907</t>
  </si>
  <si>
    <t>412-4</t>
  </si>
  <si>
    <t>28mm Quadrado 5.0</t>
  </si>
  <si>
    <t>187454778909</t>
  </si>
  <si>
    <t>412-8</t>
  </si>
  <si>
    <t>28mm Quadrado 5.5</t>
  </si>
  <si>
    <t>187454778911</t>
  </si>
  <si>
    <t>412-9</t>
  </si>
  <si>
    <t>28mm Quadrado 6.0</t>
  </si>
  <si>
    <t>1695222831486288</t>
  </si>
  <si>
    <t>MLB4362573546</t>
  </si>
  <si>
    <t>U1158917645</t>
  </si>
  <si>
    <t>316</t>
  </si>
  <si>
    <t>Sensor Pressão Direção Hidráulica Renault Clio Logan Sandero</t>
  </si>
  <si>
    <t>Sensores de pressão de óleo de direção hidráulica para veículos</t>
  </si>
  <si>
    <t>7757527910549887</t>
  </si>
  <si>
    <t>MLB3365926061</t>
  </si>
  <si>
    <t>U1125009583</t>
  </si>
  <si>
    <t>Cebolão Radiador Cebolinha Honda Cb500 Shadow Hornet Cbr900</t>
  </si>
  <si>
    <t>7182245475264555</t>
  </si>
  <si>
    <t>MLB2928466676</t>
  </si>
  <si>
    <t>U756346592</t>
  </si>
  <si>
    <t>Sensor Pressão Pneu Tpms Gm Captiva Camaro</t>
  </si>
  <si>
    <t>2824759095993129</t>
  </si>
  <si>
    <t>MLB3310247655</t>
  </si>
  <si>
    <t>U761126800</t>
  </si>
  <si>
    <t>Ponteira De Escapamento Inox Honda Civic G10 2017 18 19 20</t>
  </si>
  <si>
    <t>21</t>
  </si>
  <si>
    <t>1932615718474273</t>
  </si>
  <si>
    <t>MLB2986429903</t>
  </si>
  <si>
    <t>U757082626</t>
  </si>
  <si>
    <t>Calibrador Sincronizador Tpms Sensor Pneu Ford Fusion Edge</t>
  </si>
  <si>
    <t>8</t>
  </si>
  <si>
    <t>8486706849570153</t>
  </si>
  <si>
    <t>MLB2928814459</t>
  </si>
  <si>
    <t>U1118821194</t>
  </si>
  <si>
    <t>70</t>
  </si>
  <si>
    <t>Roda Livre Automática Nissan Frontier X-terra D22 Pick Up</t>
  </si>
  <si>
    <t>Peças de linha leviana</t>
  </si>
  <si>
    <t>MLB4038971489</t>
  </si>
  <si>
    <t>Enxada Rotativa Para Roçadeira Stihl Fs160 Fs220 Fs280 Fs290</t>
  </si>
  <si>
    <t>187608933937</t>
  </si>
  <si>
    <t>187608933931</t>
  </si>
  <si>
    <t>187608933933</t>
  </si>
  <si>
    <t>187608933935</t>
  </si>
  <si>
    <t>187608933939</t>
  </si>
  <si>
    <t>28mm Quadrado</t>
  </si>
  <si>
    <t>187608933941</t>
  </si>
  <si>
    <t>26mm quadrado 5.5mm</t>
  </si>
  <si>
    <t>187608933943</t>
  </si>
  <si>
    <t>187608933945</t>
  </si>
  <si>
    <t>187608933947</t>
  </si>
  <si>
    <t>187608933949</t>
  </si>
  <si>
    <t>187608933951</t>
  </si>
  <si>
    <t>187608933953</t>
  </si>
  <si>
    <t>MLB1984448244</t>
  </si>
  <si>
    <t>U744189607</t>
  </si>
  <si>
    <t>1811098493041214</t>
  </si>
  <si>
    <t>MLB2928799512</t>
  </si>
  <si>
    <t>U756339920</t>
  </si>
  <si>
    <t>Mangueira Filtro Ar Tbi Nissan Sentra 1.8 2.0 2007-2013</t>
  </si>
  <si>
    <t>MLB3042268759</t>
  </si>
  <si>
    <t>U754066103</t>
  </si>
  <si>
    <t>5507885996243255</t>
  </si>
  <si>
    <t>MLB2662064371</t>
  </si>
  <si>
    <t>U752817546</t>
  </si>
  <si>
    <t>397</t>
  </si>
  <si>
    <t>Kit 100 Presilha Grampo Parabarro Parachoque Universal Carro</t>
  </si>
  <si>
    <t>Grampos para veículos</t>
  </si>
  <si>
    <t>MLB1988895736</t>
  </si>
  <si>
    <t>Mini Bomba D'água 22w 5m 800l/h 24v Dc Solar/bateria/convers</t>
  </si>
  <si>
    <t>Bombas solares</t>
  </si>
  <si>
    <t>174799687361</t>
  </si>
  <si>
    <t>175711324629</t>
  </si>
  <si>
    <t>MLB2041023649</t>
  </si>
  <si>
    <t>107</t>
  </si>
  <si>
    <t>Bomba Água 12v Circulação Água Quente Solar 800 L/h</t>
  </si>
  <si>
    <t>175707103532</t>
  </si>
  <si>
    <t>174801147720</t>
  </si>
  <si>
    <t>4040877117209488</t>
  </si>
  <si>
    <t>MLB4943028012</t>
  </si>
  <si>
    <t>U787501130</t>
  </si>
  <si>
    <t>458-1</t>
  </si>
  <si>
    <t>Grade Dianteira Preta Honda City 2015 2016 2017 Preto Fosco</t>
  </si>
  <si>
    <t>Preto Preto Texturizado</t>
  </si>
  <si>
    <t>Grades de para-choques para veículos</t>
  </si>
  <si>
    <t>5054431381446052</t>
  </si>
  <si>
    <t>MLB1984439649</t>
  </si>
  <si>
    <t>U744126945</t>
  </si>
  <si>
    <t>Válvula Niveladora Banco Pneumático Volvo Fh Fm 20443641</t>
  </si>
  <si>
    <t>7923382632127233</t>
  </si>
  <si>
    <t>MLB2696135527</t>
  </si>
  <si>
    <t>U797544134</t>
  </si>
  <si>
    <t xml:space="preserve">Mangueira Intercooler Turbina Frontier 2013 2014 2015 2016 </t>
  </si>
  <si>
    <t>Mangueiras de intercooler para veículos</t>
  </si>
  <si>
    <t>5620001116692624</t>
  </si>
  <si>
    <t>MLB3137145071</t>
  </si>
  <si>
    <t>U1121698844</t>
  </si>
  <si>
    <t>Calibrador Linha Gm Ativação Sensor Pneu Tpms El 50448</t>
  </si>
  <si>
    <t>2850976488582450</t>
  </si>
  <si>
    <t>MLB3050000331</t>
  </si>
  <si>
    <t>U757055556</t>
  </si>
  <si>
    <t>416</t>
  </si>
  <si>
    <t>Friso Cromado Moldura Grade Civic 2017 2018 2019 G10</t>
  </si>
  <si>
    <t>7229187095676643</t>
  </si>
  <si>
    <t>MLB1984905629</t>
  </si>
  <si>
    <t>U744138301</t>
  </si>
  <si>
    <t>005</t>
  </si>
  <si>
    <t>Sensor Tubo Rail Ranger Troller 3.0 5ws40039 55pp02-03</t>
  </si>
  <si>
    <t>MLB3551731589</t>
  </si>
  <si>
    <t>Bomba D'agua Solar, Aquario, Alta Pressão  12v  Dc 19w Mo</t>
  </si>
  <si>
    <t>181212598925</t>
  </si>
  <si>
    <t>24v (10v a 26v)</t>
  </si>
  <si>
    <t>181212598923</t>
  </si>
  <si>
    <t>12v (5v a 14v)</t>
  </si>
  <si>
    <t>1274413484632340</t>
  </si>
  <si>
    <t>MLB3137151472</t>
  </si>
  <si>
    <t>U1121576550</t>
  </si>
  <si>
    <t>Sincronizador Calibrador Tpms Sensor Pneu Gm S10 Onix Agile</t>
  </si>
  <si>
    <t>MLB3030582867</t>
  </si>
  <si>
    <t>Chave Farol Luz Milha Neblina Auto Passat Jetta Tiguan Golf</t>
  </si>
  <si>
    <t>Interruptores de luz para veículos</t>
  </si>
  <si>
    <t>176038357072</t>
  </si>
  <si>
    <t>299-1</t>
  </si>
  <si>
    <t>Luzes com Farol de Milha e Neblina</t>
  </si>
  <si>
    <t>176038357073</t>
  </si>
  <si>
    <t>299-2</t>
  </si>
  <si>
    <t>Luzes com Farol de Neblina</t>
  </si>
  <si>
    <t>1850003520363603</t>
  </si>
  <si>
    <t>MLB3137151482</t>
  </si>
  <si>
    <t>U1117900943</t>
  </si>
  <si>
    <t>Ferramenta De Ativação Sensor Pressão Pneu Tpms Gm El 50448</t>
  </si>
  <si>
    <t>MLB2041090853</t>
  </si>
  <si>
    <t>Par Puxador Porta Dianteira Bmw 320i 328i F30 2013 Á 2017</t>
  </si>
  <si>
    <t>174032741526</t>
  </si>
  <si>
    <t>232-1</t>
  </si>
  <si>
    <t>174125497496</t>
  </si>
  <si>
    <t>232-5</t>
  </si>
  <si>
    <t>Bege</t>
  </si>
  <si>
    <t>1713199542995305</t>
  </si>
  <si>
    <t>MLB3125546946</t>
  </si>
  <si>
    <t>U754873219</t>
  </si>
  <si>
    <t>Tubo Duto Intercooler Turbina Frontier 2013 2014 2015 2016</t>
  </si>
  <si>
    <t>11</t>
  </si>
  <si>
    <t>1333595712164897</t>
  </si>
  <si>
    <t>MLB3151207086</t>
  </si>
  <si>
    <t>U1371896153</t>
  </si>
  <si>
    <t>Suporte Bmw Celular Moto Gps R 1200 R 1250 Gs F 850 F 800</t>
  </si>
  <si>
    <t>236830821068480</t>
  </si>
  <si>
    <t>MLB3006620220</t>
  </si>
  <si>
    <t>U754060401</t>
  </si>
  <si>
    <t>257</t>
  </si>
  <si>
    <t>Botão Vidro Elétrico Sprinter 311/415/515 Lado Direito</t>
  </si>
  <si>
    <t>Interruptores de levantamento de vidro para carros e caminhonetes</t>
  </si>
  <si>
    <t>8154251406020582</t>
  </si>
  <si>
    <t>MLB3254083015</t>
  </si>
  <si>
    <t>U760198724</t>
  </si>
  <si>
    <t>417</t>
  </si>
  <si>
    <t>Radiador De Arrefecimento Jac J3 1.4 1.5 12/18 Gas. G-8004</t>
  </si>
  <si>
    <t>Radiadores de água para carros e caminhonetes</t>
  </si>
  <si>
    <t>1882264586373215</t>
  </si>
  <si>
    <t>MLB2068416358</t>
  </si>
  <si>
    <t>U749657992</t>
  </si>
  <si>
    <t>Acessórios Honda Civic G10 2017 18 19 Ponteira Escapamento S</t>
  </si>
  <si>
    <t>Cinza</t>
  </si>
  <si>
    <t>MLB2041042829</t>
  </si>
  <si>
    <t>Bomba D'água Solar, Aquario, Alta Pressão 12v/24 Dc 19w</t>
  </si>
  <si>
    <t>175709557313</t>
  </si>
  <si>
    <t>174800557506</t>
  </si>
  <si>
    <t>4292349583515089</t>
  </si>
  <si>
    <t>MLB2041012158</t>
  </si>
  <si>
    <t>U748557058</t>
  </si>
  <si>
    <t>Calibrador Sincronizador Fusion Fiesta Tpms Sensor Pneu Ford</t>
  </si>
  <si>
    <t>1349366734988454</t>
  </si>
  <si>
    <t>MLB3374664285</t>
  </si>
  <si>
    <t>U1128633830</t>
  </si>
  <si>
    <t>380</t>
  </si>
  <si>
    <t>Painel Elétrico 5 Chaves 2 Usb Com Voltímetro Lancha Barco</t>
  </si>
  <si>
    <t>2057662481350902</t>
  </si>
  <si>
    <t>MLB2029586794</t>
  </si>
  <si>
    <t>U1101186062</t>
  </si>
  <si>
    <t>245</t>
  </si>
  <si>
    <t>Esteira Câmbio Automático Jetta Bora Golf Mk4 Passat</t>
  </si>
  <si>
    <t>Interruptores de volantes para veículos</t>
  </si>
  <si>
    <t>4285706606865115</t>
  </si>
  <si>
    <t>MLB2939511483</t>
  </si>
  <si>
    <t>U1366113532</t>
  </si>
  <si>
    <t>167-K</t>
  </si>
  <si>
    <t>2x Extensor Válvula Bico Pneu 90 Graus Bike Moto Adaptador</t>
  </si>
  <si>
    <t>Prateado</t>
  </si>
  <si>
    <t>Acessórios e peças de reposição para bicicletas</t>
  </si>
  <si>
    <t>1462066627778725</t>
  </si>
  <si>
    <t>MLB2026742005</t>
  </si>
  <si>
    <t>U1297980712</t>
  </si>
  <si>
    <t>167</t>
  </si>
  <si>
    <t>Extensor Válvula Bico Pneu 90 Graus Bike Moto Adaptador</t>
  </si>
  <si>
    <t>975775776680996</t>
  </si>
  <si>
    <t>MLB1984819034</t>
  </si>
  <si>
    <t>U1096887849</t>
  </si>
  <si>
    <t>Cebolão Interruptor Ventoinha Honda Civic 1.7 2001 2002 2003</t>
  </si>
  <si>
    <t>6173365785085209</t>
  </si>
  <si>
    <t>MLB3343944605</t>
  </si>
  <si>
    <t>U758915355</t>
  </si>
  <si>
    <t>415</t>
  </si>
  <si>
    <t>Tela Toque Touch Screen Multimídia Citroen C4 Cactus Lounge</t>
  </si>
  <si>
    <t>Molduras de estéreos para veículos</t>
  </si>
  <si>
    <t>8023563822551589</t>
  </si>
  <si>
    <t>MLB2068217472</t>
  </si>
  <si>
    <t>U746702839</t>
  </si>
  <si>
    <t>Sincronizador Calibrador Tpms Sensor Pneu Ford Fusion Edge</t>
  </si>
  <si>
    <t>981217178712215</t>
  </si>
  <si>
    <t>MLB4362495004</t>
  </si>
  <si>
    <t>U1162331091</t>
  </si>
  <si>
    <t>Sensor Pressão Direção Hidráulica Scenic Megane Kangoo Clio</t>
  </si>
  <si>
    <t>318068751117070</t>
  </si>
  <si>
    <t>MLB2179988899</t>
  </si>
  <si>
    <t>U1102477037</t>
  </si>
  <si>
    <t>722159273898231</t>
  </si>
  <si>
    <t>MLB1988756796</t>
  </si>
  <si>
    <t>U747101456</t>
  </si>
  <si>
    <t>66</t>
  </si>
  <si>
    <t>Tampa Bomba Combustível Evoque 2.0 Gasolina 2012 2013 2014</t>
  </si>
  <si>
    <t>Bombas de combustível para veículos</t>
  </si>
  <si>
    <t>MLB4321924928</t>
  </si>
  <si>
    <t>Mini Bomba D'agua 12v 800 Litros/h Para Fontes De Jardim</t>
  </si>
  <si>
    <t>Bombas de circulação para aquários</t>
  </si>
  <si>
    <t>181210902025</t>
  </si>
  <si>
    <t>24v 10v a 26v</t>
  </si>
  <si>
    <t>181210902023</t>
  </si>
  <si>
    <t>12v 5v a 14v</t>
  </si>
  <si>
    <t>422494343215015</t>
  </si>
  <si>
    <t>MLB3602661979</t>
  </si>
  <si>
    <t>U785741038</t>
  </si>
  <si>
    <t>1355048212433567</t>
  </si>
  <si>
    <t>MLB3021370421</t>
  </si>
  <si>
    <t>U757080432</t>
  </si>
  <si>
    <t>Grade Cromado Dianteira Civic 2017 2018 2019</t>
  </si>
  <si>
    <t>Prateado Cromado</t>
  </si>
  <si>
    <t>8702752632170527</t>
  </si>
  <si>
    <t>MLB4312453416</t>
  </si>
  <si>
    <t>U800138727</t>
  </si>
  <si>
    <t>Marcador Medidor Combustível Digital Moto Carro Barco Full</t>
  </si>
  <si>
    <t>7089473583472288</t>
  </si>
  <si>
    <t>MLB2894827501</t>
  </si>
  <si>
    <t>U798516706</t>
  </si>
  <si>
    <t>002</t>
  </si>
  <si>
    <t>Tampa Portinhola Focus Pintada Branco Ártico 2009 Até 2013</t>
  </si>
  <si>
    <t>Tampas de tanque de combustível para veículos</t>
  </si>
  <si>
    <t>203670403162681</t>
  </si>
  <si>
    <t>MLB2935746873</t>
  </si>
  <si>
    <t>U756403302</t>
  </si>
  <si>
    <t>Cebolão Interruptor Ventoinha Honda Fit 1.4 2003 2004 2005</t>
  </si>
  <si>
    <t>5073693456317867</t>
  </si>
  <si>
    <t>MLB3347878458</t>
  </si>
  <si>
    <t>U1127957558</t>
  </si>
  <si>
    <t>Caixa Bsm Peugeot 206, 207, 307 1.4 E 1.6 Citroen Original</t>
  </si>
  <si>
    <t>247207792442384</t>
  </si>
  <si>
    <t>MLB5394878926</t>
  </si>
  <si>
    <t>U3180800847</t>
  </si>
  <si>
    <t>256</t>
  </si>
  <si>
    <t>Pulverizador Espuma Agua P/ Mangueira Jardim Casa Deckas</t>
  </si>
  <si>
    <t>Verde E Preto</t>
  </si>
  <si>
    <t>Pulverizadores de jardim</t>
  </si>
  <si>
    <t>2421763815731326</t>
  </si>
  <si>
    <t>MLB2981545786</t>
  </si>
  <si>
    <t>U754048625</t>
  </si>
  <si>
    <t>59</t>
  </si>
  <si>
    <t>Sensor Tps Posição Borboleta Honda Civic 1992 93 94 A 2000</t>
  </si>
  <si>
    <t>Sensores TPS para veículos</t>
  </si>
  <si>
    <t>8929420423307792</t>
  </si>
  <si>
    <t>MLB4943054490</t>
  </si>
  <si>
    <t>U787579412</t>
  </si>
  <si>
    <t>Grade Honda City Preta 2015 2016 2017 Nova</t>
  </si>
  <si>
    <t>MLB3565994817</t>
  </si>
  <si>
    <t>Chave Interruptor Do Farol C/ Função Auto Vw Polo Jetta Golf</t>
  </si>
  <si>
    <t>Interruptores de faróis de milhas para veículos</t>
  </si>
  <si>
    <t>181415092145</t>
  </si>
  <si>
    <t>Luzes com farol de milha e neblina</t>
  </si>
  <si>
    <t>181415092147</t>
  </si>
  <si>
    <t>Luzes com farol de neblina</t>
  </si>
  <si>
    <t>3302712080511208</t>
  </si>
  <si>
    <t>MLB2928706612</t>
  </si>
  <si>
    <t>U1118744894</t>
  </si>
  <si>
    <t>Roda Livre Automática Nissan Frontier X-terra D22 Pickup</t>
  </si>
  <si>
    <t>8179304015133876</t>
  </si>
  <si>
    <t>MLB2785924487</t>
  </si>
  <si>
    <t>U1357964562</t>
  </si>
  <si>
    <t>241-1</t>
  </si>
  <si>
    <t>Suporte Celular Bmw Gs1200 1250 F850 Xr 1000 Por Indução</t>
  </si>
  <si>
    <t>7374858186584303</t>
  </si>
  <si>
    <t>MLB3343874347</t>
  </si>
  <si>
    <t>U758922231</t>
  </si>
  <si>
    <t>Tela Toque Touch Screen Citroen C4 Cactus Peugeot 208 2008</t>
  </si>
  <si>
    <t>1839361273090900</t>
  </si>
  <si>
    <t>MLB4179310894</t>
  </si>
  <si>
    <t>U2383075168</t>
  </si>
  <si>
    <t>428-K</t>
  </si>
  <si>
    <t>Par Guia Farol Dianteiro Hrv Hr-v 2015 2016 2017 2018 2019</t>
  </si>
  <si>
    <t>Suportes de para-choques para veículos</t>
  </si>
  <si>
    <t>8946789984147655</t>
  </si>
  <si>
    <t>MLB2935753005</t>
  </si>
  <si>
    <t>U1119672214</t>
  </si>
  <si>
    <t>Sensor Cebolão Radiador Honda Civic 1.7 2002 2003 2004 2005</t>
  </si>
  <si>
    <t>Sensores ECT para veículos</t>
  </si>
  <si>
    <t>7496612770262733</t>
  </si>
  <si>
    <t>MLB4397783000</t>
  </si>
  <si>
    <t>U2397326653</t>
  </si>
  <si>
    <t>273</t>
  </si>
  <si>
    <t>Botão Vidro Elétrico Motorista Ranger 2012 2013 2014 2015</t>
  </si>
  <si>
    <t>6728287106167375</t>
  </si>
  <si>
    <t>MLB2991949069</t>
  </si>
  <si>
    <t>U757071466</t>
  </si>
  <si>
    <t>Seta Retrovisor Sequencial Led Ford Focus Mk2mk3 2008 A 2018</t>
  </si>
  <si>
    <t>Dourado-escuro</t>
  </si>
  <si>
    <t>Lentes de lanternas de pisca para carros e caminhonetes</t>
  </si>
  <si>
    <t>MLB3660399513</t>
  </si>
  <si>
    <t>Mini Bomba D'agua 800 Litro/h 12v Para Fontes De Jardim</t>
  </si>
  <si>
    <t>180321406124</t>
  </si>
  <si>
    <t>180321406122</t>
  </si>
  <si>
    <t>4959522019011162</t>
  </si>
  <si>
    <t>MLB3124052019</t>
  </si>
  <si>
    <t>U1118022121</t>
  </si>
  <si>
    <t>81-K</t>
  </si>
  <si>
    <t>Original Lampada Xenon D4r Toyota Corolla Altis 2011 2012 13</t>
  </si>
  <si>
    <t>4723117741556303</t>
  </si>
  <si>
    <t>MLB3525625844</t>
  </si>
  <si>
    <t>U2277734476</t>
  </si>
  <si>
    <t>291-1</t>
  </si>
  <si>
    <t>Módulo Placa De Fusíveis Bateria Peugeot 3008 Citroen C4</t>
  </si>
  <si>
    <t>2784024306998830</t>
  </si>
  <si>
    <t>MLB2991925626</t>
  </si>
  <si>
    <t>U754062621</t>
  </si>
  <si>
    <t>Par Pisca Seta Sequencial Retrovisor Focus 2014 2015 2016</t>
  </si>
  <si>
    <t>Lanternas de pisca para veículos</t>
  </si>
  <si>
    <t>54242490923594</t>
  </si>
  <si>
    <t>MLB1985533200</t>
  </si>
  <si>
    <t>U744188643</t>
  </si>
  <si>
    <t>15-1</t>
  </si>
  <si>
    <t>Sensor De Detonação Tracker Suzuki Grand Vitara 2.0 16v</t>
  </si>
  <si>
    <t>Sensores de detonação para veículos</t>
  </si>
  <si>
    <t>8573024848175155</t>
  </si>
  <si>
    <t>MLB2068147397</t>
  </si>
  <si>
    <t>U1102507656</t>
  </si>
  <si>
    <t>82</t>
  </si>
  <si>
    <t>Lampada Xenon Original Toyota D4r Corolla 35w 12v 4300k 1un</t>
  </si>
  <si>
    <t>MLB2891885210</t>
  </si>
  <si>
    <t>Enxada Rotativa Para Roçadeira Stihl 360mm Grande</t>
  </si>
  <si>
    <t>178732412251</t>
  </si>
  <si>
    <t>175586774266</t>
  </si>
  <si>
    <t>175586774265</t>
  </si>
  <si>
    <t>178732412253</t>
  </si>
  <si>
    <t>182673049763</t>
  </si>
  <si>
    <t>182673660903</t>
  </si>
  <si>
    <t>MLB2996495099</t>
  </si>
  <si>
    <t>Amortecedor De Caçamba Tampa Traseira S10 Lt Ltz 2013 2022</t>
  </si>
  <si>
    <t>Amortecedores a gás para veículos</t>
  </si>
  <si>
    <t>175939984394</t>
  </si>
  <si>
    <t>189-2</t>
  </si>
  <si>
    <t>Esquerdo</t>
  </si>
  <si>
    <t>175939984395</t>
  </si>
  <si>
    <t>189-1</t>
  </si>
  <si>
    <t>Direito</t>
  </si>
  <si>
    <t>7139600136988559</t>
  </si>
  <si>
    <t>MLB2939965585</t>
  </si>
  <si>
    <t>U753401833</t>
  </si>
  <si>
    <t>169-K</t>
  </si>
  <si>
    <t>Válvula Bico Esportivo Pneu Moto 90 Graus Alumínio (par)</t>
  </si>
  <si>
    <t>Válvulas de pneus para veículos</t>
  </si>
  <si>
    <t>5600694487408805</t>
  </si>
  <si>
    <t>MLB3374294788</t>
  </si>
  <si>
    <t>U759621435</t>
  </si>
  <si>
    <t>Junta Anel Filtro Valvula Selenoide Vtec Honda Civic 1.6 1.7</t>
  </si>
  <si>
    <t>8518586461905504</t>
  </si>
  <si>
    <t>MLB4431690724</t>
  </si>
  <si>
    <t>U2396721249</t>
  </si>
  <si>
    <t>200</t>
  </si>
  <si>
    <t>Tela Display Lcd Painel Ford Focus Titanium Lq042t5dz14b</t>
  </si>
  <si>
    <t>Displays LCD</t>
  </si>
  <si>
    <t>7662147486652419</t>
  </si>
  <si>
    <t>MLB2103639726</t>
  </si>
  <si>
    <t>U1103252024</t>
  </si>
  <si>
    <t>344</t>
  </si>
  <si>
    <t>Roda Livre F250 2006 Até 2011 1c3z3b396cb</t>
  </si>
  <si>
    <t>Cubos de roda para carros e caminhonetes</t>
  </si>
  <si>
    <t>1839020324595212</t>
  </si>
  <si>
    <t>MLB3654137869</t>
  </si>
  <si>
    <t>U1145884485</t>
  </si>
  <si>
    <t>Esteira Alavanca Câmbio Tiptronic Jetta Bora Golf Mk4 Passat</t>
  </si>
  <si>
    <t>5059527780298053</t>
  </si>
  <si>
    <t>MLB1985747751</t>
  </si>
  <si>
    <t>U1096965211</t>
  </si>
  <si>
    <t>37</t>
  </si>
  <si>
    <t>Sensor De Velocidade Audi/vw A3/golf Cambio Automatico 01m</t>
  </si>
  <si>
    <t>Sensores de velocidade para veículos</t>
  </si>
  <si>
    <t>107865061245649</t>
  </si>
  <si>
    <t>MLB1984394218</t>
  </si>
  <si>
    <t>U744132471</t>
  </si>
  <si>
    <t>295</t>
  </si>
  <si>
    <t>Bomba De Vácuo Para Peugeot E Citroen Thp 1.6 16v Turbo 308</t>
  </si>
  <si>
    <t>534088157230998</t>
  </si>
  <si>
    <t>MLB3021620072</t>
  </si>
  <si>
    <t>U754044677</t>
  </si>
  <si>
    <t>Friso Da Grade Cromado Dianteira Civic 2017 2018 2019</t>
  </si>
  <si>
    <t>1580582266721907</t>
  </si>
  <si>
    <t>MLB3081508110</t>
  </si>
  <si>
    <t>U757892196</t>
  </si>
  <si>
    <t>Esgicho Espuma Pulverizador Agua P/ Mangueira Jardim Tanque</t>
  </si>
  <si>
    <t>Pistolas de irrigação para jardim</t>
  </si>
  <si>
    <t>5152034958070110</t>
  </si>
  <si>
    <t>MLB3958965489</t>
  </si>
  <si>
    <t>U2980405166</t>
  </si>
  <si>
    <t>Radiador De Arrefecimento Jac J3 1.4 1.5 12/18 Gasolina 8004</t>
  </si>
  <si>
    <t>1839840035252689</t>
  </si>
  <si>
    <t>MLB2676834764</t>
  </si>
  <si>
    <t>U753387540</t>
  </si>
  <si>
    <t>396</t>
  </si>
  <si>
    <t>Kit 100 Presilhas Grampos Fixadores Automotivos Acabamentos</t>
  </si>
  <si>
    <t>3925834112530965</t>
  </si>
  <si>
    <t>MLB2049037465</t>
  </si>
  <si>
    <t>U745574607</t>
  </si>
  <si>
    <t>Sensor Tps Posição Borboleta Honda Civic 96 97 98 99 00</t>
  </si>
  <si>
    <t>403398875582941</t>
  </si>
  <si>
    <t>MLB2059442581</t>
  </si>
  <si>
    <t>U748538222</t>
  </si>
  <si>
    <t>319</t>
  </si>
  <si>
    <t>Cilindro Atuador Hidráulico Meriva 2012 Easytronic G1d500201</t>
  </si>
  <si>
    <t>Cilindros escravos de embreagem para veículos</t>
  </si>
  <si>
    <t>MLB2891885208</t>
  </si>
  <si>
    <t>178732828019</t>
  </si>
  <si>
    <t>175586774264</t>
  </si>
  <si>
    <t>182673037603</t>
  </si>
  <si>
    <t>175586774263</t>
  </si>
  <si>
    <t>178732828021</t>
  </si>
  <si>
    <t>182672101691</t>
  </si>
  <si>
    <t>187459378693</t>
  </si>
  <si>
    <t>187459378695</t>
  </si>
  <si>
    <t>187459378697</t>
  </si>
  <si>
    <t>187459378699</t>
  </si>
  <si>
    <t>187459378701</t>
  </si>
  <si>
    <t>187459378703</t>
  </si>
  <si>
    <t>4814193190912153</t>
  </si>
  <si>
    <t>MLB2928702784</t>
  </si>
  <si>
    <t>U756404882</t>
  </si>
  <si>
    <t>Mangueira Filtro De Ar Nissan Sentra 2.0 16v 08/14</t>
  </si>
  <si>
    <t>8133504293409582</t>
  </si>
  <si>
    <t>MLB4057913998</t>
  </si>
  <si>
    <t>U1125624383</t>
  </si>
  <si>
    <t>Esguicho Prg Snow Foam Shampoozeira 1l Limpeza Veículo</t>
  </si>
  <si>
    <t>Shampoos para veículos</t>
  </si>
  <si>
    <t>1231006364065822</t>
  </si>
  <si>
    <t>MLB4103999719</t>
  </si>
  <si>
    <t>U3257961018</t>
  </si>
  <si>
    <t>310</t>
  </si>
  <si>
    <t>Medidor Fluxo Ar Maf Vitara E Tracker 1.6 E 2.0 16v Gasolina</t>
  </si>
  <si>
    <t>Sensores MAF para veículos</t>
  </si>
  <si>
    <t>8947178758785179</t>
  </si>
  <si>
    <t>MLB4362766994</t>
  </si>
  <si>
    <t>U1162331813</t>
  </si>
  <si>
    <t>Tranca Fechadura Tampa Traseira Hb20s Sedan 812301s210</t>
  </si>
  <si>
    <t>1929849465840610</t>
  </si>
  <si>
    <t>MLB3553306191</t>
  </si>
  <si>
    <t>U2284993140</t>
  </si>
  <si>
    <t>Suporte Celular Moto Gps Bmw R1200/r1250 Gs F 850 F 800</t>
  </si>
  <si>
    <t>5398637933456336</t>
  </si>
  <si>
    <t>MLB2929577668</t>
  </si>
  <si>
    <t>U753395457</t>
  </si>
  <si>
    <t>Acessorios Ponteira Escape Honda Civic Touring Turbo G10</t>
  </si>
  <si>
    <t>3509533956713401</t>
  </si>
  <si>
    <t>MLB2030860768</t>
  </si>
  <si>
    <t>U1101153820</t>
  </si>
  <si>
    <t>279</t>
  </si>
  <si>
    <t>Tubo Duto Entrada Filtro Ar Mercedes A200 Cla200 Gla200 B200</t>
  </si>
  <si>
    <t>5450749102370922</t>
  </si>
  <si>
    <t>MLB2931735593</t>
  </si>
  <si>
    <t>U753337999</t>
  </si>
  <si>
    <t>Sensor Pressão Flauta Common Rail Ranger Troller 3.0 Diesel</t>
  </si>
  <si>
    <t>6410134399710596</t>
  </si>
  <si>
    <t>MLB3079660599</t>
  </si>
  <si>
    <t>U757888492</t>
  </si>
  <si>
    <t>352</t>
  </si>
  <si>
    <t>Painel Botão Vidro Eletrico Sprinter 415 2017 2018 2019 2021</t>
  </si>
  <si>
    <t>3135200154860689</t>
  </si>
  <si>
    <t>MLB2935288462</t>
  </si>
  <si>
    <t>U756409936</t>
  </si>
  <si>
    <t>Bomba Combustivel Gasolina Honda Shadow Vt 600 1996 - 2005</t>
  </si>
  <si>
    <t>278641933638033</t>
  </si>
  <si>
    <t>MLB1991208688</t>
  </si>
  <si>
    <t>U747162840</t>
  </si>
  <si>
    <t>Junta Da Válvula Vtec Civic Ex 2001 A 2005 - 1.7</t>
  </si>
  <si>
    <t>8830912992124940</t>
  </si>
  <si>
    <t>MLB3557539233</t>
  </si>
  <si>
    <t>U765083937</t>
  </si>
  <si>
    <t>Ferramenta De Ativação Sensor Pressão Pneu Tpms Ford El50449</t>
  </si>
  <si>
    <t>5917906803298631</t>
  </si>
  <si>
    <t>MLB1986900888</t>
  </si>
  <si>
    <t>U1096932509</t>
  </si>
  <si>
    <t>Modulo Caixa Bsm B3 B5 Original Citroen Picasso C3 C5 C8</t>
  </si>
  <si>
    <t>1511979624283020</t>
  </si>
  <si>
    <t>MLB1985554370</t>
  </si>
  <si>
    <t>U744175045</t>
  </si>
  <si>
    <t>18</t>
  </si>
  <si>
    <t>Bomba Combustível P/ Ford Focus 2.0 16v Duratec 2009 Gasoli</t>
  </si>
  <si>
    <t>3322448174634994</t>
  </si>
  <si>
    <t>MLB1991264780</t>
  </si>
  <si>
    <t>U1100575108</t>
  </si>
  <si>
    <t>150</t>
  </si>
  <si>
    <t>Tampa Reservatório Agua Cruze Onix Spin Sonic Blazer S10</t>
  </si>
  <si>
    <t>Tampas de radiador para veículos</t>
  </si>
  <si>
    <t>5061438884258244</t>
  </si>
  <si>
    <t>MLB2027931977</t>
  </si>
  <si>
    <t>U745580111</t>
  </si>
  <si>
    <t>221</t>
  </si>
  <si>
    <t>Placa Lanterna Led Bmw X3 Queimada 2012 2013 2014 2015 2016</t>
  </si>
  <si>
    <t>Lanternas traseiras para carros e caminhonetes</t>
  </si>
  <si>
    <t>255202880940344</t>
  </si>
  <si>
    <t>MLB2933316403</t>
  </si>
  <si>
    <t>U756343478</t>
  </si>
  <si>
    <t>Sensor De Nível Ford Focus 2.0 Duratec 2008/2009 Gasolina</t>
  </si>
  <si>
    <t>5971058728232922</t>
  </si>
  <si>
    <t>MLB2121724318</t>
  </si>
  <si>
    <t>U1309041607</t>
  </si>
  <si>
    <t>222-1</t>
  </si>
  <si>
    <t>Pisca Seta Retrovisor Sonata Lado Direito Carona Original Es</t>
  </si>
  <si>
    <t>2338205111555096</t>
  </si>
  <si>
    <t>MLB4106425531</t>
  </si>
  <si>
    <t>U3256469743</t>
  </si>
  <si>
    <t>358</t>
  </si>
  <si>
    <t>Caneta Stylus Com Palm Rejection iPad 9 Geração 10.2 2021</t>
  </si>
  <si>
    <t>Canetas touch</t>
  </si>
  <si>
    <t>6568867965907520</t>
  </si>
  <si>
    <t>MLB1984448319</t>
  </si>
  <si>
    <t>U1100603472</t>
  </si>
  <si>
    <t>Válvula De Nível Do Banco Pneumático Volvo Fh/fm 20443641</t>
  </si>
  <si>
    <t>523837965285381</t>
  </si>
  <si>
    <t>MLB1984882492</t>
  </si>
  <si>
    <t>U1096958501</t>
  </si>
  <si>
    <t>Sensor Temperatura Cebolão Radiador Cb500 Hornet</t>
  </si>
  <si>
    <t>MLB2927075510</t>
  </si>
  <si>
    <t>Par Puxador Porta Dianteira Bmw 320i 328i F30 2013 2018</t>
  </si>
  <si>
    <t>Apoios de braço para carros e caminhonetes</t>
  </si>
  <si>
    <t>175706164016</t>
  </si>
  <si>
    <t>175706164015</t>
  </si>
  <si>
    <t>MLB3042535174</t>
  </si>
  <si>
    <t>U757073616</t>
  </si>
  <si>
    <t>15</t>
  </si>
  <si>
    <t>6373272885636016</t>
  </si>
  <si>
    <t>MLB2894843116</t>
  </si>
  <si>
    <t>U1115065807</t>
  </si>
  <si>
    <t>Cebolão Do Radiador Honda Shadow Cb 500 Hornet Cbr 600 900</t>
  </si>
  <si>
    <t>1915361871393100</t>
  </si>
  <si>
    <t>MLB2039775254</t>
  </si>
  <si>
    <t>U1097556917</t>
  </si>
  <si>
    <t>313</t>
  </si>
  <si>
    <t>Esteira Alavanca Do Câmbio Pajero Full Acabamento Manopla</t>
  </si>
  <si>
    <t>Alavancas e manoplas de regulagem de assentos para veículos</t>
  </si>
  <si>
    <t>6703502209619893</t>
  </si>
  <si>
    <t>MLB2041002449</t>
  </si>
  <si>
    <t>U745553115</t>
  </si>
  <si>
    <t>Botão Vidro Elétrico Sprinter 311/415/515 - Ld - Passageiro</t>
  </si>
  <si>
    <t>MLB2895026084</t>
  </si>
  <si>
    <t>U753406669</t>
  </si>
  <si>
    <t>Bomba Combustível Ford Focus 2.0 16v Duratec 08/09 Gasolina</t>
  </si>
  <si>
    <t>4422507611015189</t>
  </si>
  <si>
    <t>MLB2928808856</t>
  </si>
  <si>
    <t>U1118744026</t>
  </si>
  <si>
    <t>Roda Livre Automática Nissan Frontier Xterra D22 Pick Up</t>
  </si>
  <si>
    <t>MLB3285225831</t>
  </si>
  <si>
    <t>181885705055</t>
  </si>
  <si>
    <t>177390742114</t>
  </si>
  <si>
    <t>177390742116</t>
  </si>
  <si>
    <t>4076482954245973</t>
  </si>
  <si>
    <t>MLB1987841102</t>
  </si>
  <si>
    <t>U1096962219</t>
  </si>
  <si>
    <t>Manopla Cambio Automatico Ford Focus Fiesta 05-12</t>
  </si>
  <si>
    <t>5809648797118675</t>
  </si>
  <si>
    <t>MLB2139730005</t>
  </si>
  <si>
    <t>U1315447684</t>
  </si>
  <si>
    <t>369</t>
  </si>
  <si>
    <t>Tubo Bypass Bomba De Agua Grand Cherokee 3.0 V6 Diesel 2015</t>
  </si>
  <si>
    <t>1127403582817448</t>
  </si>
  <si>
    <t>MLB3269880568</t>
  </si>
  <si>
    <t>U760215980</t>
  </si>
  <si>
    <t>Radiador Motor Arrefecimento Jac J3 1.4 1.5 12a18  G-8004</t>
  </si>
  <si>
    <t>1420256872286334</t>
  </si>
  <si>
    <t>MLB1990048537</t>
  </si>
  <si>
    <t>U1292569150</t>
  </si>
  <si>
    <t>116</t>
  </si>
  <si>
    <t>Mangueira Retorno Reservatóri Água Cruze Tracker 2012 À 2016</t>
  </si>
  <si>
    <t>1155972439857012</t>
  </si>
  <si>
    <t>MLB2665578070</t>
  </si>
  <si>
    <t>U1340574588</t>
  </si>
  <si>
    <t>405</t>
  </si>
  <si>
    <t>Botão Vidro Eletrico S10 Nova 2012 2013 2014 2015 94728492</t>
  </si>
  <si>
    <t>1355116591771595</t>
  </si>
  <si>
    <t>MLB4184011272</t>
  </si>
  <si>
    <t>U1158707615</t>
  </si>
  <si>
    <t>430</t>
  </si>
  <si>
    <t>Grade Dianteira Corolla 2015 2016 2017 Cromada Sem Emblema</t>
  </si>
  <si>
    <t>721976596697424</t>
  </si>
  <si>
    <t>MLB2079332047</t>
  </si>
  <si>
    <t>U796987172</t>
  </si>
  <si>
    <t>341</t>
  </si>
  <si>
    <t>Filtro Combustivel Bmw X1 X3 118 320 120 318 16127233840</t>
  </si>
  <si>
    <t>Filtros de combustível para veículos</t>
  </si>
  <si>
    <t>MLB2996495088</t>
  </si>
  <si>
    <t>Amortecedor Mola Gás Tampa Caçamba Ranger S10 Hilux Nissan</t>
  </si>
  <si>
    <t>175939984306</t>
  </si>
  <si>
    <t>175939984307</t>
  </si>
  <si>
    <t>6531363086361565</t>
  </si>
  <si>
    <t>MLB3381044631</t>
  </si>
  <si>
    <t>U1125844877</t>
  </si>
  <si>
    <t>Manopla Cambio Automatico Ford Focus 2009 A 2013</t>
  </si>
  <si>
    <t>793618943072491</t>
  </si>
  <si>
    <t>MLB4333551086</t>
  </si>
  <si>
    <t>U778525064</t>
  </si>
  <si>
    <t>Sensor Detonação Tracker Suzuki 18640-78g00 Vitara Sx4</t>
  </si>
  <si>
    <t>1477072048553263</t>
  </si>
  <si>
    <t>MLB4481253760</t>
  </si>
  <si>
    <t>U1167403148</t>
  </si>
  <si>
    <t>Jogo 2 Lâmpada Xenon Farol Corolla Seg Altis D4r 6000k Toyot</t>
  </si>
  <si>
    <t>8259175283682950</t>
  </si>
  <si>
    <t>MLB2049089564</t>
  </si>
  <si>
    <t>U745545881</t>
  </si>
  <si>
    <t>Sensor Tps Posição Borboleta Honda Civic 92 93 94 95 96 4376</t>
  </si>
  <si>
    <t>8808439534448690</t>
  </si>
  <si>
    <t>MLB2026788344</t>
  </si>
  <si>
    <t>U745567515</t>
  </si>
  <si>
    <t>71</t>
  </si>
  <si>
    <t>Manopla Alavanca Manete Freio De Mao Honda New Civic</t>
  </si>
  <si>
    <t>Alavancas de freio de mão para veículos</t>
  </si>
  <si>
    <t>4324810797845274</t>
  </si>
  <si>
    <t>MLB2798849114</t>
  </si>
  <si>
    <t>U1116455354</t>
  </si>
  <si>
    <t>Mangueira Filtro Ar Tbi Honda Civic 2012-2016 2.0</t>
  </si>
  <si>
    <t>3166442466154374</t>
  </si>
  <si>
    <t>MLB2068200150</t>
  </si>
  <si>
    <t>U1098866415</t>
  </si>
  <si>
    <t>82-K</t>
  </si>
  <si>
    <t>Lampada Xenon D4r 35w 4300k Corolla Camry Hilux Subaro 2un</t>
  </si>
  <si>
    <t>927003900604073</t>
  </si>
  <si>
    <t>MLB3243118011</t>
  </si>
  <si>
    <t>U1123713066</t>
  </si>
  <si>
    <t>Roda Livre Automática Ford F250 F350 F450 F550 Super Duty 4w</t>
  </si>
  <si>
    <t>860146161600477</t>
  </si>
  <si>
    <t>MLB2929577661</t>
  </si>
  <si>
    <t>U753328763</t>
  </si>
  <si>
    <t>Acessorios Ponteira Inox Civic G10 2017 2018 2020 Geração 10</t>
  </si>
  <si>
    <t>MLB2997016830</t>
  </si>
  <si>
    <t>Amortecedor Tampa Caçamba Traseira Ford Ranger 2013 À 2023</t>
  </si>
  <si>
    <t>175940044454</t>
  </si>
  <si>
    <t>175940044455</t>
  </si>
  <si>
    <t>6419716801877891</t>
  </si>
  <si>
    <t>MLB4165369732</t>
  </si>
  <si>
    <t>U787154952</t>
  </si>
  <si>
    <t>251</t>
  </si>
  <si>
    <t>Bico Aspersor Irrigação Jardim Metal Latão 1/2 Ajustável</t>
  </si>
  <si>
    <t>Aspersores para irrigação</t>
  </si>
  <si>
    <t>577096976684091</t>
  </si>
  <si>
    <t>MLB1754398068</t>
  </si>
  <si>
    <t>U735675702</t>
  </si>
  <si>
    <t>Manopla Câmbio Automático Peugeot 307 Citroen C4 Pallas</t>
  </si>
  <si>
    <t>8600387199947871</t>
  </si>
  <si>
    <t>MLB1984903133</t>
  </si>
  <si>
    <t>U747099920</t>
  </si>
  <si>
    <t>Sensor Pressão Flauta Turbo Ford Ranger 3.0 Troller T4</t>
  </si>
  <si>
    <t>3108804516730055</t>
  </si>
  <si>
    <t>MLB3021620083</t>
  </si>
  <si>
    <t>U754073217</t>
  </si>
  <si>
    <t>Aplique Friso Cromado Grade Dianteira Civic 2017 2018 2019</t>
  </si>
  <si>
    <t>MLB3988605943</t>
  </si>
  <si>
    <t>Receptor Adaptador Carregador Universal Indução Wireless Qi</t>
  </si>
  <si>
    <t>Receptores de carga sem fios</t>
  </si>
  <si>
    <t>183013270600</t>
  </si>
  <si>
    <t>364-1</t>
  </si>
  <si>
    <t>Type-A</t>
  </si>
  <si>
    <t>183013270598</t>
  </si>
  <si>
    <t>364-2</t>
  </si>
  <si>
    <t>Type-B</t>
  </si>
  <si>
    <t>183013270602</t>
  </si>
  <si>
    <t>364-4</t>
  </si>
  <si>
    <t>iPhone</t>
  </si>
  <si>
    <t>183013270604</t>
  </si>
  <si>
    <t>364-3</t>
  </si>
  <si>
    <t>Type-C</t>
  </si>
  <si>
    <t>5561296986303722</t>
  </si>
  <si>
    <t>MLB1987804809</t>
  </si>
  <si>
    <t>U1096885291</t>
  </si>
  <si>
    <t>Sensor Pressão Do Pneu Tpms Gm Captiva Camaro Malibu</t>
  </si>
  <si>
    <t>579864357145716</t>
  </si>
  <si>
    <t>MLB2155528272</t>
  </si>
  <si>
    <t>U750843808</t>
  </si>
  <si>
    <t>141</t>
  </si>
  <si>
    <t>Adaptador Hub Rede Rj45 2usb-c Hdmi Macbookpro 2016/17/18</t>
  </si>
  <si>
    <t>Hubs USB</t>
  </si>
  <si>
    <t>4502180729814586</t>
  </si>
  <si>
    <t>MLB2895044652</t>
  </si>
  <si>
    <t>U795363075</t>
  </si>
  <si>
    <t>Bomba De Combustível Ford Focus 2.0 16v Duratec 2009</t>
  </si>
  <si>
    <t>7856394245031014</t>
  </si>
  <si>
    <t>MLB2988892377</t>
  </si>
  <si>
    <t>U1367779316</t>
  </si>
  <si>
    <t>134</t>
  </si>
  <si>
    <t>Mangueira De Retorno Dos Bicos Sprinter 311 - 415 - 515</t>
  </si>
  <si>
    <t>Canos de injetores para veículos</t>
  </si>
  <si>
    <t>8678959722428235</t>
  </si>
  <si>
    <t>MLB3377290785</t>
  </si>
  <si>
    <t>U1101744054</t>
  </si>
  <si>
    <t>8359223713909756</t>
  </si>
  <si>
    <t>MLB2027888744</t>
  </si>
  <si>
    <t>U748559088</t>
  </si>
  <si>
    <t>203</t>
  </si>
  <si>
    <t>Valvula Reguladora Sprinter 415 515 311 Original A6510740084</t>
  </si>
  <si>
    <t>Reguladores de pressão de combustível para veículos</t>
  </si>
  <si>
    <t>121875325571278</t>
  </si>
  <si>
    <t>MLB2070880558</t>
  </si>
  <si>
    <t>U1301148995</t>
  </si>
  <si>
    <t>250-2</t>
  </si>
  <si>
    <t>Tampa Esguicho Lavador Farol Esquerdo Azera 2012 A 2014</t>
  </si>
  <si>
    <t>Preto Esquerdo</t>
  </si>
  <si>
    <t>Emblemas para veículos</t>
  </si>
  <si>
    <t>3517246703954577</t>
  </si>
  <si>
    <t>MLB2029606011</t>
  </si>
  <si>
    <t>U1101182314</t>
  </si>
  <si>
    <t>Esteira Do Câmbio Automático Jetta Bora Polo Mk4 Tiptronic</t>
  </si>
  <si>
    <t>4056166695903200</t>
  </si>
  <si>
    <t>MLB3556439077</t>
  </si>
  <si>
    <t>U1141883048</t>
  </si>
  <si>
    <t>Sensor De Rotação Câmbio Automático A3 Golf Bora 01m9027321b</t>
  </si>
  <si>
    <t>Sensores de rotação do virabrequim para veículos</t>
  </si>
  <si>
    <t>3352618004666232</t>
  </si>
  <si>
    <t>MLB1985744707</t>
  </si>
  <si>
    <t>U744134403</t>
  </si>
  <si>
    <t>35</t>
  </si>
  <si>
    <t>Sensor Direção Hidráulica Citroen Peugeot 206 207 Original</t>
  </si>
  <si>
    <t>Mangueiras de direção hidráulica para veículos</t>
  </si>
  <si>
    <t>3359579061418902</t>
  </si>
  <si>
    <t>MLB2064402995</t>
  </si>
  <si>
    <t>U1303660294</t>
  </si>
  <si>
    <t>252-2</t>
  </si>
  <si>
    <t>Tampa Lavador Esguicho Farol Esquerdo Focus 2014 A 2015</t>
  </si>
  <si>
    <t>4468135464949758</t>
  </si>
  <si>
    <t>MLB2068135950</t>
  </si>
  <si>
    <t>U745580097</t>
  </si>
  <si>
    <t>327</t>
  </si>
  <si>
    <t>Flange De Água Cabeçote Alumínio Jetta Passat Tiguan 2.0 Tsi</t>
  </si>
  <si>
    <t>Carcaças de válvulas termostáticas para veículos</t>
  </si>
  <si>
    <t>MLB2136951134</t>
  </si>
  <si>
    <t>Receptor Adaptador Qi Carregador Universal Indução Wireless</t>
  </si>
  <si>
    <t>174083931070</t>
  </si>
  <si>
    <t>Iphone</t>
  </si>
  <si>
    <t>174083931069</t>
  </si>
  <si>
    <t>Type-c</t>
  </si>
  <si>
    <t>174083931068</t>
  </si>
  <si>
    <t>174083931067</t>
  </si>
  <si>
    <t>MLB3607193023</t>
  </si>
  <si>
    <t>434</t>
  </si>
  <si>
    <t>Guia Farol Dianteiro Dianteiro Hrv Hr-v 2015 2016 17 Á 2019</t>
  </si>
  <si>
    <t>179912129230</t>
  </si>
  <si>
    <t>428-1</t>
  </si>
  <si>
    <t>179912129232</t>
  </si>
  <si>
    <t>428-2</t>
  </si>
  <si>
    <t>MLB1978142239</t>
  </si>
  <si>
    <t>174156654189</t>
  </si>
  <si>
    <t>174156654188</t>
  </si>
  <si>
    <t>2831223717193539</t>
  </si>
  <si>
    <t>MLB2926088479</t>
  </si>
  <si>
    <t>U1361622943</t>
  </si>
  <si>
    <t>280</t>
  </si>
  <si>
    <t>Retentor Do Comando De Válvulas Cruze Sonic Tracker 1.6/1.8</t>
  </si>
  <si>
    <t>Retentores para veículos</t>
  </si>
  <si>
    <t>5196156369428893</t>
  </si>
  <si>
    <t>MLB2986034942</t>
  </si>
  <si>
    <t>U1119518096</t>
  </si>
  <si>
    <t>Par Lampada Xenon Corolla D4r 35w 4300k Altis Seg Original</t>
  </si>
  <si>
    <t>MLB4644705176</t>
  </si>
  <si>
    <t>Adaptador Luva Roçadeira Cardam Stihl Quadrado 5,5mm Ou 6mm.</t>
  </si>
  <si>
    <t>Ferramentas e artigos de construção</t>
  </si>
  <si>
    <t>182629045067</t>
  </si>
  <si>
    <t>436-2</t>
  </si>
  <si>
    <t>7 estrias</t>
  </si>
  <si>
    <t>182629045063</t>
  </si>
  <si>
    <t>436-4</t>
  </si>
  <si>
    <t>5.5MM QUADRADO</t>
  </si>
  <si>
    <t>182629045065</t>
  </si>
  <si>
    <t>436-3</t>
  </si>
  <si>
    <t>6MM QUADRADO</t>
  </si>
  <si>
    <t>182629045069</t>
  </si>
  <si>
    <t>436-1</t>
  </si>
  <si>
    <t>9 Estrias</t>
  </si>
  <si>
    <t>4144135839417382</t>
  </si>
  <si>
    <t>MLB3680635594</t>
  </si>
  <si>
    <t>U1150120392</t>
  </si>
  <si>
    <t>Par Lampada Xenon Corolla D4r 35w Altis Seg Original 6000k</t>
  </si>
  <si>
    <t>361957657129363</t>
  </si>
  <si>
    <t>MLB3524022099</t>
  </si>
  <si>
    <t>U1139332992</t>
  </si>
  <si>
    <t>232-2</t>
  </si>
  <si>
    <t>Par Puxador Porta Traseira Bmw 320i 328i 335i 2013 A 2018</t>
  </si>
  <si>
    <t>1805589599766810</t>
  </si>
  <si>
    <t>MLB3269670502</t>
  </si>
  <si>
    <t>U757164101</t>
  </si>
  <si>
    <t>8899708136995961</t>
  </si>
  <si>
    <t>MLB1988981254</t>
  </si>
  <si>
    <t>U1288699811</t>
  </si>
  <si>
    <t>107-1</t>
  </si>
  <si>
    <t>Manopla Bola Câmbio Manual 6 Amarok 2011 2012 2013 2014 2015</t>
  </si>
  <si>
    <t>8982477850805503</t>
  </si>
  <si>
    <t>MLB2064402990</t>
  </si>
  <si>
    <t>U1303660356</t>
  </si>
  <si>
    <t>252-1</t>
  </si>
  <si>
    <t>Tampa Lavador Esguicho Farol Direito Focus 2014 A 2015</t>
  </si>
  <si>
    <t>Preto Direito</t>
  </si>
  <si>
    <t>MLB2136935860</t>
  </si>
  <si>
    <t>Adaptador Sem Fio Wireless Qi Indução Receptor Universal</t>
  </si>
  <si>
    <t>174083905732</t>
  </si>
  <si>
    <t>174083905733</t>
  </si>
  <si>
    <t>174083905734</t>
  </si>
  <si>
    <t>174083905735</t>
  </si>
  <si>
    <t>MLB2041010779</t>
  </si>
  <si>
    <t>Peças náuticas</t>
  </si>
  <si>
    <t>175707168334</t>
  </si>
  <si>
    <t>174799811151</t>
  </si>
  <si>
    <t>6130465857061838</t>
  </si>
  <si>
    <t>MLB3021577712</t>
  </si>
  <si>
    <t>U754079951</t>
  </si>
  <si>
    <t>Grades de faróis de milha para carros e caminhonetes</t>
  </si>
  <si>
    <t>540584982215007</t>
  </si>
  <si>
    <t>MLB2127160487</t>
  </si>
  <si>
    <t>U1100471307</t>
  </si>
  <si>
    <t>357</t>
  </si>
  <si>
    <t xml:space="preserve">Super Broca Perfurador Solo Terra Jardim Espiral De Metal </t>
  </si>
  <si>
    <t>Brocas</t>
  </si>
  <si>
    <t>5197788320206819</t>
  </si>
  <si>
    <t>MLB1988959579</t>
  </si>
  <si>
    <t>U747169164</t>
  </si>
  <si>
    <t>105</t>
  </si>
  <si>
    <t>Boia Sensor Nivel Combustível Honda Crv 2007 A 2011 Gasolina</t>
  </si>
  <si>
    <t>MLB2055821664</t>
  </si>
  <si>
    <t>Par Puxador Porta Dianteira Bmw 320i 328i F30 2013-2017</t>
  </si>
  <si>
    <t>174126168319</t>
  </si>
  <si>
    <t>174032895946</t>
  </si>
  <si>
    <t>6793971180195816</t>
  </si>
  <si>
    <t>MLB2661398753</t>
  </si>
  <si>
    <t>U752817566</t>
  </si>
  <si>
    <t>398</t>
  </si>
  <si>
    <t>Comando Botão Vidro Motorista P/ Fluence 2012 2013 2014 2016</t>
  </si>
  <si>
    <t>1633044711858379</t>
  </si>
  <si>
    <t>MLB3999326941</t>
  </si>
  <si>
    <t>U3063975992</t>
  </si>
  <si>
    <t>451-K</t>
  </si>
  <si>
    <t>Par Bandeja Fusion Dianteira 2.0/2.5 16v/3.0 2013 Até 2018</t>
  </si>
  <si>
    <t>Bandejas de suspensão para carros e caminhonetes</t>
  </si>
  <si>
    <t>4015780027386132</t>
  </si>
  <si>
    <t>MLB4939545646</t>
  </si>
  <si>
    <t>U784390759</t>
  </si>
  <si>
    <t>Par Bandeja Dianteira Fusion 2013 2014 2015 2016 2017 Kit</t>
  </si>
  <si>
    <t>6120527745659892</t>
  </si>
  <si>
    <t>MLB2087066503</t>
  </si>
  <si>
    <t>U746758135</t>
  </si>
  <si>
    <t>343</t>
  </si>
  <si>
    <t>Boia Nivel Sensor Medidor Tanque Pajero Full - Mr342870</t>
  </si>
  <si>
    <t>4758053951596820</t>
  </si>
  <si>
    <t>MLB2131178655</t>
  </si>
  <si>
    <t>U1313866618</t>
  </si>
  <si>
    <t>363</t>
  </si>
  <si>
    <t>Par Comando Botão Som Volante Pajero Dakar L200 Triton Asx</t>
  </si>
  <si>
    <t>MLB2676804176</t>
  </si>
  <si>
    <t>U753393892</t>
  </si>
  <si>
    <t>6442643194956012</t>
  </si>
  <si>
    <t>MLB3243093717</t>
  </si>
  <si>
    <t>U1123569856</t>
  </si>
  <si>
    <t>Roda Livre Ford F250 F350 F450 F550 4x4 Dianteira 4wd</t>
  </si>
  <si>
    <t>6326849753600878</t>
  </si>
  <si>
    <t>MLB1985536370</t>
  </si>
  <si>
    <t>U744177033</t>
  </si>
  <si>
    <t>Sensor Detonação Tracker Vitara 2.0 16v Gasolina 99 À 2019</t>
  </si>
  <si>
    <t>72559607999591</t>
  </si>
  <si>
    <t>MLB2028235586</t>
  </si>
  <si>
    <t>U745553189</t>
  </si>
  <si>
    <t>228</t>
  </si>
  <si>
    <t>Farol Lanterna Fita Led Traseira Pisca Moto Custom Harley</t>
  </si>
  <si>
    <t>4998317988022493</t>
  </si>
  <si>
    <t>MLB2985989720</t>
  </si>
  <si>
    <t>U1119670266</t>
  </si>
  <si>
    <t>Par Lampada Xenon Corolla D4r 35w Altis Seg Original Toyota</t>
  </si>
  <si>
    <t>3315298182488109</t>
  </si>
  <si>
    <t>MLB1961852000</t>
  </si>
  <si>
    <t>U1287551588</t>
  </si>
  <si>
    <t>Retentor Do Comando De Valvulas Cruze 2012/2016 55563374</t>
  </si>
  <si>
    <t>6609725418301486</t>
  </si>
  <si>
    <t>MLB2087277360</t>
  </si>
  <si>
    <t>U1102512686</t>
  </si>
  <si>
    <t>Lampada Xenon D4r 35w 6000k Corolla Camry Hilux Subar 1un</t>
  </si>
  <si>
    <t>6295280989237539</t>
  </si>
  <si>
    <t>MLB1971107441</t>
  </si>
  <si>
    <t>U1285035905</t>
  </si>
  <si>
    <t>Comando Botão Vidro Eletrico Ford Ranger 2012 2013 2014 2015</t>
  </si>
  <si>
    <t>MLB2662070649</t>
  </si>
  <si>
    <t>U749822545</t>
  </si>
  <si>
    <t>1842761937938670</t>
  </si>
  <si>
    <t>MLB2674693047</t>
  </si>
  <si>
    <t>U1342903952</t>
  </si>
  <si>
    <t>406</t>
  </si>
  <si>
    <t>Tampa Combustível Kawasaki Z750 Z800 Z1000 Vulcan Versys</t>
  </si>
  <si>
    <t>Tampas de tanques de gasolina para motos</t>
  </si>
  <si>
    <t>MLB4644655270</t>
  </si>
  <si>
    <t>Adaptador Luva Roçadeira Cardam Stihl Stihl Fs160/220/280</t>
  </si>
  <si>
    <t>180398001758</t>
  </si>
  <si>
    <t>180398001754</t>
  </si>
  <si>
    <t>180398001756</t>
  </si>
  <si>
    <t>180398001760</t>
  </si>
  <si>
    <t>MLB2177030246</t>
  </si>
  <si>
    <t>Luz Subaquática Submarina 27 Led's 12v Barcos Lanchas Iates</t>
  </si>
  <si>
    <t>174201265528</t>
  </si>
  <si>
    <t>377-2</t>
  </si>
  <si>
    <t>174201265529</t>
  </si>
  <si>
    <t>377-4</t>
  </si>
  <si>
    <t>MLB2926358623</t>
  </si>
  <si>
    <t>Receptor Carregador Adaptador Sem Fio Wireless Qi Indução Nf</t>
  </si>
  <si>
    <t>175704655857</t>
  </si>
  <si>
    <t>175704655858</t>
  </si>
  <si>
    <t>175704655859</t>
  </si>
  <si>
    <t>175704655860</t>
  </si>
  <si>
    <t>64517304937790</t>
  </si>
  <si>
    <t>MLB2988887230</t>
  </si>
  <si>
    <t>U1367742600</t>
  </si>
  <si>
    <t>Mangueira Retorno Diesel Bico Injetor Sprinter 311 415 515</t>
  </si>
  <si>
    <t>6808983230629969</t>
  </si>
  <si>
    <t>MLB1986900887</t>
  </si>
  <si>
    <t>U1102220375</t>
  </si>
  <si>
    <t>Caixa Fusível Módulo Bsm B3 B5 Citroen C3 6500y1 Original</t>
  </si>
  <si>
    <t>MLB2180006875</t>
  </si>
  <si>
    <t>U1102489943</t>
  </si>
  <si>
    <t>1922383098758845</t>
  </si>
  <si>
    <t>MLB3557326171</t>
  </si>
  <si>
    <t>U1138198129</t>
  </si>
  <si>
    <t>61</t>
  </si>
  <si>
    <t>Suporte Tampa Tanque Ford Focus 2009 Á 2019</t>
  </si>
  <si>
    <t>5005788696362414</t>
  </si>
  <si>
    <t>MLB4848986660</t>
  </si>
  <si>
    <t>U2767866924</t>
  </si>
  <si>
    <t>280-K</t>
  </si>
  <si>
    <t>Par Retentor Comando Válvulas Cruze Sonic Tracker 55563374</t>
  </si>
  <si>
    <t>5261593932396025</t>
  </si>
  <si>
    <t>MLB4659830906</t>
  </si>
  <si>
    <t>U781514278</t>
  </si>
  <si>
    <t>Bomba Combustivel Gasolina Honda Shadow Vt 600 1996 À 2005</t>
  </si>
  <si>
    <t>MLB3298372667</t>
  </si>
  <si>
    <t>U1386935537</t>
  </si>
  <si>
    <t>MLB3728618216</t>
  </si>
  <si>
    <t>Adaptador Receptor Carregador Indução Wireless Micro Usb</t>
  </si>
  <si>
    <t>178702234769</t>
  </si>
  <si>
    <t>178702234771</t>
  </si>
  <si>
    <t>178702234773</t>
  </si>
  <si>
    <t>178702234775</t>
  </si>
  <si>
    <t>3739329622051497</t>
  </si>
  <si>
    <t>MLB4498882640</t>
  </si>
  <si>
    <t>U2717093609</t>
  </si>
  <si>
    <t>Par Comando Botão Volante Pajero Dakar L200 Triton Asx Full</t>
  </si>
  <si>
    <t>8176557632505238</t>
  </si>
  <si>
    <t>MLB2000725808</t>
  </si>
  <si>
    <t>U1100529220</t>
  </si>
  <si>
    <t>190</t>
  </si>
  <si>
    <t>Reservatório Carvão Ativo Canister Jetta 2.0 Audi Tfsi</t>
  </si>
  <si>
    <t>Sensores de pressão de óleo de motor para veículos</t>
  </si>
  <si>
    <t>2465326125671552</t>
  </si>
  <si>
    <t>MLB2696135528</t>
  </si>
  <si>
    <t>U750388601</t>
  </si>
  <si>
    <t xml:space="preserve">Mangueira Do Intercooler À Turbina Frontier 190cv Ano 2013/ </t>
  </si>
  <si>
    <t>5769532629614001</t>
  </si>
  <si>
    <t>MLB3502691741</t>
  </si>
  <si>
    <t>U762762191</t>
  </si>
  <si>
    <t>Grade Toyota Corolla 2015 2016 2017 Cromada</t>
  </si>
  <si>
    <t>1959394767003220</t>
  </si>
  <si>
    <t>MLB3790875155</t>
  </si>
  <si>
    <t>U773956004</t>
  </si>
  <si>
    <t>450</t>
  </si>
  <si>
    <t>Bomba De Direção Hidráulica Peugeot 206 / 207</t>
  </si>
  <si>
    <t>Bombas hidráulicas para veículos</t>
  </si>
  <si>
    <t>5998369742492697</t>
  </si>
  <si>
    <t>MLB1961850617</t>
  </si>
  <si>
    <t>U1287396488</t>
  </si>
  <si>
    <t>Retentor Do Comando Válvulas Cruze Sonic Tracker 2012 A 2016</t>
  </si>
  <si>
    <t>5702487579206405</t>
  </si>
  <si>
    <t>MLB3336927641</t>
  </si>
  <si>
    <t>U758936641</t>
  </si>
  <si>
    <t>Hub Usb-c 8 Em 1 Com Hdmi 4k E Rj45 Para Macbook Pro Dell</t>
  </si>
  <si>
    <t>8309140770519958</t>
  </si>
  <si>
    <t>MLB3565129843</t>
  </si>
  <si>
    <t>U768918064</t>
  </si>
  <si>
    <t>Válvula Morcego Regulagem Banco Isri Nts Scania/volvo/mmb</t>
  </si>
  <si>
    <t>MLB3675268379</t>
  </si>
  <si>
    <t>182628255033</t>
  </si>
  <si>
    <t>180396554824</t>
  </si>
  <si>
    <t>180396554826</t>
  </si>
  <si>
    <t>182628255035</t>
  </si>
  <si>
    <t>2991891683826211</t>
  </si>
  <si>
    <t>MLB3737462448</t>
  </si>
  <si>
    <t>U768111591</t>
  </si>
  <si>
    <t>324</t>
  </si>
  <si>
    <t xml:space="preserve">Tampa Filtro Ar Condicionado Fusca Tsi Jetta Passat Tiguan </t>
  </si>
  <si>
    <t>Difusores de ar condicionado para veículos</t>
  </si>
  <si>
    <t>5578982661112961</t>
  </si>
  <si>
    <t>MLB1988966684</t>
  </si>
  <si>
    <t>U744123117</t>
  </si>
  <si>
    <t>Manopla Gol / Voyage / Saveiro G5 E G6 Original Vw</t>
  </si>
  <si>
    <t>6562893998816295</t>
  </si>
  <si>
    <t>MLB2031818180</t>
  </si>
  <si>
    <t>U1097553767</t>
  </si>
  <si>
    <t>312</t>
  </si>
  <si>
    <t>Esteira Do Câmbio Automático Peugeot 307 E Citroen C4</t>
  </si>
  <si>
    <t>1499365419589229</t>
  </si>
  <si>
    <t>MLB3151181904</t>
  </si>
  <si>
    <t>U1375843886</t>
  </si>
  <si>
    <t>Adaptador Gps Suporte Celular Moto Bmw 1200 1250 R1200 R1250</t>
  </si>
  <si>
    <t>8956918668203039</t>
  </si>
  <si>
    <t>MLB2665560176</t>
  </si>
  <si>
    <t>U1336662345</t>
  </si>
  <si>
    <t>Comando Botão Vidro Elétrico S10 2012 2013 20142015 94728492</t>
  </si>
  <si>
    <t>MLB2674654660</t>
  </si>
  <si>
    <t>U1338633153</t>
  </si>
  <si>
    <t>MLB2939608866</t>
  </si>
  <si>
    <t>U1366149266</t>
  </si>
  <si>
    <t>4000785958633901</t>
  </si>
  <si>
    <t>MLB3151206855</t>
  </si>
  <si>
    <t>U1374803820</t>
  </si>
  <si>
    <t>Suporte Adaptador Celular Gps Para Bmw R 1250 R 1200 Gs</t>
  </si>
  <si>
    <t>6077848133486269</t>
  </si>
  <si>
    <t>MLB1988792599</t>
  </si>
  <si>
    <t>U1096883841</t>
  </si>
  <si>
    <t>70-K</t>
  </si>
  <si>
    <t>Par De Roda Livre Automatica Original Frontier 402601s700</t>
  </si>
  <si>
    <t>5248971780380699</t>
  </si>
  <si>
    <t>MLB1754398071</t>
  </si>
  <si>
    <t>U732782041</t>
  </si>
  <si>
    <t>Manopla Câmbio Automático Citroen C4 Pallas 2010-2013</t>
  </si>
  <si>
    <t>4724840833244279</t>
  </si>
  <si>
    <t>MLB1960417346</t>
  </si>
  <si>
    <t>U1096269003</t>
  </si>
  <si>
    <t>278</t>
  </si>
  <si>
    <t>Mangueira De Entrada De Ar Mercedes A200 B200 Cla E Gla</t>
  </si>
  <si>
    <t>3956972128073838</t>
  </si>
  <si>
    <t>MLB1961932123</t>
  </si>
  <si>
    <t>U1287443748</t>
  </si>
  <si>
    <t>276</t>
  </si>
  <si>
    <t>Comando Botões Vidro Elétrico Motorista Sorento 2 Auto</t>
  </si>
  <si>
    <t>8810857926925326</t>
  </si>
  <si>
    <t>MLB2674699533</t>
  </si>
  <si>
    <t>U1342528911</t>
  </si>
  <si>
    <t>Tampa De Combustivel Do Tanque De Kavasaki Z100 Er6n Versus</t>
  </si>
  <si>
    <t>Preto E Prata</t>
  </si>
  <si>
    <t>2044054230480024</t>
  </si>
  <si>
    <t>MLB3081705456</t>
  </si>
  <si>
    <t>U754873133</t>
  </si>
  <si>
    <t>Esguicho Ducha Banho Cavalo Cachorro Gatos Carro Pet Plantas</t>
  </si>
  <si>
    <t>8856374661145193</t>
  </si>
  <si>
    <t>MLB1984892935</t>
  </si>
  <si>
    <t>U1096883811</t>
  </si>
  <si>
    <t>Cebolinha Radiador Cb500 Hornet Shadow</t>
  </si>
  <si>
    <t>MLB3285238549</t>
  </si>
  <si>
    <t>177655712287</t>
  </si>
  <si>
    <t>181885406921</t>
  </si>
  <si>
    <t>177655712289</t>
  </si>
  <si>
    <t>3141103514309490</t>
  </si>
  <si>
    <t>MLB4297486130</t>
  </si>
  <si>
    <t>U1161050299</t>
  </si>
  <si>
    <t>4258416193129099</t>
  </si>
  <si>
    <t>MLB2041007475</t>
  </si>
  <si>
    <t>U745578423</t>
  </si>
  <si>
    <t>Interruptor Botão Vidro Sprinter 311 415 515 Direito Passage</t>
  </si>
  <si>
    <t>8580590838275403</t>
  </si>
  <si>
    <t>MLB5166616316</t>
  </si>
  <si>
    <t>U2716648062</t>
  </si>
  <si>
    <t>446</t>
  </si>
  <si>
    <t>Talha Manual De Corrente - 1 Tonelada- 10 Metros De Corrente</t>
  </si>
  <si>
    <t>Talhas manuais</t>
  </si>
  <si>
    <t>1992852046182996</t>
  </si>
  <si>
    <t>MLB2063120868</t>
  </si>
  <si>
    <t>U1102507674</t>
  </si>
  <si>
    <t>Sensor Direção Hidráulica Renault Clio Logan Kang 497610324r</t>
  </si>
  <si>
    <t>4006262908288741</t>
  </si>
  <si>
    <t>MLB2121300018</t>
  </si>
  <si>
    <t>U747316869</t>
  </si>
  <si>
    <t>Botão Vidro Elétrico Sprinter 311/415/515 Esquerdo Motorista</t>
  </si>
  <si>
    <t>Não disponível</t>
  </si>
  <si>
    <t>MLB4471323400</t>
  </si>
  <si>
    <t>Guia Farol Dianteiro Hrv Hr-v 2015 2016 17 Á 2019</t>
  </si>
  <si>
    <t>181856585587</t>
  </si>
  <si>
    <t>181856585589</t>
  </si>
  <si>
    <t>8114451400108521</t>
  </si>
  <si>
    <t>MLB2031692044</t>
  </si>
  <si>
    <t>U745549603</t>
  </si>
  <si>
    <t>Válvulas De Ar (bico De Roda 11.3mm) Artic. 90º Para Motos</t>
  </si>
  <si>
    <t>Peças para motos</t>
  </si>
  <si>
    <t>MLB2074931217</t>
  </si>
  <si>
    <t>U749694286</t>
  </si>
  <si>
    <t>MLB2997727098</t>
  </si>
  <si>
    <t>1617</t>
  </si>
  <si>
    <t>Kit Botão Câmbio Honda Accord 1994 À 2002 Com Mola</t>
  </si>
  <si>
    <t>175942368130</t>
  </si>
  <si>
    <t>227-1</t>
  </si>
  <si>
    <t>94/02</t>
  </si>
  <si>
    <t>175942368129</t>
  </si>
  <si>
    <t>227-2</t>
  </si>
  <si>
    <t>03/07</t>
  </si>
  <si>
    <t>2664275045445713</t>
  </si>
  <si>
    <t>MLB5054983076</t>
  </si>
  <si>
    <t>U1067808339</t>
  </si>
  <si>
    <t>456</t>
  </si>
  <si>
    <t>Alavanca Puxador Do Freio De Mão Estacioname Jac J3 Original</t>
  </si>
  <si>
    <t>8598476380098331</t>
  </si>
  <si>
    <t>MLB1987802723</t>
  </si>
  <si>
    <t>U1292573960</t>
  </si>
  <si>
    <t>52</t>
  </si>
  <si>
    <t>Motor Partida Ktm 2t Exc 200 300 Xcw 250 300 410 Watts</t>
  </si>
  <si>
    <t>Motores de arranque para veículos</t>
  </si>
  <si>
    <t>8408425479546517</t>
  </si>
  <si>
    <t>MLB2121744443</t>
  </si>
  <si>
    <t>U1308934695</t>
  </si>
  <si>
    <t>222-K</t>
  </si>
  <si>
    <t>Par Pisca Seta Retrovisor Hyundai Sonata 11 2012 13 14 15 16</t>
  </si>
  <si>
    <t>7796808851353866</t>
  </si>
  <si>
    <t>MLB2969404153</t>
  </si>
  <si>
    <t>U1292569296</t>
  </si>
  <si>
    <t>Manopla Câmbio Manual Bola 6 Marchas Volkswagen Amarok</t>
  </si>
  <si>
    <t>4433474867783965</t>
  </si>
  <si>
    <t>MLB3287683073</t>
  </si>
  <si>
    <t>U1388511482</t>
  </si>
  <si>
    <t>252-K</t>
  </si>
  <si>
    <t>Par Tampa Esguicho Farol Ford Focus 2014 E 2015</t>
  </si>
  <si>
    <t>MLB3596306433</t>
  </si>
  <si>
    <t>U1144615418</t>
  </si>
  <si>
    <t>3374772754877575</t>
  </si>
  <si>
    <t>MLB5185955128</t>
  </si>
  <si>
    <t>U2832305904</t>
  </si>
  <si>
    <t>443</t>
  </si>
  <si>
    <t>Controle Remoto Ponte Rolante Talha 2 Transmissores F21-e1b</t>
  </si>
  <si>
    <t>220v</t>
  </si>
  <si>
    <t>Controles remotos para máquinas industriais</t>
  </si>
  <si>
    <t>2889134600887806</t>
  </si>
  <si>
    <t>MLB2026809477</t>
  </si>
  <si>
    <t>U1101160182</t>
  </si>
  <si>
    <t>198-3</t>
  </si>
  <si>
    <t>Maçaneta Externa Para Kia Sorento Traseira Direita</t>
  </si>
  <si>
    <t>Fechaduras de portas para carros e caminhonetes</t>
  </si>
  <si>
    <t>8932336506949531</t>
  </si>
  <si>
    <t>MLB3124015905</t>
  </si>
  <si>
    <t>U1121578260</t>
  </si>
  <si>
    <t>Lampada D4r Xenon Original Toyota Corola Altis 6000k 2un</t>
  </si>
  <si>
    <t>MLB4644694108</t>
  </si>
  <si>
    <t>Adaptador Luva Roçadeira 9 Estrias De Enxada Rotativa Arador</t>
  </si>
  <si>
    <t>182628853263</t>
  </si>
  <si>
    <t>182628853261</t>
  </si>
  <si>
    <t>182628853259</t>
  </si>
  <si>
    <t>182628853265</t>
  </si>
  <si>
    <t>5232725440588467</t>
  </si>
  <si>
    <t>MLB1960550832</t>
  </si>
  <si>
    <t>U786986703</t>
  </si>
  <si>
    <t>246</t>
  </si>
  <si>
    <t>Esteira Cambio Volvo C70 C30 S40 V50 2004/2013</t>
  </si>
  <si>
    <t>4801787655102563</t>
  </si>
  <si>
    <t>MLB1960560520</t>
  </si>
  <si>
    <t>U786988135</t>
  </si>
  <si>
    <t>Esteira Do Câmbio Automático Volvo C30 V50 S40 C70 - 8699465</t>
  </si>
  <si>
    <t>2804762608327922</t>
  </si>
  <si>
    <t>MLB2041051833</t>
  </si>
  <si>
    <t>U745523763</t>
  </si>
  <si>
    <t>223</t>
  </si>
  <si>
    <t>Sensor Nível Boia Combustível Ix35 Gasolina 2010/ Sportage</t>
  </si>
  <si>
    <t>5241403346360915</t>
  </si>
  <si>
    <t>MLB2108564402</t>
  </si>
  <si>
    <t>U747382897</t>
  </si>
  <si>
    <t>360</t>
  </si>
  <si>
    <t>Retentor Do Virabrequim Lado Volante Civic 1.7 2001 A 2005</t>
  </si>
  <si>
    <t>6426738737894670</t>
  </si>
  <si>
    <t>MLB2798936606</t>
  </si>
  <si>
    <t>U1116453690</t>
  </si>
  <si>
    <t>Mangueira Filtro De Ar Tbi Honda Civic 1.8 2.0 2012 A 2016</t>
  </si>
  <si>
    <t>924894115623925</t>
  </si>
  <si>
    <t>MLB3502651701</t>
  </si>
  <si>
    <t>U2267882945</t>
  </si>
  <si>
    <t>427</t>
  </si>
  <si>
    <t>Par Pisca Dinâmico Vw Golf 2003 Sapão Seta Sequencial</t>
  </si>
  <si>
    <t>Laranja</t>
  </si>
  <si>
    <t>3403925992703412</t>
  </si>
  <si>
    <t>MLB2039755990</t>
  </si>
  <si>
    <t>U793314439</t>
  </si>
  <si>
    <t>Esteira Alavanca Cambio Automático Pajero Full Deslizante</t>
  </si>
  <si>
    <t>3625985915401141</t>
  </si>
  <si>
    <t>MLB2665950771</t>
  </si>
  <si>
    <t>U1337576557</t>
  </si>
  <si>
    <t>401</t>
  </si>
  <si>
    <t>Interruptor Botoes Comando Vidro Dianteiro Esq. Peugeot 308</t>
  </si>
  <si>
    <t>4838704131323916</t>
  </si>
  <si>
    <t>MLB3502651779</t>
  </si>
  <si>
    <t>U2272518060</t>
  </si>
  <si>
    <t>Seta Pisca Sequencial Vw Golf Mk4 Amarok Passat Bora Seat</t>
  </si>
  <si>
    <t>4565032872082249</t>
  </si>
  <si>
    <t>MLB3792233449</t>
  </si>
  <si>
    <t>U773955970</t>
  </si>
  <si>
    <t>Par De Bandeja Dianteira Ford Fusion 2.0 2013 2014 2015 2016</t>
  </si>
  <si>
    <t>6377531374326992</t>
  </si>
  <si>
    <t>MLB1990027778</t>
  </si>
  <si>
    <t>U744126727</t>
  </si>
  <si>
    <t>115</t>
  </si>
  <si>
    <t>Tubo Saída Corpo Borboleta Tbi Sonic 2012 13 2014 55559353</t>
  </si>
  <si>
    <t>MLB2661418026</t>
  </si>
  <si>
    <t>U749822541</t>
  </si>
  <si>
    <t>4514244214663804</t>
  </si>
  <si>
    <t>MLB3331195036</t>
  </si>
  <si>
    <t>U1396163932</t>
  </si>
  <si>
    <t>Mangueira Retorno Reservatório Água Gm Cruze 2012 2013 2014</t>
  </si>
  <si>
    <t>3361765641599171</t>
  </si>
  <si>
    <t>MLB3551783947</t>
  </si>
  <si>
    <t>U1138143461</t>
  </si>
  <si>
    <t>Par Roda Livre Automática Nissan Frontier X-terra Navara 2pç</t>
  </si>
  <si>
    <t>4408366113245730</t>
  </si>
  <si>
    <t>MLB2063191042</t>
  </si>
  <si>
    <t>U1098862841</t>
  </si>
  <si>
    <t>326</t>
  </si>
  <si>
    <t xml:space="preserve">Difusor Saída Ar Console Central Traseiro Jetta Variant 2.5 </t>
  </si>
  <si>
    <t>MLB4942973510</t>
  </si>
  <si>
    <t>451-1</t>
  </si>
  <si>
    <t>Braco Bandeja Dianteira Direita Fusion 2013 2014 2015</t>
  </si>
  <si>
    <t>181191956526</t>
  </si>
  <si>
    <t>Dianteiro Direito</t>
  </si>
  <si>
    <t>181191956528</t>
  </si>
  <si>
    <t>451-2</t>
  </si>
  <si>
    <t>Dianterio esquerdo</t>
  </si>
  <si>
    <t>3637318990496647</t>
  </si>
  <si>
    <t>MLB1960412973</t>
  </si>
  <si>
    <t>U1099930718</t>
  </si>
  <si>
    <t>Mangueira Filtro Ar Mercedes A200 B200 Cla200 2013 2014 2015</t>
  </si>
  <si>
    <t>6184791693167307</t>
  </si>
  <si>
    <t>MLB1990042469</t>
  </si>
  <si>
    <t>U1288700805</t>
  </si>
  <si>
    <t>Mangueira Retorno Reservatóri Água Cruze Tracker 2012 - 2016</t>
  </si>
  <si>
    <t>6447111798624770</t>
  </si>
  <si>
    <t>MLB2059448896</t>
  </si>
  <si>
    <t>U793316463</t>
  </si>
  <si>
    <t>Cilindro Atuador Hidráulico Meriva Easytronic G1d500201</t>
  </si>
  <si>
    <t>10193451987347</t>
  </si>
  <si>
    <t>MLB2891603600</t>
  </si>
  <si>
    <t>U756413574</t>
  </si>
  <si>
    <t>Carburador Biz 100 1998 Ate 2001 2002 2003 2004 2005 - Scud</t>
  </si>
  <si>
    <t>MLB2997738939</t>
  </si>
  <si>
    <t>Botão Do Cambio Automático Do Honda Accord 98 A 02</t>
  </si>
  <si>
    <t>175942363960</t>
  </si>
  <si>
    <t>175942363961</t>
  </si>
  <si>
    <t>5022388956128229</t>
  </si>
  <si>
    <t>MLB1985755395</t>
  </si>
  <si>
    <t>U1100965652</t>
  </si>
  <si>
    <t>Sensor G68 Cambio 01m Audi A3 1.8 Golf Bora New Beetle 2.0</t>
  </si>
  <si>
    <t>294551215452686</t>
  </si>
  <si>
    <t>MLB1988781236</t>
  </si>
  <si>
    <t>U1096927109</t>
  </si>
  <si>
    <t>Roda Livre Automatica Original Frontier - 2.8</t>
  </si>
  <si>
    <t>7380967373602871</t>
  </si>
  <si>
    <t>MLB1988957890</t>
  </si>
  <si>
    <t>U744126635</t>
  </si>
  <si>
    <t>100</t>
  </si>
  <si>
    <t>Cabo Auxiliar Aux Para Radio Original Fiat Punto Linea Stilo</t>
  </si>
  <si>
    <t>Transmissores FM sem fio para veículos</t>
  </si>
  <si>
    <t>6437270998597901</t>
  </si>
  <si>
    <t>MLB2026743334</t>
  </si>
  <si>
    <t>U1097580321</t>
  </si>
  <si>
    <t>Suporte Tampa Tanque Ford Focus 2009-2019</t>
  </si>
  <si>
    <t>MLB2891591278</t>
  </si>
  <si>
    <t>175666324134</t>
  </si>
  <si>
    <t>175586894997</t>
  </si>
  <si>
    <t>178730855859</t>
  </si>
  <si>
    <t>178730855861</t>
  </si>
  <si>
    <t>182672400391</t>
  </si>
  <si>
    <t>182672153783</t>
  </si>
  <si>
    <t>2644721500710932</t>
  </si>
  <si>
    <t>MLB3790877175</t>
  </si>
  <si>
    <t>U770881949</t>
  </si>
  <si>
    <t>Bomba De Direção Hidráulica Peugeot 206 207 Citroen Xsara</t>
  </si>
  <si>
    <t>6103982508050817</t>
  </si>
  <si>
    <t>MLB1971120417</t>
  </si>
  <si>
    <t>U1288904720</t>
  </si>
  <si>
    <t>Comando Do Vidro Elétrico P/ Ford Ranger 2012 2013 2014 2015</t>
  </si>
  <si>
    <t>MLB2939497937</t>
  </si>
  <si>
    <t>U1361879027</t>
  </si>
  <si>
    <t>1022354499637934</t>
  </si>
  <si>
    <t>MLB3178397785</t>
  </si>
  <si>
    <t>U756377705</t>
  </si>
  <si>
    <t>Boia Sensor Nível De Combustível Honda Cr-v 2007 A 2011 Novo</t>
  </si>
  <si>
    <t>4966583783440423</t>
  </si>
  <si>
    <t>MLB2925294409</t>
  </si>
  <si>
    <t>U756399862</t>
  </si>
  <si>
    <t>Sensor Tracker Suzuki Detonação 18640-78g00 Vitara Sx4</t>
  </si>
  <si>
    <t>5775209956183145</t>
  </si>
  <si>
    <t>MLB3022189347</t>
  </si>
  <si>
    <t>U1120113660</t>
  </si>
  <si>
    <t>Mangueira Filtro De Ar Mercedes A200 Cla200 Gla200 2013/2018</t>
  </si>
  <si>
    <t>5254593857486609</t>
  </si>
  <si>
    <t>MLB3031977976</t>
  </si>
  <si>
    <t>U798770584</t>
  </si>
  <si>
    <t>Deslizante / Esteira Alavanca Cambio Automático Pajero Full</t>
  </si>
  <si>
    <t>6348141976206014</t>
  </si>
  <si>
    <t>MLB3032696999</t>
  </si>
  <si>
    <t>U1120212278</t>
  </si>
  <si>
    <t>Fechadura Trava Tranca Tampa Porta Malas Hb20s Sedan</t>
  </si>
  <si>
    <t>4485990233445898</t>
  </si>
  <si>
    <t>MLB3379329771</t>
  </si>
  <si>
    <t>U759630023</t>
  </si>
  <si>
    <t>Bico Nebulizador Aspersor 1/2 Latão Horta Estufa Jardim</t>
  </si>
  <si>
    <t>5542241105770176</t>
  </si>
  <si>
    <t>MLB3598209639</t>
  </si>
  <si>
    <t>U797684173</t>
  </si>
  <si>
    <t>Mangueira Tubo Saída Calor Tbi Sonic Cruze Tracker 12/16</t>
  </si>
  <si>
    <t>4523811687814853</t>
  </si>
  <si>
    <t>MLB1985423263</t>
  </si>
  <si>
    <t>U796281410</t>
  </si>
  <si>
    <t>Bomba Combustivel Gasolina Honda Shadow Vt 600 1996 À 2005na</t>
  </si>
  <si>
    <t>MLB3655081809</t>
  </si>
  <si>
    <t>Luzes de cortesia náuticas</t>
  </si>
  <si>
    <t>180289836406</t>
  </si>
  <si>
    <t>Branco-neutro</t>
  </si>
  <si>
    <t>180289836408</t>
  </si>
  <si>
    <t>7017497130669261</t>
  </si>
  <si>
    <t>MLB4657518424</t>
  </si>
  <si>
    <t>U781501616</t>
  </si>
  <si>
    <t>Tela Touch Screen Gptrend 50 Pinos Peugeot E Citroen</t>
  </si>
  <si>
    <t>2147388912241194</t>
  </si>
  <si>
    <t>MLB1985658166</t>
  </si>
  <si>
    <t>U1102222535</t>
  </si>
  <si>
    <t>27-K</t>
  </si>
  <si>
    <t>Engrenagem Caixa De Transferência Bmw X3 X5 X6 Servo Atuador</t>
  </si>
  <si>
    <t>Engrenagens de caixa de transferência para veículos</t>
  </si>
  <si>
    <t>822939849215659</t>
  </si>
  <si>
    <t>MLB2079312589</t>
  </si>
  <si>
    <t>U746661347</t>
  </si>
  <si>
    <t>Filtro Combustível Bmw F30 320i 2014</t>
  </si>
  <si>
    <t>MLB2929724830</t>
  </si>
  <si>
    <t>U753330631</t>
  </si>
  <si>
    <t>6696102592845968</t>
  </si>
  <si>
    <t>MLB4183869070</t>
  </si>
  <si>
    <t>U2383831744</t>
  </si>
  <si>
    <t>Kit Seta Pisca Sequencial Vw Amarok Paralama Lateral Led</t>
  </si>
  <si>
    <t>3897633382110887</t>
  </si>
  <si>
    <t>MLB2041045955</t>
  </si>
  <si>
    <t>U745572859</t>
  </si>
  <si>
    <t>Botao Vidro Eletrico Motorista Mb Sprinter 311 313 415 515</t>
  </si>
  <si>
    <t>Interruptores de levantamento de vidro para outros veículos</t>
  </si>
  <si>
    <t>320405423684746</t>
  </si>
  <si>
    <t>MLB3355639123</t>
  </si>
  <si>
    <t>U1400338380</t>
  </si>
  <si>
    <t>Placa Fusíveis Bateria Peugeot 3008 C4 Picasso 28236841 Bpga</t>
  </si>
  <si>
    <t>894945157350701</t>
  </si>
  <si>
    <t>MLB4104078305</t>
  </si>
  <si>
    <t>U3252263571</t>
  </si>
  <si>
    <t>Motor Partida Arranque Ktm 2t 250 300 Exc 55140001100 410w</t>
  </si>
  <si>
    <t>MLB4266161825</t>
  </si>
  <si>
    <t>Adaptador Sem Fio Wireless Qi Indução Receptor Universal Cor Type-a</t>
  </si>
  <si>
    <t>Carregadores de dispositivos móveis</t>
  </si>
  <si>
    <t>7055315383870008</t>
  </si>
  <si>
    <t>MLB2063101460</t>
  </si>
  <si>
    <t>U1098862965</t>
  </si>
  <si>
    <t>Sensor Da Direção Hidráulica Renault Clio Sandero Logan</t>
  </si>
  <si>
    <t>MLB2064415567</t>
  </si>
  <si>
    <t>U1299824171</t>
  </si>
  <si>
    <t>MLB3006767607</t>
  </si>
  <si>
    <t>U1368075278</t>
  </si>
  <si>
    <t>217875302712082</t>
  </si>
  <si>
    <t>MLB4407660734</t>
  </si>
  <si>
    <t>U2398053611</t>
  </si>
  <si>
    <t>Capas para GPS</t>
  </si>
  <si>
    <t>6646994769546563</t>
  </si>
  <si>
    <t>MLB2026802362</t>
  </si>
  <si>
    <t>U1097540431</t>
  </si>
  <si>
    <t>198-1</t>
  </si>
  <si>
    <t>Maçaneta Externa Para Kia Sorento Dianteira Direita</t>
  </si>
  <si>
    <t>8491888258745019</t>
  </si>
  <si>
    <t>MLB2030919286</t>
  </si>
  <si>
    <t>U745569291</t>
  </si>
  <si>
    <t>292</t>
  </si>
  <si>
    <t>Sensor Nível Óleo Cebolinha Peugeot 307 408 C4 2.0 16v 1131k</t>
  </si>
  <si>
    <t>6082302258569274</t>
  </si>
  <si>
    <t>MLB2116337476</t>
  </si>
  <si>
    <t>U747314939</t>
  </si>
  <si>
    <t>354</t>
  </si>
  <si>
    <t>Sensor De Nivel Tanque Pajero 2.8 1992 Até 2000</t>
  </si>
  <si>
    <t>5391948049776528</t>
  </si>
  <si>
    <t>MLB2139755254</t>
  </si>
  <si>
    <t>U1315449162</t>
  </si>
  <si>
    <t>366</t>
  </si>
  <si>
    <t>Display Lcd Tela Do Painel Computador Bordo Ford Focus 09/13</t>
  </si>
  <si>
    <t>Telas para veículos</t>
  </si>
  <si>
    <t>554480064386880</t>
  </si>
  <si>
    <t>MLB2121738095</t>
  </si>
  <si>
    <t>U750303016</t>
  </si>
  <si>
    <t>222-2</t>
  </si>
  <si>
    <t xml:space="preserve">Pisca Retrovisor Lado Esquerdo Sonata 2011 2012 2013 2014 </t>
  </si>
  <si>
    <t>2903741080357756</t>
  </si>
  <si>
    <t>MLB3604183763</t>
  </si>
  <si>
    <t>U769602382</t>
  </si>
  <si>
    <t>Kit 100 Presilhas Grampos Fixadores Carro Veiculo Parabarro</t>
  </si>
  <si>
    <t>6172278180981501</t>
  </si>
  <si>
    <t>MLB4373163012</t>
  </si>
  <si>
    <t>U2391376579</t>
  </si>
  <si>
    <t>Par Comando Cruzeiro Som Volante Pajero L200 Outlander Asx</t>
  </si>
  <si>
    <t>7098902192198251</t>
  </si>
  <si>
    <t>MLB2676847030</t>
  </si>
  <si>
    <t>U753387804</t>
  </si>
  <si>
    <t>Kit 100 Presilha Grampo Fixadores Automotivo Universal Carro</t>
  </si>
  <si>
    <t>2130816837760145</t>
  </si>
  <si>
    <t>MLB2991886131</t>
  </si>
  <si>
    <t>U754062489</t>
  </si>
  <si>
    <t>154</t>
  </si>
  <si>
    <t>Sensor Pressão Turbina Map Mr577031 Triton Pajero L200</t>
  </si>
  <si>
    <t>Sensores MAP para veículos</t>
  </si>
  <si>
    <t>1768591092993098</t>
  </si>
  <si>
    <t>MLB3565991557</t>
  </si>
  <si>
    <t>U1139143259</t>
  </si>
  <si>
    <t>Esteira Do Câmbio Automático Al4 Para Peugeot E Citroën</t>
  </si>
  <si>
    <t>3659060402914068</t>
  </si>
  <si>
    <t>MLB3913396243</t>
  </si>
  <si>
    <t>U2830839879</t>
  </si>
  <si>
    <t>459</t>
  </si>
  <si>
    <t>Filtro Regulador Deckas Afr-2000 1/4  Com Manometro 150 Psi</t>
  </si>
  <si>
    <t>Manômetros analógicos</t>
  </si>
  <si>
    <t>5970290263543536</t>
  </si>
  <si>
    <t>MLB2131159219</t>
  </si>
  <si>
    <t>U1310007929</t>
  </si>
  <si>
    <t>Comando Som Volante L200 Triton Pajero Dakar Outlender</t>
  </si>
  <si>
    <t>MLB2181951634</t>
  </si>
  <si>
    <t>Luz Subaquática Submarina 42 Led's 12v Barcos Lanchas Azul</t>
  </si>
  <si>
    <t>174215927450</t>
  </si>
  <si>
    <t>174215927449</t>
  </si>
  <si>
    <t>181883173683</t>
  </si>
  <si>
    <t>2506521702760175</t>
  </si>
  <si>
    <t>MLB3076878592</t>
  </si>
  <si>
    <t>U795714769</t>
  </si>
  <si>
    <t>Boia Do Tanque De Pajero Gls-b Glx 2.8 8v Diesel 1990 A 2000</t>
  </si>
  <si>
    <t>4272449332671569</t>
  </si>
  <si>
    <t>MLB4540001606</t>
  </si>
  <si>
    <t>U777305433</t>
  </si>
  <si>
    <t>Boia Sensor De Nível Crv 2007 2008 2009 2010 2011</t>
  </si>
  <si>
    <t>2664576609202693</t>
  </si>
  <si>
    <t>MLB1986786024</t>
  </si>
  <si>
    <t>U1288697781</t>
  </si>
  <si>
    <t>152-K6</t>
  </si>
  <si>
    <t>Jogo 6 Velas Ngk Platinum Santa Fe Tucson 2.7 V6 Pfr5n-11</t>
  </si>
  <si>
    <t>Velas de ignição para veículos</t>
  </si>
  <si>
    <t>2609557450957877</t>
  </si>
  <si>
    <t>MLB3419452288</t>
  </si>
  <si>
    <t>U1392175943</t>
  </si>
  <si>
    <t>Pisca Retrovisor Hyundai Sonata L Direito Importado Novo</t>
  </si>
  <si>
    <t>2820794475593344</t>
  </si>
  <si>
    <t>MLB2116318330</t>
  </si>
  <si>
    <t>U750304264</t>
  </si>
  <si>
    <t>Sensor Nivel Combustivel Pajero 2.0 2.5 2.8 3.0 3.5 90 A 01</t>
  </si>
  <si>
    <t>7876285040292384</t>
  </si>
  <si>
    <t>MLB2116324585</t>
  </si>
  <si>
    <t>U747381661</t>
  </si>
  <si>
    <t>Sensor Do Nivel Combustivel Pajero Gls-b 2.8 Diesel 90 A 00</t>
  </si>
  <si>
    <t>2843821315801422</t>
  </si>
  <si>
    <t>MLB2950828149</t>
  </si>
  <si>
    <t>U795780107</t>
  </si>
  <si>
    <t>Lanterna De Freio E Pisca Moto Custom Cafe Racer Fita 48 Led</t>
  </si>
  <si>
    <t>Vermelho</t>
  </si>
  <si>
    <t>MLB3079691929</t>
  </si>
  <si>
    <t>U754806985</t>
  </si>
  <si>
    <t>25871995433367</t>
  </si>
  <si>
    <t>MLB3355603269</t>
  </si>
  <si>
    <t>U1389984122</t>
  </si>
  <si>
    <t>Tampa Tanque Combustível Kawasaki Z750 Z800 Z1000 Vulcan</t>
  </si>
  <si>
    <t>5766490444059854</t>
  </si>
  <si>
    <t>MLB3467687640</t>
  </si>
  <si>
    <t>U2259942469</t>
  </si>
  <si>
    <t>Par De Tampas Esguicho Lavador Do Farol Focus 2013 2014 2015</t>
  </si>
  <si>
    <t>2891380310214966</t>
  </si>
  <si>
    <t>MLB1971104633</t>
  </si>
  <si>
    <t>U1096274047</t>
  </si>
  <si>
    <t>275-5</t>
  </si>
  <si>
    <t>Puxador Interno Porta Bmw 528i 535i 550i M5 2011-2016 Bege</t>
  </si>
  <si>
    <t>6130133817439231</t>
  </si>
  <si>
    <t>MLB2026796766</t>
  </si>
  <si>
    <t>U1097558255</t>
  </si>
  <si>
    <t>198-4</t>
  </si>
  <si>
    <t>Maçaneta Externa Para Sorento Traseira Esquerda Preta 2003/</t>
  </si>
  <si>
    <t>2933795401214038</t>
  </si>
  <si>
    <t>MLB2176999312</t>
  </si>
  <si>
    <t>U1319741385</t>
  </si>
  <si>
    <t>377-4-K</t>
  </si>
  <si>
    <t xml:space="preserve">Par De Luz Lâmpada Subaquática Azul 27 Leds Lancha Barco </t>
  </si>
  <si>
    <t>6437323213740754</t>
  </si>
  <si>
    <t>MLB3658010579</t>
  </si>
  <si>
    <t>U2312368264</t>
  </si>
  <si>
    <t>2x Extensor Válvula Bico Pneu 90 Grau Bike Moto Carro Adapt</t>
  </si>
  <si>
    <t>MLB2000704908</t>
  </si>
  <si>
    <t>Amortecedor Gás Ford Hilux 789123400224 1 Unidade</t>
  </si>
  <si>
    <t>174112208579</t>
  </si>
  <si>
    <t>174112208578</t>
  </si>
  <si>
    <t>2981797103335274</t>
  </si>
  <si>
    <t>MLB2179970413</t>
  </si>
  <si>
    <t>U1106009384</t>
  </si>
  <si>
    <t>Áudio para veículos</t>
  </si>
  <si>
    <t>7885842910330943</t>
  </si>
  <si>
    <t>MLB3033139250</t>
  </si>
  <si>
    <t>U754066219</t>
  </si>
  <si>
    <t>Snow Foam Esguicho Shampoozeira Lavagem Cera Reservatório</t>
  </si>
  <si>
    <t>8189240633960646</t>
  </si>
  <si>
    <t>MLB4343482804</t>
  </si>
  <si>
    <t>U2397548460</t>
  </si>
  <si>
    <t>Mangueira Retorno Bico Injetor Sprinter 311 415 515 2012-19</t>
  </si>
  <si>
    <t>3475019927445788</t>
  </si>
  <si>
    <t>MLB1754406574</t>
  </si>
  <si>
    <t>U735717280</t>
  </si>
  <si>
    <t>Manopla Cambio Automático Peugeot 307 Citroen C4 Sedan Hatch</t>
  </si>
  <si>
    <t>MLB1960422165</t>
  </si>
  <si>
    <t>U1096290993</t>
  </si>
  <si>
    <t>7777571008441049</t>
  </si>
  <si>
    <t>MLB2612440458</t>
  </si>
  <si>
    <t>U1108708986</t>
  </si>
  <si>
    <t>391</t>
  </si>
  <si>
    <t>8inch Vácuo Ventosa 200kg Capacidade De Rolamento Heavy Duty</t>
  </si>
  <si>
    <t>Kits de ferramentas elétricas</t>
  </si>
  <si>
    <t>2301457611584333</t>
  </si>
  <si>
    <t>MLB2915600373</t>
  </si>
  <si>
    <t>U1361015797</t>
  </si>
  <si>
    <t>Tampa Esguicho Parachoque Focus 2014 2015 Lado Direito</t>
  </si>
  <si>
    <t>6385497591626048</t>
  </si>
  <si>
    <t>MLB3564793417</t>
  </si>
  <si>
    <t>U2283034637</t>
  </si>
  <si>
    <t>Suporte Celular Por Indução P/ Bmw Gs1200 1250 F850 Xr 1000</t>
  </si>
  <si>
    <t>MLB4473685750</t>
  </si>
  <si>
    <t>Seta Pisca Retrovisor Led Sequencial Golf Gti Mk7 Jetta Gli</t>
  </si>
  <si>
    <t>181868831071</t>
  </si>
  <si>
    <t>426-2</t>
  </si>
  <si>
    <t>181868831069</t>
  </si>
  <si>
    <t>426-1</t>
  </si>
  <si>
    <t>MLB5360780658</t>
  </si>
  <si>
    <t>183418611206</t>
  </si>
  <si>
    <t>183418611208</t>
  </si>
  <si>
    <t>183418611210</t>
  </si>
  <si>
    <t>183418611212</t>
  </si>
  <si>
    <t>183418611214</t>
  </si>
  <si>
    <t>183418611216</t>
  </si>
  <si>
    <t>183418611218</t>
  </si>
  <si>
    <t>183418611220</t>
  </si>
  <si>
    <t>183418611222</t>
  </si>
  <si>
    <t>183418611224</t>
  </si>
  <si>
    <t>183418611226</t>
  </si>
  <si>
    <t>183418611228</t>
  </si>
  <si>
    <t>8997462529832705</t>
  </si>
  <si>
    <t>MLB1984386684</t>
  </si>
  <si>
    <t>U744193339</t>
  </si>
  <si>
    <t>Bomba De Vácuo Para Peugeot E Citroen Thp 1.6 16v Turbo 3008</t>
  </si>
  <si>
    <t>Bombas de vácuo do sistema de emissões para veículos</t>
  </si>
  <si>
    <t>7872795532176389</t>
  </si>
  <si>
    <t>MLB1986792691</t>
  </si>
  <si>
    <t>U1292572786</t>
  </si>
  <si>
    <t>Jogo Velas Iridium Para Santa Fé 3.5 V6 285 Cv 2009/2011</t>
  </si>
  <si>
    <t>4262681739496115</t>
  </si>
  <si>
    <t>MLB2042391071</t>
  </si>
  <si>
    <t>U1102554777</t>
  </si>
  <si>
    <t>Engrenagem Caixa Transferência Bmw X3 X5 X6 Servo Atuador</t>
  </si>
  <si>
    <t>MLB2044178742</t>
  </si>
  <si>
    <t>Esguicho Lavagem De Carros Cachorr Pet Chuveiro Pulverizador</t>
  </si>
  <si>
    <t>4195349027624777</t>
  </si>
  <si>
    <t>MLB2069158192</t>
  </si>
  <si>
    <t>U749656388</t>
  </si>
  <si>
    <t>Bico Aspersor Nebulizador Irrigação Pulverização Regulável</t>
  </si>
  <si>
    <t>3515243716695828</t>
  </si>
  <si>
    <t>MLB3079904547</t>
  </si>
  <si>
    <t>U1117297465</t>
  </si>
  <si>
    <t>Maçaneta Externa Sorento 2004 A 2009 Dianteira Direita</t>
  </si>
  <si>
    <t>6242933196523516</t>
  </si>
  <si>
    <t>MLB3151829015</t>
  </si>
  <si>
    <t>U1122296928</t>
  </si>
  <si>
    <t>Maçaneta Externa Para Sorento Traseira Direita Preta 2003/</t>
  </si>
  <si>
    <t>Preto Traseira</t>
  </si>
  <si>
    <t>Maçanetas de portas para carros e caminhonetes</t>
  </si>
  <si>
    <t>1837020090762740</t>
  </si>
  <si>
    <t>MLB3279320197</t>
  </si>
  <si>
    <t>U1383540173</t>
  </si>
  <si>
    <t>Tampa Esguicho Agua Farol Xenon Hyundai Azera 2012 A 14 Esq</t>
  </si>
  <si>
    <t>4123091348490742</t>
  </si>
  <si>
    <t>MLB3287240077</t>
  </si>
  <si>
    <t>U1388509298</t>
  </si>
  <si>
    <t>361</t>
  </si>
  <si>
    <t>Display Tela Satlink Lcd 6906 6908 6909 6912 6918 Original</t>
  </si>
  <si>
    <t>Localizadores de satélites</t>
  </si>
  <si>
    <t>MLB3306436271</t>
  </si>
  <si>
    <t>Botão Da Alavanca Do Câmbio Automático Honda Accord 03-05</t>
  </si>
  <si>
    <t>178025044913</t>
  </si>
  <si>
    <t>178025044911</t>
  </si>
  <si>
    <t>892702911031758</t>
  </si>
  <si>
    <t>MLB3349539231</t>
  </si>
  <si>
    <t>U759624289</t>
  </si>
  <si>
    <t>Botão Interruptor Vidro Elétrico Renault Fluence 2013 2014</t>
  </si>
  <si>
    <t>3937217931494209</t>
  </si>
  <si>
    <t>MLB3426736760</t>
  </si>
  <si>
    <t>U1392826535</t>
  </si>
  <si>
    <t>194-K</t>
  </si>
  <si>
    <t>Fita De Led Dual Color Drl C Seta Rayx Farol Dianteiro 60cm</t>
  </si>
  <si>
    <t>Barras de LED para veículos</t>
  </si>
  <si>
    <t>6590886018914294</t>
  </si>
  <si>
    <t>MLB3796645969</t>
  </si>
  <si>
    <t>U770869593</t>
  </si>
  <si>
    <t>Acessorios Honda Civic Touring Turbo G10 Ponteira Par Top</t>
  </si>
  <si>
    <t>MLB4913278978</t>
  </si>
  <si>
    <t>U783202657</t>
  </si>
  <si>
    <t>Preto Cromado</t>
  </si>
  <si>
    <t>8177918947258919</t>
  </si>
  <si>
    <t>MLB2988875377</t>
  </si>
  <si>
    <t>U1363187253</t>
  </si>
  <si>
    <t>Mangueira De Retorno Dos Bicos Sprinter 311 - 415 / 515</t>
  </si>
  <si>
    <t>8332025011455990</t>
  </si>
  <si>
    <t>MLB3076885083</t>
  </si>
  <si>
    <t>U757813578</t>
  </si>
  <si>
    <t>Medidor De Combustivel Pajero Gls-b 2.8 8v Diesel 90 A 2000</t>
  </si>
  <si>
    <t>4082663652574041</t>
  </si>
  <si>
    <t>MLB3569981471</t>
  </si>
  <si>
    <t>U2284236523</t>
  </si>
  <si>
    <t>4190090509431763</t>
  </si>
  <si>
    <t>MLB3884242075</t>
  </si>
  <si>
    <t>U2455669431</t>
  </si>
  <si>
    <t>458-2</t>
  </si>
  <si>
    <t>Friso Cromado Da Grade Honda City 2015 A 2017 Nova Cromado</t>
  </si>
  <si>
    <t>Frisos para carros e caminhonetes</t>
  </si>
  <si>
    <t>MLB3298348397</t>
  </si>
  <si>
    <t>U1380582557</t>
  </si>
  <si>
    <t>407571687415284</t>
  </si>
  <si>
    <t>MLB3783467275</t>
  </si>
  <si>
    <t>U770360033</t>
  </si>
  <si>
    <t>452</t>
  </si>
  <si>
    <t>Reservatório De Óleo De Direção Hidra Fiesta 2002 A 2014</t>
  </si>
  <si>
    <t>Reservatórios de óleo de direção hidráulica para veículos</t>
  </si>
  <si>
    <t>3108634833193318</t>
  </si>
  <si>
    <t>MLB4183515600</t>
  </si>
  <si>
    <t>U799988895</t>
  </si>
  <si>
    <t>426-K</t>
  </si>
  <si>
    <t>Seta Retrovisor Sequencial Dinâmica Golf Mk7 Gti Jetta Gli</t>
  </si>
  <si>
    <t>2990577401605177</t>
  </si>
  <si>
    <t>MLB1988968514</t>
  </si>
  <si>
    <t>U747163780</t>
  </si>
  <si>
    <t>Boia Sensor Nível Combustível Honda Crv 2007 A 2011</t>
  </si>
  <si>
    <t>5248764930058898</t>
  </si>
  <si>
    <t>MLB2121300019</t>
  </si>
  <si>
    <t>U783438608</t>
  </si>
  <si>
    <t>Comando Botão Interruptor Vidro Eletrico Sprinter Cdi 415</t>
  </si>
  <si>
    <t>1283968766030930</t>
  </si>
  <si>
    <t>MLB2121802426</t>
  </si>
  <si>
    <t>U1104128902</t>
  </si>
  <si>
    <t>331-K</t>
  </si>
  <si>
    <t>Cinto Anti Alarme Jetta Adaptador Cinto Segurança - Par</t>
  </si>
  <si>
    <t>Cintos de segurança para veículos</t>
  </si>
  <si>
    <t>3652919939936428</t>
  </si>
  <si>
    <t>MLB3352536823</t>
  </si>
  <si>
    <t>U1388971968</t>
  </si>
  <si>
    <t>Display Lcd Painel Instrumentos Ford Focus Computador Bordo</t>
  </si>
  <si>
    <t>Acessórios para linha leviana</t>
  </si>
  <si>
    <t>6833949109428981</t>
  </si>
  <si>
    <t>MLB3967142419</t>
  </si>
  <si>
    <t>U3000398146</t>
  </si>
  <si>
    <t>Talha Manual De Corrente - 1 Toneladas - 10 Metros - Deckas</t>
  </si>
  <si>
    <t>8484301764065501</t>
  </si>
  <si>
    <t>MLB4762006540</t>
  </si>
  <si>
    <t>U772036397</t>
  </si>
  <si>
    <t>52-1</t>
  </si>
  <si>
    <t>Motor Arranque Partida Ktm 2 Tempo 250 300 17-20</t>
  </si>
  <si>
    <t>MLB2177030248</t>
  </si>
  <si>
    <t>Luz Subaquática 27 Leds Potência 50w Barco Lancha Ip68 12v</t>
  </si>
  <si>
    <t>178901114907</t>
  </si>
  <si>
    <t>174201265530</t>
  </si>
  <si>
    <t>7086032094639631</t>
  </si>
  <si>
    <t>MLB2929724640</t>
  </si>
  <si>
    <t>U756348260</t>
  </si>
  <si>
    <t>Par Ponteira De Escape  Honda Civic Touring Turbo G10</t>
  </si>
  <si>
    <t>6615067047106266</t>
  </si>
  <si>
    <t>MLB2939497942</t>
  </si>
  <si>
    <t>U1362206401</t>
  </si>
  <si>
    <t>Extensor Válvula Bico Pneu 90 Graus Silver Moto Adaptador</t>
  </si>
  <si>
    <t>1208162287166680</t>
  </si>
  <si>
    <t>MLB3373224124</t>
  </si>
  <si>
    <t>U1124959877</t>
  </si>
  <si>
    <t>Alavanca Freio De Mão Honda New Civic 2007-2011 Original</t>
  </si>
  <si>
    <t>5461669355844879</t>
  </si>
  <si>
    <t>MLB4326100438</t>
  </si>
  <si>
    <t>U2387942961</t>
  </si>
  <si>
    <t>Suporte Smartphone No Gps Navegator Bmw Gs 1250</t>
  </si>
  <si>
    <t>3309535071652975</t>
  </si>
  <si>
    <t>MLB4352976770</t>
  </si>
  <si>
    <t>U1165666988</t>
  </si>
  <si>
    <t>Filtro Canister Carvão Jetta Fusca 2.0 Tsi 1k0201801e</t>
  </si>
  <si>
    <t>Válvulas canister para veículos</t>
  </si>
  <si>
    <t>MLB4592635432</t>
  </si>
  <si>
    <t>Chave Farol Auto Original Vw Golf Jetta Tsi Gti 2014 A 2018</t>
  </si>
  <si>
    <t>182419045017</t>
  </si>
  <si>
    <t>182419045019</t>
  </si>
  <si>
    <t>4484007016090385</t>
  </si>
  <si>
    <t>MLB5619478228</t>
  </si>
  <si>
    <t>U1148702294</t>
  </si>
  <si>
    <t>Boia Medidor De Nível Do Tanque De Combustível Pajero Full</t>
  </si>
  <si>
    <t>5416653038986923</t>
  </si>
  <si>
    <t>MLB1985423253</t>
  </si>
  <si>
    <t>U744132431</t>
  </si>
  <si>
    <t>Bomba Combustivel Honda Shadow 600 Carburada 2 Fios Gasolina</t>
  </si>
  <si>
    <t>5374436624815025</t>
  </si>
  <si>
    <t>MLB3727614849</t>
  </si>
  <si>
    <t>U771228270</t>
  </si>
  <si>
    <t>Sensor Nivel Oleo 307 308 408 C4 Pallas Lounge Picasso 2.0</t>
  </si>
  <si>
    <t>2076645367006601</t>
  </si>
  <si>
    <t>MLB4481241058</t>
  </si>
  <si>
    <t>U1163632781</t>
  </si>
  <si>
    <t>Par Lâmpada D4r Xenon 12v 35w Toyota Corolla Altis 6000k</t>
  </si>
  <si>
    <t>4418759428167351</t>
  </si>
  <si>
    <t>MLB1985589133</t>
  </si>
  <si>
    <t>U744124943</t>
  </si>
  <si>
    <t>23</t>
  </si>
  <si>
    <t>Piloto Automático Controle De Velocidade Focus Mk2,5</t>
  </si>
  <si>
    <t>8772576285308137</t>
  </si>
  <si>
    <t>MLB2120234033</t>
  </si>
  <si>
    <t>U747314989</t>
  </si>
  <si>
    <t>346</t>
  </si>
  <si>
    <t>Anel Vedação Completo Resfriador Trocador Journey 3.6 Ate 13</t>
  </si>
  <si>
    <t>2682232051728723</t>
  </si>
  <si>
    <t>MLB2142097223</t>
  </si>
  <si>
    <t>U1100471891</t>
  </si>
  <si>
    <t>331</t>
  </si>
  <si>
    <t>Cinto Anti Alarme Jetta Adaptador Cinto Segurança</t>
  </si>
  <si>
    <t>1086870995901892</t>
  </si>
  <si>
    <t>MLB2997355688</t>
  </si>
  <si>
    <t>U795607919</t>
  </si>
  <si>
    <t>Valvula Reguladora Bomba Hr Kia Bongo Sprinter 9109-946 C/nf</t>
  </si>
  <si>
    <t>MLB3032760921</t>
  </si>
  <si>
    <t>U1120210438</t>
  </si>
  <si>
    <t>MLB4597740872</t>
  </si>
  <si>
    <t>Luzes de popa náuticas</t>
  </si>
  <si>
    <t>182446354205</t>
  </si>
  <si>
    <t>182446354207</t>
  </si>
  <si>
    <t>MLB5111579736</t>
  </si>
  <si>
    <t>Par Puxador Porta Dianteira Bmw 320i 328i 335i 316i F30 F31.</t>
  </si>
  <si>
    <t>181887302970</t>
  </si>
  <si>
    <t>181887302968</t>
  </si>
  <si>
    <t>8599304771015303</t>
  </si>
  <si>
    <t>MLB2087259778</t>
  </si>
  <si>
    <t>U1098862913</t>
  </si>
  <si>
    <t>Lampada Xenon D4s Ou D4r 35w 6000k Corolla Camry Hilux Subar</t>
  </si>
  <si>
    <t>5474129736846830</t>
  </si>
  <si>
    <t>MLB2991898563</t>
  </si>
  <si>
    <t>U754044469</t>
  </si>
  <si>
    <t>Sensor Map/ Pressão Turbina Mitsubishi L200 Outdoor 2.5</t>
  </si>
  <si>
    <t>285028317023174</t>
  </si>
  <si>
    <t>MLB2991916441</t>
  </si>
  <si>
    <t>U757086164</t>
  </si>
  <si>
    <t>Sensor Map/ Pressão Turbina Mitsubishi L200 2.5 Diesel</t>
  </si>
  <si>
    <t>MLB3306414961</t>
  </si>
  <si>
    <t>Botão Da Alavanca Câmbio Automático Honda Accord 03 04 05</t>
  </si>
  <si>
    <t>177605178676</t>
  </si>
  <si>
    <t>177605178674</t>
  </si>
  <si>
    <t>2852424336668985</t>
  </si>
  <si>
    <t>MLB3601910705</t>
  </si>
  <si>
    <t>U1144615400</t>
  </si>
  <si>
    <t>5384496736248340</t>
  </si>
  <si>
    <t>MLB4362687096</t>
  </si>
  <si>
    <t>U1165949838</t>
  </si>
  <si>
    <t>Fechadura Tranca Traseira Elétrica Porta Mala Hb20s Sedan</t>
  </si>
  <si>
    <t>3121579619697129</t>
  </si>
  <si>
    <t>MLB1988969587</t>
  </si>
  <si>
    <t>U747109034</t>
  </si>
  <si>
    <t>Bola Do Cambio Manopla Gol Cromada Voyage Saveiro G5 G6</t>
  </si>
  <si>
    <t>7800480351894803</t>
  </si>
  <si>
    <t>MLB2113076838</t>
  </si>
  <si>
    <t>U747321657</t>
  </si>
  <si>
    <t>349</t>
  </si>
  <si>
    <t xml:space="preserve">Moldura Ponteira Escapamento Amg W205 Glc Classe A B C E </t>
  </si>
  <si>
    <t>Suportes de relógios para veículos</t>
  </si>
  <si>
    <t>2163120543428828</t>
  </si>
  <si>
    <t>MLB2170257124</t>
  </si>
  <si>
    <t>U1102352981</t>
  </si>
  <si>
    <t>371</t>
  </si>
  <si>
    <t>Tubo Conexão Mangueira Radiador Freemont 2.4 2012/ C/ Tampa</t>
  </si>
  <si>
    <t>MLB2665997871</t>
  </si>
  <si>
    <t>U1345363268</t>
  </si>
  <si>
    <t>7346037808802957</t>
  </si>
  <si>
    <t>MLB3361987231</t>
  </si>
  <si>
    <t>U1397215465</t>
  </si>
  <si>
    <t>Medidor Fluxo Ar Maf Suzuki Vitara Tracker Sidekick 1.6 2.0</t>
  </si>
  <si>
    <t>4809505663014021</t>
  </si>
  <si>
    <t>MLB3562120261</t>
  </si>
  <si>
    <t>U1138241731</t>
  </si>
  <si>
    <t>Reservatorio De Carvao Canister Jetta 2.0 Tsi De 2011 À 2017</t>
  </si>
  <si>
    <t>MLB3608112939</t>
  </si>
  <si>
    <t>181863984269</t>
  </si>
  <si>
    <t>181863984267</t>
  </si>
  <si>
    <t>114390963648455</t>
  </si>
  <si>
    <t>MLB3913287197</t>
  </si>
  <si>
    <t>U2830176935</t>
  </si>
  <si>
    <t>Filtro Eliminador De Água Com Regulador De Pressão 1/4</t>
  </si>
  <si>
    <t>275356235512367</t>
  </si>
  <si>
    <t>MLB4369968520</t>
  </si>
  <si>
    <t>U779128850</t>
  </si>
  <si>
    <t>Válvulas termostáticas de motores para veículos</t>
  </si>
  <si>
    <t>MLB4503499410</t>
  </si>
  <si>
    <t>U776583103</t>
  </si>
  <si>
    <t>4962749958838386</t>
  </si>
  <si>
    <t>MLB2026790393</t>
  </si>
  <si>
    <t>U1105993158</t>
  </si>
  <si>
    <t>Maçaneta Externa Para Sorento 2003 A 2009 Traseira Esquerda</t>
  </si>
  <si>
    <t>4562279209073926</t>
  </si>
  <si>
    <t>MLB3379860753</t>
  </si>
  <si>
    <t>U1388179933</t>
  </si>
  <si>
    <t>Botao Vidro Eletrico S10 Nova 2012 2013 2014 2015 Quadrupulo</t>
  </si>
  <si>
    <t>1978950121698735</t>
  </si>
  <si>
    <t>MLB4657555476</t>
  </si>
  <si>
    <t>U1165470463</t>
  </si>
  <si>
    <t>Touch Screen Peugeot 208 2008 Tela De Toque Continental</t>
  </si>
  <si>
    <t>Telas de tablets</t>
  </si>
  <si>
    <t>4446834586532858</t>
  </si>
  <si>
    <t>MLB5166616368</t>
  </si>
  <si>
    <t>U2716645828</t>
  </si>
  <si>
    <t>Talha Manual - 1 Tonelada - 10 Metros - Deckas</t>
  </si>
  <si>
    <t>8399529063201666</t>
  </si>
  <si>
    <t>MLB1991211721</t>
  </si>
  <si>
    <t>U1293236820</t>
  </si>
  <si>
    <t>126</t>
  </si>
  <si>
    <t>Vibrador Recarregável U C Clitóris Casal Usb Tipo We-vibe</t>
  </si>
  <si>
    <t>Violeta-escuro</t>
  </si>
  <si>
    <t>Vibradores</t>
  </si>
  <si>
    <t>5091034174480312</t>
  </si>
  <si>
    <t>MLB1991283594</t>
  </si>
  <si>
    <t>U744200585</t>
  </si>
  <si>
    <t>Sensor Pressão Map Turbina Pajero Triton L200 Dakar Mr577031</t>
  </si>
  <si>
    <t>7146640305159312</t>
  </si>
  <si>
    <t>MLB2077459394</t>
  </si>
  <si>
    <t>U749669118</t>
  </si>
  <si>
    <t>350-1</t>
  </si>
  <si>
    <t>Tapete De Água Inflável Atividades Infantil Almofada Bebê</t>
  </si>
  <si>
    <t>Centros de atividades e ginásios para bebês</t>
  </si>
  <si>
    <t>8224120782230794</t>
  </si>
  <si>
    <t>MLB2103546858</t>
  </si>
  <si>
    <t>U1103131850</t>
  </si>
  <si>
    <t>347</t>
  </si>
  <si>
    <t>Anel Vedação Retentor Resfriador Dodge Journey Jeep Pós 13</t>
  </si>
  <si>
    <t>4873032487414610</t>
  </si>
  <si>
    <t>MLB2152568189</t>
  </si>
  <si>
    <t>U1319077094</t>
  </si>
  <si>
    <t>Display Satlink Tela Lcd 6909 6912 6918 6906 6908 - Novo</t>
  </si>
  <si>
    <t>931597823070554</t>
  </si>
  <si>
    <t>MLB2982339511</t>
  </si>
  <si>
    <t>U1115957697</t>
  </si>
  <si>
    <t>Manopla Câmbio Automático Ford Focus 2009 2010 2011 12 Capa</t>
  </si>
  <si>
    <t>2244722462594235</t>
  </si>
  <si>
    <t>MLB2982488710</t>
  </si>
  <si>
    <t>U757073138</t>
  </si>
  <si>
    <t>Flange Tampa Bomba Combustivel Evoque 2.0 Freelander 2 3.2</t>
  </si>
  <si>
    <t>1109003924367717</t>
  </si>
  <si>
    <t>MLB3022302274</t>
  </si>
  <si>
    <t>U1116440337</t>
  </si>
  <si>
    <t>3925558829223057</t>
  </si>
  <si>
    <t>MLB3032604721</t>
  </si>
  <si>
    <t>U1116585529</t>
  </si>
  <si>
    <t>Sensor De Direção Hidr. Renault Sandero Clio Logan Duster</t>
  </si>
  <si>
    <t>MLB3502691867</t>
  </si>
  <si>
    <t>U762806171</t>
  </si>
  <si>
    <t>1534142381105714</t>
  </si>
  <si>
    <t>MLB3558249607</t>
  </si>
  <si>
    <t>U2281409841</t>
  </si>
  <si>
    <t>Tubo Retorno Reservatório Agua Cruze Tracker 1.8 16v</t>
  </si>
  <si>
    <t>Mangueiras de radiador para veículos</t>
  </si>
  <si>
    <t>MLB4155642956</t>
  </si>
  <si>
    <t>Par Puxador Porta Dianteira Bmw 320i 328i 335 2012-2018</t>
  </si>
  <si>
    <t>179076239494</t>
  </si>
  <si>
    <t>179076239492</t>
  </si>
  <si>
    <t>4219222097350607</t>
  </si>
  <si>
    <t>MLB4183515444</t>
  </si>
  <si>
    <t>U774883999</t>
  </si>
  <si>
    <t>Seta Retrovisor Sequencial Dinâmica Golf Mk7 Mk7.5 Jetta Gli</t>
  </si>
  <si>
    <t>2316636353552299</t>
  </si>
  <si>
    <t>MLB4319301377</t>
  </si>
  <si>
    <t>U3602802436</t>
  </si>
  <si>
    <t>167-1K</t>
  </si>
  <si>
    <t>2x Extensor Válvula Bico Pneu 45° Bike Moto</t>
  </si>
  <si>
    <t>5508197375506511</t>
  </si>
  <si>
    <t>MLB4445975264</t>
  </si>
  <si>
    <t>U1163193919</t>
  </si>
  <si>
    <t>367-K</t>
  </si>
  <si>
    <t>Roda Livre Manual Original Gptrend 470 Ford Ranger 4x4</t>
  </si>
  <si>
    <t>2763205595506757</t>
  </si>
  <si>
    <t>MLB5202483004</t>
  </si>
  <si>
    <t>U2877256594</t>
  </si>
  <si>
    <t>Par Retentor Comando Válvulas Cruze 1.8 16v Sonic 1.6 Ecotec</t>
  </si>
  <si>
    <t>665206358853064</t>
  </si>
  <si>
    <t>MLB2744552225</t>
  </si>
  <si>
    <t>U754437082</t>
  </si>
  <si>
    <t>408</t>
  </si>
  <si>
    <t>Kit 415 Presilhas Grampos Fixadores Automotivo Carro + Chave</t>
  </si>
  <si>
    <t>6463634950770060</t>
  </si>
  <si>
    <t>MLB2986735609</t>
  </si>
  <si>
    <t>U754044885</t>
  </si>
  <si>
    <t>275-19</t>
  </si>
  <si>
    <t>Puxador Interno Porta Bmw 528i 535i 550i M5 Ostra 2011-2016</t>
  </si>
  <si>
    <t>4371612168414246</t>
  </si>
  <si>
    <t>MLB3558390215</t>
  </si>
  <si>
    <t>U765114957</t>
  </si>
  <si>
    <t>Junta Da Válvula Vtec Civic 1.7 Ex 2001 2002 2003 2004 2005</t>
  </si>
  <si>
    <t>5740353123061067</t>
  </si>
  <si>
    <t>MLB3922851097</t>
  </si>
  <si>
    <t>U2872269425</t>
  </si>
  <si>
    <t>8060048622719213</t>
  </si>
  <si>
    <t>MLB4359774366</t>
  </si>
  <si>
    <t>U787317286</t>
  </si>
  <si>
    <t>Bomba De Vácuo Peugeot E Citroen Thp 1.6 16v Turbo 3008 Ds3</t>
  </si>
  <si>
    <t>2520868797604029</t>
  </si>
  <si>
    <t>MLB4446202916</t>
  </si>
  <si>
    <t>U2401947351</t>
  </si>
  <si>
    <t>Manopla Bola Cambio Manual Amarok 6 Marchas</t>
  </si>
  <si>
    <t>MLB4939982806</t>
  </si>
  <si>
    <t>Bandeja Dianteira Lado Direito Fusion 2013 2014 2015 2016</t>
  </si>
  <si>
    <t>183884390351</t>
  </si>
  <si>
    <t>183880884149</t>
  </si>
  <si>
    <t>1834689019523051</t>
  </si>
  <si>
    <t>MLB1754403275</t>
  </si>
  <si>
    <t>U735762716</t>
  </si>
  <si>
    <t>Manopla Bola Cambio Automático Para Citroen C4 2007/2011</t>
  </si>
  <si>
    <t>8626849580405163</t>
  </si>
  <si>
    <t>MLB1985428470</t>
  </si>
  <si>
    <t>U747112654</t>
  </si>
  <si>
    <t>Bomba Combustivel Xvs Drag Star V Star 650 Virago Xv535</t>
  </si>
  <si>
    <t>3690957139822394</t>
  </si>
  <si>
    <t>MLB1987841103</t>
  </si>
  <si>
    <t>U1100603456</t>
  </si>
  <si>
    <t>Manopla Cambio Automatico Ford Focus Fiesta 05/12</t>
  </si>
  <si>
    <t>8326851621325731</t>
  </si>
  <si>
    <t>MLB1988962872</t>
  </si>
  <si>
    <t>U747114594</t>
  </si>
  <si>
    <t>Manopla Cromada Voyage / Gol / Saveiro G5 E G6 Original</t>
  </si>
  <si>
    <t>5749311001558688</t>
  </si>
  <si>
    <t>MLB2152605963</t>
  </si>
  <si>
    <t>U1315084455</t>
  </si>
  <si>
    <t>Tela Original 3.5 Lcd Satlink Ws-6902 6905 6906 6908 6909...</t>
  </si>
  <si>
    <t>945483673405471</t>
  </si>
  <si>
    <t>MLB2612422816</t>
  </si>
  <si>
    <t>U1108619534</t>
  </si>
  <si>
    <t>Ventosa Manual Sucção Vácuo Marmoraria Profissional 200kg</t>
  </si>
  <si>
    <t>Desamassador de ventosa</t>
  </si>
  <si>
    <t>635881894030353</t>
  </si>
  <si>
    <t>MLB3298324219</t>
  </si>
  <si>
    <t>U1380109399</t>
  </si>
  <si>
    <t>Módulo Placa Fusíveis Bateria Peugeot 3008 C4 Picasso 6500gr</t>
  </si>
  <si>
    <t>MLB3618050495</t>
  </si>
  <si>
    <t>Guia Farol Dianteiro Dianteiro Hr-v 2015 2016 2017 2018 2019</t>
  </si>
  <si>
    <t>Quadros dos faróis dianteiros para carros e caminhonetes</t>
  </si>
  <si>
    <t>181991690407</t>
  </si>
  <si>
    <t>181991690409</t>
  </si>
  <si>
    <t>4655282781383017</t>
  </si>
  <si>
    <t>MLB3913408297</t>
  </si>
  <si>
    <t>U2830826275</t>
  </si>
  <si>
    <t>Filtro Regulador Evotek 1/4  Ar Compressor C/ Manômetro</t>
  </si>
  <si>
    <t>7044975040268982</t>
  </si>
  <si>
    <t>MLB4335219706</t>
  </si>
  <si>
    <t>U2393515758</t>
  </si>
  <si>
    <t>Motor Arranque Partida Ktm 2t 250 300 Exc 55140001100 410w</t>
  </si>
  <si>
    <t>4012147242514475</t>
  </si>
  <si>
    <t>MLB4375795068</t>
  </si>
  <si>
    <t>U1162311111</t>
  </si>
  <si>
    <t>1957466184273422</t>
  </si>
  <si>
    <t>MLB4411212850</t>
  </si>
  <si>
    <t>U784402657</t>
  </si>
  <si>
    <t>Anel Vedação Completo Resfriador Trocador Calor Journey 3.6</t>
  </si>
  <si>
    <t>4176689587658511</t>
  </si>
  <si>
    <t>MLB4670292924</t>
  </si>
  <si>
    <t>U781499628</t>
  </si>
  <si>
    <t>Pisca Seta Retrovisor P/ Hyundai Ix35 2010 2011 2012 2013 14</t>
  </si>
  <si>
    <t>7957715506894269</t>
  </si>
  <si>
    <t>MLB4750056848</t>
  </si>
  <si>
    <t>U782142294</t>
  </si>
  <si>
    <t>Mangueira Intercooler A Turbina Frontier  190cv 144635x02b</t>
  </si>
  <si>
    <t>4792050871024151</t>
  </si>
  <si>
    <t>MLB5113786214</t>
  </si>
  <si>
    <t>U2208894993</t>
  </si>
  <si>
    <t>Válvula Morcego Banco Isri Para Volvo Fh /fm/ Fmx - 20748450</t>
  </si>
  <si>
    <t>8190830261576847</t>
  </si>
  <si>
    <t>MLB5956982160</t>
  </si>
  <si>
    <t>U3603415190</t>
  </si>
  <si>
    <t>167-2</t>
  </si>
  <si>
    <t>Extensor Válvula Bico Pneu 135 Graus Silver Moto Adaptador</t>
  </si>
  <si>
    <t>5055537772870111</t>
  </si>
  <si>
    <t>MLB1988927706</t>
  </si>
  <si>
    <t>U747105432</t>
  </si>
  <si>
    <t>80</t>
  </si>
  <si>
    <t>Carcaça C/ Valvula Termostatica Volvo Xc60 V60 Freelander 2</t>
  </si>
  <si>
    <t>Bombas de água para veículos</t>
  </si>
  <si>
    <t>7205970953423773</t>
  </si>
  <si>
    <t>MLB2103621703</t>
  </si>
  <si>
    <t>U1103250370</t>
  </si>
  <si>
    <t>344-K</t>
  </si>
  <si>
    <t>Par Tração De Roda F250 F350 F4000 4x4</t>
  </si>
  <si>
    <t>820261463915195</t>
  </si>
  <si>
    <t>MLB2121775728</t>
  </si>
  <si>
    <t>U747314991</t>
  </si>
  <si>
    <t>333</t>
  </si>
  <si>
    <t>Cinto Anti Alarme Mitsubishi Pajero Adaptador Segurança</t>
  </si>
  <si>
    <t>4171174487752838</t>
  </si>
  <si>
    <t>MLB3502509157</t>
  </si>
  <si>
    <t>U765812210</t>
  </si>
  <si>
    <t>7959539407975166</t>
  </si>
  <si>
    <t>MLB3584541045</t>
  </si>
  <si>
    <t>U1143698600</t>
  </si>
  <si>
    <t>Broca Furo Espiral Para Plantio Jardim Portátil Uso Fácil</t>
  </si>
  <si>
    <t>828966864929605</t>
  </si>
  <si>
    <t>MLB3596218285</t>
  </si>
  <si>
    <t>U2296573702</t>
  </si>
  <si>
    <t>Retentor Do Comando De Valvulas Sonic 1.6 2012 2013 2014</t>
  </si>
  <si>
    <t>2302724703083142</t>
  </si>
  <si>
    <t>MLB3658452839</t>
  </si>
  <si>
    <t>U2307719699</t>
  </si>
  <si>
    <t>Mangueira Retorno Reservatório Água Gm Cruze Tracker Saída</t>
  </si>
  <si>
    <t>7020334321958238</t>
  </si>
  <si>
    <t>MLB3950755258</t>
  </si>
  <si>
    <t>U2363557681</t>
  </si>
  <si>
    <t>Mangueira Retorno Reservatório Água Cruze 1.8 55579102</t>
  </si>
  <si>
    <t>977532960068451</t>
  </si>
  <si>
    <t>MLB4007049949</t>
  </si>
  <si>
    <t>U3073644357</t>
  </si>
  <si>
    <t>Tubo De Agua Da Grand Cherokee E Dodge Ram 3.0 V6 2013-2019</t>
  </si>
  <si>
    <t>Tubos de líquido de arrefecimento do motor para veículos</t>
  </si>
  <si>
    <t>4371782974714864</t>
  </si>
  <si>
    <t>MLB4060785769</t>
  </si>
  <si>
    <t>U3176570512</t>
  </si>
  <si>
    <t>Esguicho Hutz Multi Jatos 8 Funções Com Reservatório Sabão 100ml</t>
  </si>
  <si>
    <t>543170174124195</t>
  </si>
  <si>
    <t>MLB1987809522</t>
  </si>
  <si>
    <t>U1288706213</t>
  </si>
  <si>
    <t>Motor Partida Ktm 2t Exc 200 300 Xcw 250 300 Novo</t>
  </si>
  <si>
    <t>517325688266961</t>
  </si>
  <si>
    <t>MLB2079306227</t>
  </si>
  <si>
    <t>U746661381</t>
  </si>
  <si>
    <t>Filtros Combustível Bmw 120i 320i 325i X1 Modelos Actveflex</t>
  </si>
  <si>
    <t>8333270056141700</t>
  </si>
  <si>
    <t>MLB2894827496</t>
  </si>
  <si>
    <t>U753340297</t>
  </si>
  <si>
    <t>Tampa Portinhola Tanque Combustivel Ford Focus 2009-2013</t>
  </si>
  <si>
    <t>5140703220229890</t>
  </si>
  <si>
    <t>MLB2981782049</t>
  </si>
  <si>
    <t>U795615177</t>
  </si>
  <si>
    <t>Sensor Tps Posição Borboleta Honda Civic Accord Crv Prelude</t>
  </si>
  <si>
    <t>1010567049270242</t>
  </si>
  <si>
    <t>MLB3036134540</t>
  </si>
  <si>
    <t>U754060497</t>
  </si>
  <si>
    <t>Conexão Flange De Água Cabeçote Jetta Passat Tiguan 2.0 Tsi</t>
  </si>
  <si>
    <t>MLB3564167505</t>
  </si>
  <si>
    <t>U1141933138</t>
  </si>
  <si>
    <t>MLB3568256741</t>
  </si>
  <si>
    <t>U765786883</t>
  </si>
  <si>
    <t>4340488641863846</t>
  </si>
  <si>
    <t>MLB3584436853</t>
  </si>
  <si>
    <t>U1143746368</t>
  </si>
  <si>
    <t>Broca Jardim Espiral Ferramenta Escavadeira Buraco Plantio</t>
  </si>
  <si>
    <t>5371447793298791</t>
  </si>
  <si>
    <t>MLB3747794275</t>
  </si>
  <si>
    <t>U768717733</t>
  </si>
  <si>
    <t>Kit 100 Presilhas Grampos Mitsubishi L200 Asx Pajero Citroen</t>
  </si>
  <si>
    <t>6653382196983671</t>
  </si>
  <si>
    <t>MLB3885317533</t>
  </si>
  <si>
    <t>U2468337744</t>
  </si>
  <si>
    <t>307-2</t>
  </si>
  <si>
    <t>Chicote P/ Carcaça Válvula Termostática Peugeot 308/408 Thp</t>
  </si>
  <si>
    <t>31273412825890</t>
  </si>
  <si>
    <t>MLB3902435207</t>
  </si>
  <si>
    <t>U2716645630</t>
  </si>
  <si>
    <t>Talha Manual 1 Tonelada 1000 Kg Corrente 10 Metros Deckas</t>
  </si>
  <si>
    <t>3604822773263074</t>
  </si>
  <si>
    <t>MLB4337875236</t>
  </si>
  <si>
    <t>U1165579194</t>
  </si>
  <si>
    <t>Ferramenta Ativação Sensor Pressão Pneu Tpms Sincronizador</t>
  </si>
  <si>
    <t>8185175667034471</t>
  </si>
  <si>
    <t>MLB4445536326</t>
  </si>
  <si>
    <t>U776584929</t>
  </si>
  <si>
    <t>Sensor Posição Borboleta Tps Honda Accord Civic Cr-v Prelude</t>
  </si>
  <si>
    <t>8738565855942975</t>
  </si>
  <si>
    <t>MLB2026820566</t>
  </si>
  <si>
    <t>U745571061</t>
  </si>
  <si>
    <t>Kit Alavanca Manopla Freio De Mão Honda New Civic Si 2007-11</t>
  </si>
  <si>
    <t>8636754013782555</t>
  </si>
  <si>
    <t>MLB2063178138</t>
  </si>
  <si>
    <t>U1102507726</t>
  </si>
  <si>
    <t>Difusor Ar Console Central Jetta 2.5 Original</t>
  </si>
  <si>
    <t>1706766925654073</t>
  </si>
  <si>
    <t>MLB2179982700</t>
  </si>
  <si>
    <t>U1102494301</t>
  </si>
  <si>
    <t>Painel Elétrico 5 Botões Usb Voltímetro Tomada Gptrend</t>
  </si>
  <si>
    <t>4812836085364075</t>
  </si>
  <si>
    <t>MLB2661418027</t>
  </si>
  <si>
    <t>U749819571</t>
  </si>
  <si>
    <t>Interruptor Botao Comando Vidro Renault Fluence  13 14 15 16</t>
  </si>
  <si>
    <t>MLB2991685459</t>
  </si>
  <si>
    <t>Engrenagem Caixa De Transferencia Bmw X3 3.0</t>
  </si>
  <si>
    <t>175919064909</t>
  </si>
  <si>
    <t>27-2</t>
  </si>
  <si>
    <t>175919064908</t>
  </si>
  <si>
    <t>27-1</t>
  </si>
  <si>
    <t>7125029041616916</t>
  </si>
  <si>
    <t>MLB3502716727</t>
  </si>
  <si>
    <t>U762760285</t>
  </si>
  <si>
    <t>Grade Dianteira Toyota Corolla 2015 2016 2017 Cromada</t>
  </si>
  <si>
    <t>2070400518496905</t>
  </si>
  <si>
    <t>MLB4333704744</t>
  </si>
  <si>
    <t>U1165650554</t>
  </si>
  <si>
    <t>Boia Sensor Nível Combustível Focus 2.0 Duratec 2008 Á 2009</t>
  </si>
  <si>
    <t>MLB4473697112</t>
  </si>
  <si>
    <t>179919311118</t>
  </si>
  <si>
    <t>179919311116</t>
  </si>
  <si>
    <t>5354881677270742</t>
  </si>
  <si>
    <t>MLB4670396294</t>
  </si>
  <si>
    <t>U781501680</t>
  </si>
  <si>
    <t>Pisca Retrovisor Hyundai Sonata L Esquerdo Importado Novo</t>
  </si>
  <si>
    <t>1671084025680061</t>
  </si>
  <si>
    <t>MLB4771509154</t>
  </si>
  <si>
    <t>U782135306</t>
  </si>
  <si>
    <t>6686969436985525</t>
  </si>
  <si>
    <t>MLB1991268011</t>
  </si>
  <si>
    <t>U1102221965</t>
  </si>
  <si>
    <t>Tampa Reservatório Água Radiador Spin /tracker Original</t>
  </si>
  <si>
    <t>8553009737847579</t>
  </si>
  <si>
    <t>MLB2108581259</t>
  </si>
  <si>
    <t>U750301266</t>
  </si>
  <si>
    <t>Retentor Do Virabrequim Lado Volante Civic 1.6 1996 A 2000</t>
  </si>
  <si>
    <t>6015079139331254</t>
  </si>
  <si>
    <t>MLB2127140953</t>
  </si>
  <si>
    <t>U1100476067</t>
  </si>
  <si>
    <t>Super Broca Helicoidal P/ Solo Terra Jardim Espiral Metal</t>
  </si>
  <si>
    <t>2745895817258948</t>
  </si>
  <si>
    <t>MLB3288374879</t>
  </si>
  <si>
    <t>U1125328322</t>
  </si>
  <si>
    <t>Puxador Interno Porta Bmw 528i 535i 550i M5 Bege 2011 - 2016</t>
  </si>
  <si>
    <t>MLB3438431953</t>
  </si>
  <si>
    <t>U1398265376</t>
  </si>
  <si>
    <t>MLB3509386405</t>
  </si>
  <si>
    <t>Ventosa Manual, Alça/bomba Em Plástico Industrial -máx 200kg</t>
  </si>
  <si>
    <t>600833128102725</t>
  </si>
  <si>
    <t>MLB3557236595</t>
  </si>
  <si>
    <t>U1134260450</t>
  </si>
  <si>
    <t>Suporte Tampa Tanque Ford Focus 2009 Á 2019 Preto</t>
  </si>
  <si>
    <t>3176276075638185</t>
  </si>
  <si>
    <t>MLB3582691365</t>
  </si>
  <si>
    <t>U2293158562</t>
  </si>
  <si>
    <t>Medidor Sensor Maf Fluxo Ar Grand Vitara Gm Tracker</t>
  </si>
  <si>
    <t>MLB3692066514</t>
  </si>
  <si>
    <t>U770468936</t>
  </si>
  <si>
    <t>139405450293287</t>
  </si>
  <si>
    <t>MLB3899732231</t>
  </si>
  <si>
    <t>U1120929676</t>
  </si>
  <si>
    <t>4147594982481115</t>
  </si>
  <si>
    <t>MLB4936573640</t>
  </si>
  <si>
    <t>U788367410</t>
  </si>
  <si>
    <t>Reservatório Direção Hidráulica Para Ford Fiesta 2002 A 2014</t>
  </si>
  <si>
    <t>MLB1984823376</t>
  </si>
  <si>
    <t>U1100573836</t>
  </si>
  <si>
    <t>MLB2997023189</t>
  </si>
  <si>
    <t>Amortecedor A Gás Caçamba Chevrolet S10 Lt Ltz 2013 2022</t>
  </si>
  <si>
    <t>175939979165</t>
  </si>
  <si>
    <t>175939979166</t>
  </si>
  <si>
    <t>MLB2997613063</t>
  </si>
  <si>
    <t>Botão Alavanca Câmbio Automático Honda Accord 1998-2002</t>
  </si>
  <si>
    <t>175942386399</t>
  </si>
  <si>
    <t>175942386398</t>
  </si>
  <si>
    <t>986928127307865</t>
  </si>
  <si>
    <t>MLB3042634461</t>
  </si>
  <si>
    <t>U754075131</t>
  </si>
  <si>
    <t>Carburador Honda Biz 100 Sundown Web 100 Dream C100 98a 2005</t>
  </si>
  <si>
    <t>2507506057428962</t>
  </si>
  <si>
    <t>MLB3539262044</t>
  </si>
  <si>
    <t>U765094233</t>
  </si>
  <si>
    <t>Kit 415 Presilhas Grampos Fixadores Parabarro Carro + Chave</t>
  </si>
  <si>
    <t>8776595056154211</t>
  </si>
  <si>
    <t>MLB3557424429</t>
  </si>
  <si>
    <t>U765105793</t>
  </si>
  <si>
    <t>Kit Capa Do Freio De Mão Honda New Civic 2006 A 2011 Full</t>
  </si>
  <si>
    <t>5505118091193999</t>
  </si>
  <si>
    <t>MLB3576638829</t>
  </si>
  <si>
    <t>U1142760042</t>
  </si>
  <si>
    <t>Maçaneta Externa Porta Dianteira Direita Sorento 2007 2008</t>
  </si>
  <si>
    <t>Preto Dianteira</t>
  </si>
  <si>
    <t>485085597359088</t>
  </si>
  <si>
    <t>MLB3866615819</t>
  </si>
  <si>
    <t>U1858572922</t>
  </si>
  <si>
    <t>Caneta Stylus Com Palm Rejection iPad 9 Geração 10.2</t>
  </si>
  <si>
    <t>2122140670970756</t>
  </si>
  <si>
    <t>MLB3884217515</t>
  </si>
  <si>
    <t>U2460396946</t>
  </si>
  <si>
    <t>2536704321199374</t>
  </si>
  <si>
    <t>MLB3892173916</t>
  </si>
  <si>
    <t>U2357194179</t>
  </si>
  <si>
    <t>Tampinha Esguich Limpador Farol Direito Focus 2014 2015</t>
  </si>
  <si>
    <t>2381406009790288</t>
  </si>
  <si>
    <t>MLB4315801277</t>
  </si>
  <si>
    <t>U3572914371</t>
  </si>
  <si>
    <t>167-1</t>
  </si>
  <si>
    <t>Alongador Bico Do Pneu Válvula Moto Carro Bike 45 Graus</t>
  </si>
  <si>
    <t>8109090785237377</t>
  </si>
  <si>
    <t>MLB4356513338</t>
  </si>
  <si>
    <t>U1161819593</t>
  </si>
  <si>
    <t>Sensor Combustível Nível Boia Ix35 Gasolina 2010/ Sportage</t>
  </si>
  <si>
    <t>323785864419193</t>
  </si>
  <si>
    <t>MLB4359755620</t>
  </si>
  <si>
    <t>U787315432</t>
  </si>
  <si>
    <t>Bomba Vácuo Peugeot Citroen Thp 1.6 16v Turbo Ds3 C4 Rcz</t>
  </si>
  <si>
    <t>Bombas de vácuo diésel para veículos</t>
  </si>
  <si>
    <t>951584212114207</t>
  </si>
  <si>
    <t>MLB4657581472</t>
  </si>
  <si>
    <t>U781505212</t>
  </si>
  <si>
    <t>Tela Touch Screen Peugeot 208 2008 2018 A 2020 Multimidia</t>
  </si>
  <si>
    <t>1385284748697860</t>
  </si>
  <si>
    <t>MLB4761872520</t>
  </si>
  <si>
    <t>U1166792815</t>
  </si>
  <si>
    <t>Motor Arranque Partida Ktm 2 Tempo Ktm 250 Xc Ktm 300 Xc</t>
  </si>
  <si>
    <t>1670993284608913</t>
  </si>
  <si>
    <t>MLB5416036662</t>
  </si>
  <si>
    <t>U3220754526</t>
  </si>
  <si>
    <t>Lâmpada D4r Xenon 12v 35w Toyota Corolla Altis 4300k</t>
  </si>
  <si>
    <t>5803604505099572</t>
  </si>
  <si>
    <t>MLB1984832123</t>
  </si>
  <si>
    <t>U1096925579</t>
  </si>
  <si>
    <t>Tampa Portinhola Tanque Focus 2008 2009 2010 2011 2012 2013</t>
  </si>
  <si>
    <t>2021147402862206</t>
  </si>
  <si>
    <t>MLB2156469166</t>
  </si>
  <si>
    <t>U1319763984</t>
  </si>
  <si>
    <t>Fita Par Led Flexível Fina Seqüencial Farol Drl 60 Cm Carro</t>
  </si>
  <si>
    <t>4633878179726277</t>
  </si>
  <si>
    <t>MLB2928875422</t>
  </si>
  <si>
    <t>U1115068213</t>
  </si>
  <si>
    <t>Par Roda Livre Automática Nissan Frontier X-terra Pick Up</t>
  </si>
  <si>
    <t>4195211585535903</t>
  </si>
  <si>
    <t>MLB3286413697</t>
  </si>
  <si>
    <t>U1125220696</t>
  </si>
  <si>
    <t>Roda Livre Manual Gptrend Ford Ranger Tração 4x4</t>
  </si>
  <si>
    <t>1678392362878540</t>
  </si>
  <si>
    <t>MLB3571999085</t>
  </si>
  <si>
    <t>U768913332</t>
  </si>
  <si>
    <t>Carburador Honda Biz 100 1998-2005 Modelo Original Completo</t>
  </si>
  <si>
    <t>2770558517173095</t>
  </si>
  <si>
    <t>MLB3983900449</t>
  </si>
  <si>
    <t>U3028461295</t>
  </si>
  <si>
    <t>198-2</t>
  </si>
  <si>
    <t>Maçaneta Externa Sorento Dianteira Esquerda</t>
  </si>
  <si>
    <t>MLB4473710012</t>
  </si>
  <si>
    <t>179919336020</t>
  </si>
  <si>
    <t>179919336018</t>
  </si>
  <si>
    <t>1916639638068595</t>
  </si>
  <si>
    <t>MLB4944444726</t>
  </si>
  <si>
    <t>U784473985</t>
  </si>
  <si>
    <t>449-K</t>
  </si>
  <si>
    <t>Kit Grade Inferior + Grade Superior Chevrolet Malibu 2013</t>
  </si>
  <si>
    <t>Grades para veículos</t>
  </si>
  <si>
    <t>6788333318678440</t>
  </si>
  <si>
    <t>MLB2108564404</t>
  </si>
  <si>
    <t>U783435374</t>
  </si>
  <si>
    <t>Retentor Do Virabrequim Lado Volante Honda Civic 1.7 E 1.6</t>
  </si>
  <si>
    <t>MLB2172002283</t>
  </si>
  <si>
    <t>Pisca Seta Retrovisor Sorento 2011 2012 2013 2014 2015</t>
  </si>
  <si>
    <t>Espelhos laterais para carros e caminhonetes</t>
  </si>
  <si>
    <t>174184579132</t>
  </si>
  <si>
    <t>375-1</t>
  </si>
  <si>
    <t>174184579131</t>
  </si>
  <si>
    <t>375-2</t>
  </si>
  <si>
    <t>Esquerda</t>
  </si>
  <si>
    <t>7550867261416263</t>
  </si>
  <si>
    <t>MLB2928757624</t>
  </si>
  <si>
    <t>U1115066919</t>
  </si>
  <si>
    <t>Roda Livre Automática Nissan Frontier X-terra Navara D22,</t>
  </si>
  <si>
    <t>8483619559174523</t>
  </si>
  <si>
    <t>MLB3006387706</t>
  </si>
  <si>
    <t>U754071539</t>
  </si>
  <si>
    <t>Bico Aspersor Nebulizador 1/2 Latão Metal Regul</t>
  </si>
  <si>
    <t>1940120172749203</t>
  </si>
  <si>
    <t>MLB3558056423</t>
  </si>
  <si>
    <t>U768151102</t>
  </si>
  <si>
    <t>Cabo Auxiliar Carro Fiat Para Rádio Original Punto Palio</t>
  </si>
  <si>
    <t>4504760813042835</t>
  </si>
  <si>
    <t>MLB3558108785</t>
  </si>
  <si>
    <t>U768158106</t>
  </si>
  <si>
    <t>Cabo Auxiliar Para Radio Original Do Fiat Punto Promoção</t>
  </si>
  <si>
    <t>Cabos e adaptadores de áudio e vídeo</t>
  </si>
  <si>
    <t>1770102425024063</t>
  </si>
  <si>
    <t>MLB3559490787</t>
  </si>
  <si>
    <t>U765091049</t>
  </si>
  <si>
    <t>Adaptador Hub Para Macbook Pro Air Thunderbolt Usb C Hdmi 4k</t>
  </si>
  <si>
    <t>7834186766156139</t>
  </si>
  <si>
    <t>MLB3564109883</t>
  </si>
  <si>
    <t>U768918228</t>
  </si>
  <si>
    <t>Lanterna 48 Led Fita Flexível Moto Pisca Luz Freio Custom</t>
  </si>
  <si>
    <t>7097168335165054</t>
  </si>
  <si>
    <t>MLB3591654052</t>
  </si>
  <si>
    <t>U768907872</t>
  </si>
  <si>
    <t>Acessorios Honda Civic Touring Turbo G10 Ponteira Par Top Ho</t>
  </si>
  <si>
    <t>Coletores de escapamento para veículos</t>
  </si>
  <si>
    <t>8337814050558380</t>
  </si>
  <si>
    <t>MLB3692095662</t>
  </si>
  <si>
    <t>U770470056</t>
  </si>
  <si>
    <t>Adaptador Hub Para Macbook Air M1 M2 8 Em 1 Usb-c Hdmi 4k</t>
  </si>
  <si>
    <t>1411915160985813</t>
  </si>
  <si>
    <t>MLB3935451177</t>
  </si>
  <si>
    <t>U2906761798</t>
  </si>
  <si>
    <t>Botão De Vidro Elétrico Simples Sprinter 311/313/415/515</t>
  </si>
  <si>
    <t>7690610883016663</t>
  </si>
  <si>
    <t>MLB4000715459</t>
  </si>
  <si>
    <t>U3061684191</t>
  </si>
  <si>
    <t>Bandeja Dianteira Ford Fusion 2.0 Lado Direito 2013 A 2017</t>
  </si>
  <si>
    <t>MLB4006302981</t>
  </si>
  <si>
    <t>U3077458590</t>
  </si>
  <si>
    <t>8823371817351790</t>
  </si>
  <si>
    <t>MLB4056151659</t>
  </si>
  <si>
    <t>U3169180632</t>
  </si>
  <si>
    <t>Tampa Filtro Ar Condicionado Vw Audi Jetta Passat Tiguan</t>
  </si>
  <si>
    <t>3902092735628302</t>
  </si>
  <si>
    <t>MLB4113974573</t>
  </si>
  <si>
    <t>U3269161063</t>
  </si>
  <si>
    <t>285</t>
  </si>
  <si>
    <t>Botão Vidro Eletrico Para Kia Sorento 2010 A 2014 ( 1 X Auto</t>
  </si>
  <si>
    <t>7175773577023303</t>
  </si>
  <si>
    <t>MLB4340741952</t>
  </si>
  <si>
    <t>U778550174</t>
  </si>
  <si>
    <t>Junta Valvula Anel Filtro Solenoide Vtec Honda Civic 1.6 1.7</t>
  </si>
  <si>
    <t>3905096841620437</t>
  </si>
  <si>
    <t>MLB5530093628</t>
  </si>
  <si>
    <t>U3334526164</t>
  </si>
  <si>
    <t>454</t>
  </si>
  <si>
    <t>Botão Freio Mão Honda Civic 2016 2017 2018</t>
  </si>
  <si>
    <t>Interruptores de trava central para veículos</t>
  </si>
  <si>
    <t>MLB1985554385</t>
  </si>
  <si>
    <t>U744121061</t>
  </si>
  <si>
    <t>6057449884767226</t>
  </si>
  <si>
    <t>MLB3502508943</t>
  </si>
  <si>
    <t>U782296401</t>
  </si>
  <si>
    <t>Par Pisca Seta Sequencial Retrovisor Bmw G20 340 440i 320 M3</t>
  </si>
  <si>
    <t>7103065342956618</t>
  </si>
  <si>
    <t>MLB3583863743</t>
  </si>
  <si>
    <t>U1143652936</t>
  </si>
  <si>
    <t>Ponteira Escape Amg Para Mercedes Classes A B C E Glc</t>
  </si>
  <si>
    <t>4941994648324850</t>
  </si>
  <si>
    <t>MLB3651679373</t>
  </si>
  <si>
    <t>U2305488323</t>
  </si>
  <si>
    <t>Grampo Presilha Parabarro Parachoque Fixadores Kit 100pçs</t>
  </si>
  <si>
    <t>8143893344183645</t>
  </si>
  <si>
    <t>MLB3653649123</t>
  </si>
  <si>
    <t>U1149619292</t>
  </si>
  <si>
    <t>Par Válvula Bico Esportivo Pneu Moto 90 Graus Alumínio</t>
  </si>
  <si>
    <t>MLB4183842990</t>
  </si>
  <si>
    <t>U2379039789</t>
  </si>
  <si>
    <t>MLB4233190554</t>
  </si>
  <si>
    <t>U2386804258</t>
  </si>
  <si>
    <t>7002812904412905</t>
  </si>
  <si>
    <t>MLB4319570435</t>
  </si>
  <si>
    <t>U3603494664</t>
  </si>
  <si>
    <t>Válvula Extensora 135° Silver Para Bicicleta</t>
  </si>
  <si>
    <t>MLB4938751960</t>
  </si>
  <si>
    <t>Guia Farol Dianteiro Honda Hr-v 2015 2016 2017 2018</t>
  </si>
  <si>
    <t>183878889613</t>
  </si>
  <si>
    <t>183878889611</t>
  </si>
  <si>
    <t>6374471026463688</t>
  </si>
  <si>
    <t>MLB4942976702</t>
  </si>
  <si>
    <t>U784470571</t>
  </si>
  <si>
    <t>Grade Honda City Preta 2016 2017 2018 Nova</t>
  </si>
  <si>
    <t>4330869739139105</t>
  </si>
  <si>
    <t>MLB5187032368</t>
  </si>
  <si>
    <t>U2835804628</t>
  </si>
  <si>
    <t>Filtro De Ar 1/4 Deckas Afr-2000 Para Compressor 150 Psi</t>
  </si>
  <si>
    <t>Kits de acessórios para compressores de ar</t>
  </si>
  <si>
    <t>5858577112379778</t>
  </si>
  <si>
    <t>MLB5957137660</t>
  </si>
  <si>
    <t>U3596100637</t>
  </si>
  <si>
    <t>167-2K</t>
  </si>
  <si>
    <t>Par Extensor Válvula Bico 135 Graus Silver Moto Adaptador</t>
  </si>
  <si>
    <t>8481075513217522</t>
  </si>
  <si>
    <t>MLB2121794656</t>
  </si>
  <si>
    <t>U759482400</t>
  </si>
  <si>
    <t>333-K</t>
  </si>
  <si>
    <t>Cinto Anti Alarme Mitsubishi Pajero Adaptador Segurança- Par</t>
  </si>
  <si>
    <t>5294889706422965</t>
  </si>
  <si>
    <t>MLB3277994325</t>
  </si>
  <si>
    <t>U1378622827</t>
  </si>
  <si>
    <t>Pisca Retrovisor Hyundai Sonata Lado Direito Importado Novo</t>
  </si>
  <si>
    <t>MLB3386957411</t>
  </si>
  <si>
    <t>Ducha Spray Jato Mangueira Banho Cães E Gatos Chuveiro Pe</t>
  </si>
  <si>
    <t>255675742178252</t>
  </si>
  <si>
    <t>MLB3558151207</t>
  </si>
  <si>
    <t>U768143948</t>
  </si>
  <si>
    <t>Tapete De Atividades Para Bebes Inflavel Interativo Aquario</t>
  </si>
  <si>
    <t>3364131804978084</t>
  </si>
  <si>
    <t>MLB4334094249</t>
  </si>
  <si>
    <t>U3641373700</t>
  </si>
  <si>
    <t>Suporte Celular Por Indução Bmw Gs1200 1250 F850 Xr 1000</t>
  </si>
  <si>
    <t>718626011542976</t>
  </si>
  <si>
    <t>MLB4343495522</t>
  </si>
  <si>
    <t>U2394039558</t>
  </si>
  <si>
    <t>Mangueira De Retorno Dos Bicos Sprinter 311 / 415 / 515</t>
  </si>
  <si>
    <t>8586463591978474</t>
  </si>
  <si>
    <t>MLB4375783552</t>
  </si>
  <si>
    <t>U1166118372</t>
  </si>
  <si>
    <t>Tubo Conexão Mangueira Radiador Freemont 2.4 2012 2013 2014</t>
  </si>
  <si>
    <t>6389213934366155</t>
  </si>
  <si>
    <t>MLB4512661002</t>
  </si>
  <si>
    <t>U779673878</t>
  </si>
  <si>
    <t>Pisca Retrovisor Lado Esquerdo Sonata 2011 2012 2013 2014 15</t>
  </si>
  <si>
    <t>7821369163925203</t>
  </si>
  <si>
    <t>MLB4586328416</t>
  </si>
  <si>
    <t>U1168234896</t>
  </si>
  <si>
    <t>Lampada Xenon D4r Reposição 35w 4300k  Corolla Hilux</t>
  </si>
  <si>
    <t>MLB4942973736</t>
  </si>
  <si>
    <t>Bandeja Dianteira L Direito Fusion 2013 2014 2015 16</t>
  </si>
  <si>
    <t>183896992827</t>
  </si>
  <si>
    <t>183896992829</t>
  </si>
  <si>
    <t>8296780732761814</t>
  </si>
  <si>
    <t>MLB5266062134</t>
  </si>
  <si>
    <t>U2979296892</t>
  </si>
  <si>
    <t>Aneis Vedação Resfriador Calor Wrangler Dodge Charge 3.6 7pc</t>
  </si>
  <si>
    <t>5449783973223536</t>
  </si>
  <si>
    <t>MLB5957033968</t>
  </si>
  <si>
    <t>U3603434144</t>
  </si>
  <si>
    <t>Extensor Válvula Bico 135° Silver Para Bicicleta</t>
  </si>
  <si>
    <t>6630944301969864</t>
  </si>
  <si>
    <t>MLB1978126939</t>
  </si>
  <si>
    <t>U1096929651</t>
  </si>
  <si>
    <t>289</t>
  </si>
  <si>
    <t>Medidor De Fluxo Ar 7 Pinos Mitsubishi Pajero Tr4 2.0 16v</t>
  </si>
  <si>
    <t>469148444720849</t>
  </si>
  <si>
    <t>MLB2152622019</t>
  </si>
  <si>
    <t>U1318961462</t>
  </si>
  <si>
    <t>Display Tela Lcd Satlink Ws 6950 Hd 3.5 Polegadas</t>
  </si>
  <si>
    <t>7203669331192130</t>
  </si>
  <si>
    <t>MLB2162495353</t>
  </si>
  <si>
    <t>U1101518201</t>
  </si>
  <si>
    <t>373</t>
  </si>
  <si>
    <t xml:space="preserve">Carcaça E Válvula Termostática Freemont 2.4 Compass 2.0 </t>
  </si>
  <si>
    <t>4736170689980034</t>
  </si>
  <si>
    <t>MLB2170238955</t>
  </si>
  <si>
    <t>U750915440</t>
  </si>
  <si>
    <t>Tampa + Flange Conexão Radiador Freemont 2.4 Dodge Journey</t>
  </si>
  <si>
    <t>5131636517946803</t>
  </si>
  <si>
    <t>MLB2991886117</t>
  </si>
  <si>
    <t>U754089553</t>
  </si>
  <si>
    <t>Sensor Modulador Turbina L200 Pajero Sport 2.5 Diesel Orig.</t>
  </si>
  <si>
    <t>4232416683276443</t>
  </si>
  <si>
    <t>MLB3438472595</t>
  </si>
  <si>
    <t>U1398292762</t>
  </si>
  <si>
    <t>Tampa Esguicho Lavador Farol Sorento 2010 2011 2012 2013</t>
  </si>
  <si>
    <t>4544128211367823</t>
  </si>
  <si>
    <t>MLB3789242767</t>
  </si>
  <si>
    <t>U2628272163</t>
  </si>
  <si>
    <t>457-2</t>
  </si>
  <si>
    <t>Acessorios Mercedes W205 C180 C200 C250 Gtr Amg Grade Chrome</t>
  </si>
  <si>
    <t>6178603366236072</t>
  </si>
  <si>
    <t>MLB3885272231</t>
  </si>
  <si>
    <t>U2468348996</t>
  </si>
  <si>
    <t>Chicote Válvula Termostática Sensor Temperatura Thp 1.6 Turb</t>
  </si>
  <si>
    <t>7088545510774064</t>
  </si>
  <si>
    <t>MLB3944426609</t>
  </si>
  <si>
    <t>U2923335293</t>
  </si>
  <si>
    <t>Ventosa Profissional Sucção A Vácuo Vidro Mármore 200kg Top</t>
  </si>
  <si>
    <t>MLB4183547432</t>
  </si>
  <si>
    <t>U787153210</t>
  </si>
  <si>
    <t>698244125160059</t>
  </si>
  <si>
    <t>MLB4334035248</t>
  </si>
  <si>
    <t>U1161929059</t>
  </si>
  <si>
    <t>Botao Piloto Automático Controle Velocidade Focus Mk 2,5</t>
  </si>
  <si>
    <t>2280832020706066</t>
  </si>
  <si>
    <t>MLB4392790418</t>
  </si>
  <si>
    <t>U2396797731</t>
  </si>
  <si>
    <t>Maçaneta Externa Kia Sorento Dianteira Esquerda 826503e010</t>
  </si>
  <si>
    <t>6665334653652474</t>
  </si>
  <si>
    <t>MLB4670241206</t>
  </si>
  <si>
    <t>U781508806</t>
  </si>
  <si>
    <t>Pisca Seta Retrovisor Sonata 2011 2012 2013 2014 Unidade</t>
  </si>
  <si>
    <t>1597260354240564</t>
  </si>
  <si>
    <t>MLB4939557412</t>
  </si>
  <si>
    <t>U784390665</t>
  </si>
  <si>
    <t>Kit Par Bandeja Dianteira Fusion 2013 2014 2015 2016 2017 -</t>
  </si>
  <si>
    <t>6845517882607350</t>
  </si>
  <si>
    <t>MLB5054931426</t>
  </si>
  <si>
    <t>U1071423136</t>
  </si>
  <si>
    <t>Alavanca Do Freio De Mão - Jac J3</t>
  </si>
  <si>
    <t>MLB5055031430</t>
  </si>
  <si>
    <t>U1071420064</t>
  </si>
  <si>
    <t>7261545371268687</t>
  </si>
  <si>
    <t>MLB3833309681</t>
  </si>
  <si>
    <t>U721376367</t>
  </si>
  <si>
    <t>Reservatorio De Oleo Da Hidraulica Fiesta Rocam 2002 A 2014</t>
  </si>
  <si>
    <t>8137805236828276</t>
  </si>
  <si>
    <t>MLB3840995325</t>
  </si>
  <si>
    <t>U907434324</t>
  </si>
  <si>
    <t>Alavanca Do Freio De Mão Jac J3 2010 Ao 2013 Original</t>
  </si>
  <si>
    <t>4567779754544774</t>
  </si>
  <si>
    <t>MLB3885091347</t>
  </si>
  <si>
    <t>U2462214075</t>
  </si>
  <si>
    <t>Chicote Plug Conector Peugeot Citroen 1.6 16v Thp 9804315380</t>
  </si>
  <si>
    <t>2311063916485173</t>
  </si>
  <si>
    <t>MLB3962309413</t>
  </si>
  <si>
    <t>U2988034446</t>
  </si>
  <si>
    <t>Sensor Medidor Maf Fluxo Ar J20a Tracker Grand Vitara</t>
  </si>
  <si>
    <t>3908458024325086</t>
  </si>
  <si>
    <t>MLB3998163089</t>
  </si>
  <si>
    <t>U3062006016</t>
  </si>
  <si>
    <t>Bandeja Dianteira Ford Fusion Lado Esquerdo De 2013 Até 2017</t>
  </si>
  <si>
    <t>1479107262802672</t>
  </si>
  <si>
    <t>MLB4000895541</t>
  </si>
  <si>
    <t>U3066982952</t>
  </si>
  <si>
    <t>Bandeja Dianteira Ford Fusion Lado Direito 2013 A 2017</t>
  </si>
  <si>
    <t>8244529827902554</t>
  </si>
  <si>
    <t>MLB4068455831</t>
  </si>
  <si>
    <t>U3189010412</t>
  </si>
  <si>
    <t>Sensor Nível Óleo Carter 307 308 408 C4 C5 Xsara Picasso 2.0</t>
  </si>
  <si>
    <t>8205480160444780</t>
  </si>
  <si>
    <t>MLB4090357929</t>
  </si>
  <si>
    <t>U3225181189</t>
  </si>
  <si>
    <t>Bomba De Direção Hidráulica Peugeot 206 / 207 2008 A 2015</t>
  </si>
  <si>
    <t>1983567715118267</t>
  </si>
  <si>
    <t>MLB4233340414</t>
  </si>
  <si>
    <t>U2386723420</t>
  </si>
  <si>
    <t>6150922264559406</t>
  </si>
  <si>
    <t>MLB4356852352</t>
  </si>
  <si>
    <t>U775431415</t>
  </si>
  <si>
    <t>Pisca 48 Led Fita Flexível Seta Lanterna Freio Moto Custom L</t>
  </si>
  <si>
    <t>7984903164460417</t>
  </si>
  <si>
    <t>MLB4433320474</t>
  </si>
  <si>
    <t>U792882907</t>
  </si>
  <si>
    <t>Placa Lanterna Traseira Bmw X3 2010 2011 2012 2013 Á 2017</t>
  </si>
  <si>
    <t>Chicotes elétricos para veículos</t>
  </si>
  <si>
    <t>MLB4944482982</t>
  </si>
  <si>
    <t>4256616947162507</t>
  </si>
  <si>
    <t>MLB4955974440</t>
  </si>
  <si>
    <t>U787499534</t>
  </si>
  <si>
    <t>Grade Dianteira Corolla Cromada 2015 2016 2017 Sem Emblema</t>
  </si>
  <si>
    <t>8174465920454229</t>
  </si>
  <si>
    <t>MLB5266087708</t>
  </si>
  <si>
    <t>U2979295578</t>
  </si>
  <si>
    <t>Aneis Resfriador Oleo Journey 3.6 Town Country Jeep Cherokee</t>
  </si>
  <si>
    <t>7529577244198398</t>
  </si>
  <si>
    <t>MLB5700799638</t>
  </si>
  <si>
    <t>U3425315512</t>
  </si>
  <si>
    <t>Suporte Celular Moto Gps Honda Cb 500x 2019...</t>
  </si>
  <si>
    <t>2289917786971273</t>
  </si>
  <si>
    <t>MLB5720915150</t>
  </si>
  <si>
    <t>U3426943469</t>
  </si>
  <si>
    <t>Suporte Tampa Tanque Focus 2009... 2014 2015 2016 2017 2019</t>
  </si>
  <si>
    <t>171575660848594</t>
  </si>
  <si>
    <t>MLB5956186382</t>
  </si>
  <si>
    <t>U3602831274</t>
  </si>
  <si>
    <t>Par Alongador Bico Do Pneu Válvula Moto Carro Bike 45 Graus</t>
  </si>
  <si>
    <t>3895272797929471</t>
  </si>
  <si>
    <t>MLB2121318800</t>
  </si>
  <si>
    <t>U750301234</t>
  </si>
  <si>
    <t>Comando Botao Vidro Eletrico Sprinter 311/ 415/ 515 3 Plugs</t>
  </si>
  <si>
    <t>7635604769901723</t>
  </si>
  <si>
    <t>MLB3576238175</t>
  </si>
  <si>
    <t>U765847743</t>
  </si>
  <si>
    <t>Bico Aspersor Nebulizador 1/2 Latão Metal  Regulável</t>
  </si>
  <si>
    <t>8133838828249883</t>
  </si>
  <si>
    <t>MLB4103721403</t>
  </si>
  <si>
    <t>U3257779040</t>
  </si>
  <si>
    <t>298-K</t>
  </si>
  <si>
    <t>Par Esguicho Brucutu Para Brisas Hyunday Tucson Kia Sportage</t>
  </si>
  <si>
    <t>Motores de limpa pára-brisas para veículos</t>
  </si>
  <si>
    <t>4680549455541924</t>
  </si>
  <si>
    <t>MLB4190741461</t>
  </si>
  <si>
    <t>U3399661133</t>
  </si>
  <si>
    <t>Radiador Jac J3 /turin 1.4/1.5 16v 2011 A 2015 Manual</t>
  </si>
  <si>
    <t>4926724725330346</t>
  </si>
  <si>
    <t>MLB4192475945</t>
  </si>
  <si>
    <t>U3401926431</t>
  </si>
  <si>
    <t>Botão Freio De Mão Honda Civic 2016 2017 2018</t>
  </si>
  <si>
    <t>5653553942563408</t>
  </si>
  <si>
    <t>MLB4245039171</t>
  </si>
  <si>
    <t>U3478139571</t>
  </si>
  <si>
    <t>Manopla Bola Câmbio Manual 6 Marcha Fox 2015/2022</t>
  </si>
  <si>
    <t>4425676601659041</t>
  </si>
  <si>
    <t>MLB4485936079</t>
  </si>
  <si>
    <t>U3805766639</t>
  </si>
  <si>
    <t>Ponteira De Escapamento Honda New Civic City Fit Hrv Crv</t>
  </si>
  <si>
    <t>3615719772147816</t>
  </si>
  <si>
    <t>MLB4487060683</t>
  </si>
  <si>
    <t>U3816589404</t>
  </si>
  <si>
    <t>309.1</t>
  </si>
  <si>
    <t>Válvula Reguladora Hr Bongo Sprinter 415 515 2.5 28233374</t>
  </si>
  <si>
    <t>Envios por conta própria</t>
  </si>
  <si>
    <t>4649829022346000</t>
  </si>
  <si>
    <t>MLB4540101233</t>
  </si>
  <si>
    <t>U3845531937</t>
  </si>
  <si>
    <t>449-1</t>
  </si>
  <si>
    <t>Grade Superior Cruze 2010 2011 2012 2013 2014 Friso Cromado</t>
  </si>
  <si>
    <t>1840674093687761</t>
  </si>
  <si>
    <t>MLB4540104563</t>
  </si>
  <si>
    <t>U3855975868</t>
  </si>
  <si>
    <t>Grade Para Choque Superior Cruze Fr Cromado 10/14 Cód 12102</t>
  </si>
  <si>
    <t>600470279021779</t>
  </si>
  <si>
    <t>MLB4571421067</t>
  </si>
  <si>
    <t>U3867495661</t>
  </si>
  <si>
    <t>417-2</t>
  </si>
  <si>
    <t>Tampa Do Radiador De Água Jac J2 Nova Original - 1.1 Bar</t>
  </si>
  <si>
    <t>2554025903375571</t>
  </si>
  <si>
    <t>MLB4571457805</t>
  </si>
  <si>
    <t>U3878189772</t>
  </si>
  <si>
    <t>Tampa Sistema Arrefecimento Honda 1.1 Bar Civic Fit Accord</t>
  </si>
  <si>
    <t>4826428228561415</t>
  </si>
  <si>
    <t>MLB5414540178</t>
  </si>
  <si>
    <t>U3218331926</t>
  </si>
  <si>
    <t>Comando Vidro Eletrico Para S10 Nova 2012 2013 2015 94728492</t>
  </si>
  <si>
    <t>MLB5415931218</t>
  </si>
  <si>
    <t>MLB5416026190</t>
  </si>
  <si>
    <t>6943161801142538</t>
  </si>
  <si>
    <t>MLB5453919846</t>
  </si>
  <si>
    <t>U3257782510</t>
  </si>
  <si>
    <t>02 Esguicho Brucutu Para Brisas Hyunday Tucson Kia Sportage</t>
  </si>
  <si>
    <t>498292696223921</t>
  </si>
  <si>
    <t>MLB5671293580</t>
  </si>
  <si>
    <t>U3408460476</t>
  </si>
  <si>
    <t>Botão Freio De Mão Civic 2016 2017 2018 8 Pinos 35355tbaa01</t>
  </si>
  <si>
    <t>2475636169689561</t>
  </si>
  <si>
    <t>MLB5671294838</t>
  </si>
  <si>
    <t>U3401988031</t>
  </si>
  <si>
    <t>Botão Liberação Freio Mão Honda Civic 2016 2017 2018</t>
  </si>
  <si>
    <t>7500245559215850</t>
  </si>
  <si>
    <t>MLB5799633986</t>
  </si>
  <si>
    <t>U3493461860</t>
  </si>
  <si>
    <t>Boia Sensor Nivel Combustível Para Ix35 Nova</t>
  </si>
  <si>
    <t>1161710005569310</t>
  </si>
  <si>
    <t>MLB5799754520</t>
  </si>
  <si>
    <t>U3486714267</t>
  </si>
  <si>
    <t>Boia Sensor De Nível Combustível Sportage 2.0 16v Gasolina</t>
  </si>
  <si>
    <t>1026997726187377</t>
  </si>
  <si>
    <t>MLB5841178986</t>
  </si>
  <si>
    <t>U3508207769</t>
  </si>
  <si>
    <t>Boia Nivel Sensor Medidor Tanque Pajero Full</t>
  </si>
  <si>
    <t>2856618021819450</t>
  </si>
  <si>
    <t>MLB5950551696</t>
  </si>
  <si>
    <t>U3572954603</t>
  </si>
  <si>
    <t>Extensor Válvula Bico Pneu 45 Graus Silver Moto Adaptador</t>
  </si>
  <si>
    <t>3047244212692879</t>
  </si>
  <si>
    <t>MLB5956895894</t>
  </si>
  <si>
    <t>U3603692278</t>
  </si>
  <si>
    <t>Válvula Extensora 135° Para Bicicleta Silver</t>
  </si>
  <si>
    <t>6688750593101738</t>
  </si>
  <si>
    <t>MLB5957012000</t>
  </si>
  <si>
    <t>U3603710428</t>
  </si>
  <si>
    <t>Válvula Extensora 135° Para Bicicleta Moto Silver</t>
  </si>
  <si>
    <t>7840503946232275</t>
  </si>
  <si>
    <t>MLB5996894230</t>
  </si>
  <si>
    <t>U3644844563</t>
  </si>
  <si>
    <t>Puxador Porta Interno Bmw 528i 535i 550i M5 Ostra 2011-2016</t>
  </si>
  <si>
    <t>Ostra</t>
  </si>
  <si>
    <t>8202466514671279</t>
  </si>
  <si>
    <t>MLB5997259200</t>
  </si>
  <si>
    <t>U3645107089</t>
  </si>
  <si>
    <t>Friso Moldura Cromado Dianteira Grade City 2015 2016 2017</t>
  </si>
  <si>
    <t>7989847908548101</t>
  </si>
  <si>
    <t>MLB6000643338</t>
  </si>
  <si>
    <t>U3647063239</t>
  </si>
  <si>
    <t>tik06</t>
  </si>
  <si>
    <t>Talha Manual - 1 Tonelada - 10 Metros - Jst</t>
  </si>
  <si>
    <t>4040117738422919</t>
  </si>
  <si>
    <t>MLB6021545472</t>
  </si>
  <si>
    <t>U3659892789</t>
  </si>
  <si>
    <t>Jogo Velas Iridium Santa Fé 3.5 V6 285 Cv 2009/2011</t>
  </si>
  <si>
    <t>1068052723862133</t>
  </si>
  <si>
    <t>MLB6142218880</t>
  </si>
  <si>
    <t>U3716406284</t>
  </si>
  <si>
    <t>Carcaça E Válvula Termostática Freemont 2.4 Compass 2.0</t>
  </si>
  <si>
    <t>1606474512820371</t>
  </si>
  <si>
    <t>MLB6142841484</t>
  </si>
  <si>
    <t>U3707778109</t>
  </si>
  <si>
    <t>Carcaça E Válvula Termostática Freemont 2.4 E Compass 2.0</t>
  </si>
  <si>
    <t>6714133542820536</t>
  </si>
  <si>
    <t>MLB6296243040</t>
  </si>
  <si>
    <t>U3805826519</t>
  </si>
  <si>
    <t>Ponteira Escape Angular Toyota Yaris Corolla Sw4</t>
  </si>
  <si>
    <t>313683421709830</t>
  </si>
  <si>
    <t>MLB6301388104</t>
  </si>
  <si>
    <t>U3807997287</t>
  </si>
  <si>
    <t>Válvula Reguladora Bomba De Alta Hr E 2500 Novas 2012</t>
  </si>
  <si>
    <t>1927454155047371</t>
  </si>
  <si>
    <t>MLB6301657494</t>
  </si>
  <si>
    <t>U3817825766</t>
  </si>
  <si>
    <t>3601257334427922</t>
  </si>
  <si>
    <t>MLB6477438106</t>
  </si>
  <si>
    <t>U3855746914</t>
  </si>
  <si>
    <t>Grade Superior Cruze Hatch/sedan 2010 2011 2012 2013 2014</t>
  </si>
  <si>
    <t>2342028478504850</t>
  </si>
  <si>
    <t>MLB6477590784</t>
  </si>
  <si>
    <t>U3855905716</t>
  </si>
  <si>
    <t>Grade Superior C/ Friso Cromado Dianteira Cruze 2010 A 2014</t>
  </si>
  <si>
    <t>5320293998387026</t>
  </si>
  <si>
    <t>MLB6477646248</t>
  </si>
  <si>
    <t>U3845560679</t>
  </si>
  <si>
    <t>5846126192001168</t>
  </si>
  <si>
    <t>MLB6539238824</t>
  </si>
  <si>
    <t>U3878147100</t>
  </si>
  <si>
    <t>Tampa Radiador Honda New Civic City Fit Pressão De 1.1 Bar</t>
  </si>
  <si>
    <t>MLB6539241882</t>
  </si>
  <si>
    <t>U3867487647</t>
  </si>
  <si>
    <t>7245979579483152</t>
  </si>
  <si>
    <t>MLB6539265018</t>
  </si>
  <si>
    <t>U3878208178</t>
  </si>
  <si>
    <t>Tampa Radiador Honda Civic City Fit Crv Pressão De 1.1 Bar</t>
  </si>
  <si>
    <t>MLB5525349114</t>
  </si>
  <si>
    <t>Coroa Única Deckas 32 A 38t Narrow Wide Bcd 104mm Oval</t>
  </si>
  <si>
    <t>Coroas de bicicletas</t>
  </si>
  <si>
    <t>189254361343</t>
  </si>
  <si>
    <t>322-104-32-O</t>
  </si>
  <si>
    <t>32 T</t>
  </si>
  <si>
    <t>189254361345</t>
  </si>
  <si>
    <t>322-104-34-O</t>
  </si>
  <si>
    <t>34 T</t>
  </si>
  <si>
    <t>189254361347</t>
  </si>
  <si>
    <t>322-104-38-O</t>
  </si>
  <si>
    <t>38 T</t>
  </si>
  <si>
    <t>189254361349</t>
  </si>
  <si>
    <t>322-104-36-O</t>
  </si>
  <si>
    <t>36 T</t>
  </si>
  <si>
    <t>MLB5538205346</t>
  </si>
  <si>
    <t>Coroa Direct Mount Gxp P/ Sram Sx Nx Gx X0 X01 Xx1 X9 3mm</t>
  </si>
  <si>
    <t>189423497549</t>
  </si>
  <si>
    <t>322-SRAM-32</t>
  </si>
  <si>
    <t>32 / Preto</t>
  </si>
  <si>
    <t>189423497551</t>
  </si>
  <si>
    <t>322-SRAM-30</t>
  </si>
  <si>
    <t>Preto / 30</t>
  </si>
  <si>
    <t>189423497553</t>
  </si>
  <si>
    <t>322-SRAM-34</t>
  </si>
  <si>
    <t>Preto / 34</t>
  </si>
  <si>
    <t>189423497555</t>
  </si>
  <si>
    <t>322-SRAM-36</t>
  </si>
  <si>
    <t>Preto / 36</t>
  </si>
  <si>
    <t>189423497557</t>
  </si>
  <si>
    <t>322-SRAM-38</t>
  </si>
  <si>
    <t>Preto / 38</t>
  </si>
  <si>
    <t>MLB5537886992</t>
  </si>
  <si>
    <t>Coroa Oval Deckas Bcd 96s Simétrico 32-38t Dentes Mtb</t>
  </si>
  <si>
    <t>No pudimos cargar estos datos</t>
  </si>
  <si>
    <t>189420985915</t>
  </si>
  <si>
    <t>322-94/96-32-O</t>
  </si>
  <si>
    <t>32T / Preto / 36</t>
  </si>
  <si>
    <t>189420985917</t>
  </si>
  <si>
    <t>322-94/96-36-O</t>
  </si>
  <si>
    <t>Preto / 36 / 36T</t>
  </si>
  <si>
    <t>189420985919</t>
  </si>
  <si>
    <t>322-94/96-34-O</t>
  </si>
  <si>
    <t>34T / Preto / 36</t>
  </si>
  <si>
    <t>189420985921</t>
  </si>
  <si>
    <t>322-94/96-38-O</t>
  </si>
  <si>
    <t>38T / Preto / 36</t>
  </si>
  <si>
    <t>MLB4140301295</t>
  </si>
  <si>
    <t>Coroa Direct Mount 12v Shimano Deore M6100 M7100 M8100 Xtr</t>
  </si>
  <si>
    <t>189277429941</t>
  </si>
  <si>
    <t>322-SHI-32</t>
  </si>
  <si>
    <t>Preto / 32T - Preto</t>
  </si>
  <si>
    <t>189277429943</t>
  </si>
  <si>
    <t>322-SHI-34</t>
  </si>
  <si>
    <t>34T - Preto / Preto</t>
  </si>
  <si>
    <t>189277429945</t>
  </si>
  <si>
    <t>322-SHI-36</t>
  </si>
  <si>
    <t>Preto / 36T - Preto</t>
  </si>
  <si>
    <t>191396700391</t>
  </si>
  <si>
    <t>322-SHI-30</t>
  </si>
  <si>
    <t>30t - preto / Preto</t>
  </si>
  <si>
    <t>191396700393</t>
  </si>
  <si>
    <t>322-SHI-38</t>
  </si>
  <si>
    <t>38t- preto / Preto</t>
  </si>
  <si>
    <t>MLB5527658292</t>
  </si>
  <si>
    <t>Coroa Deckas Direct Padrão Sram Gxp Offset 3mm 30t Dentes</t>
  </si>
  <si>
    <t>184442686670</t>
  </si>
  <si>
    <t>32</t>
  </si>
  <si>
    <t>184442686672</t>
  </si>
  <si>
    <t>30</t>
  </si>
  <si>
    <t>184442686674</t>
  </si>
  <si>
    <t>34</t>
  </si>
  <si>
    <t>184442686676</t>
  </si>
  <si>
    <t>36</t>
  </si>
  <si>
    <t>184442686678</t>
  </si>
  <si>
    <t>38</t>
  </si>
  <si>
    <t>MLB5527814332</t>
  </si>
  <si>
    <t>Coroa Deckas Direct Mount Compatível Sram Sx Nx Gx X01 Xx1</t>
  </si>
  <si>
    <t>184442803460</t>
  </si>
  <si>
    <t>32 / Dourado 38t</t>
  </si>
  <si>
    <t>184442803462</t>
  </si>
  <si>
    <t>30 / Dourado 38t</t>
  </si>
  <si>
    <t>184442803464</t>
  </si>
  <si>
    <t>34 / Dourado 38t</t>
  </si>
  <si>
    <t>184442803466</t>
  </si>
  <si>
    <t>Dourado 38t / 36</t>
  </si>
  <si>
    <t>184442803468</t>
  </si>
  <si>
    <t>38 / Dourado 38t</t>
  </si>
  <si>
    <t>MLB5525393086</t>
  </si>
  <si>
    <t>184430456944</t>
  </si>
  <si>
    <t>Preto / 38 T</t>
  </si>
  <si>
    <t>184430456942</t>
  </si>
  <si>
    <t>Preto / 34 T</t>
  </si>
  <si>
    <t>184430456940</t>
  </si>
  <si>
    <t>32 T / Preto</t>
  </si>
  <si>
    <t>184430456946</t>
  </si>
  <si>
    <t>Preto / 36 T</t>
  </si>
  <si>
    <t>MLB4140443973</t>
  </si>
  <si>
    <t>184443674622</t>
  </si>
  <si>
    <t>Preto / 30T - Preto</t>
  </si>
  <si>
    <t>184443674624</t>
  </si>
  <si>
    <t>184443674626</t>
  </si>
  <si>
    <t>184443674628</t>
  </si>
  <si>
    <t>184443674630</t>
  </si>
  <si>
    <t>Preto / 38T - Preto</t>
  </si>
  <si>
    <t>MLB5538208018</t>
  </si>
  <si>
    <t>189423501121</t>
  </si>
  <si>
    <t>189423501119</t>
  </si>
  <si>
    <t>189423501123</t>
  </si>
  <si>
    <t>189423501125</t>
  </si>
  <si>
    <t>189423501127</t>
  </si>
  <si>
    <t>MLB5525323578</t>
  </si>
  <si>
    <t>189254220829</t>
  </si>
  <si>
    <t>189254220831</t>
  </si>
  <si>
    <t>189254220833</t>
  </si>
  <si>
    <t>189254220835</t>
  </si>
  <si>
    <t>MLB5537847002</t>
  </si>
  <si>
    <t>Coroa Única Oval 94/96bcd Alivio M4000/50 Nx Gx X11 Deckas</t>
  </si>
  <si>
    <t>189420276497</t>
  </si>
  <si>
    <t>189420276499</t>
  </si>
  <si>
    <t>189420276501</t>
  </si>
  <si>
    <t>189420276503</t>
  </si>
  <si>
    <t>MLB5538088430</t>
  </si>
  <si>
    <t>Coroa Direct Mount Gxp P/ Sram Sx Nx Gx X0 X01 Xx1 X9</t>
  </si>
  <si>
    <t>184527222748</t>
  </si>
  <si>
    <t>184527222750</t>
  </si>
  <si>
    <t>184527222752</t>
  </si>
  <si>
    <t>184527222754</t>
  </si>
  <si>
    <t>184527222756</t>
  </si>
  <si>
    <t>MLB5538207996</t>
  </si>
  <si>
    <t>189423501077</t>
  </si>
  <si>
    <t>189423501075</t>
  </si>
  <si>
    <t>189423501079</t>
  </si>
  <si>
    <t>189423501081</t>
  </si>
  <si>
    <t>189423501083</t>
  </si>
  <si>
    <t>4888703192920037</t>
  </si>
  <si>
    <t>MLB2007352239</t>
  </si>
  <si>
    <t>U747165738</t>
  </si>
  <si>
    <t>297-K</t>
  </si>
  <si>
    <t>Par Esguicho Agua Brucutu Cruze 2012 2013 2014 2015 2016</t>
  </si>
  <si>
    <t>3047261148637880</t>
  </si>
  <si>
    <t>MLB2929426837</t>
  </si>
  <si>
    <t>U1118743088</t>
  </si>
  <si>
    <t>124</t>
  </si>
  <si>
    <t>Espanta Cachorro Repelente Eletrônico Ultrassônico Cão</t>
  </si>
  <si>
    <t>Repelentes ultrassônicos para animais de estimação</t>
  </si>
  <si>
    <t>3968646078794011</t>
  </si>
  <si>
    <t>MLB2026756469</t>
  </si>
  <si>
    <t>U1101144878</t>
  </si>
  <si>
    <t>124-1</t>
  </si>
  <si>
    <t>Aparelho Anti Latido Ultrasonico Apito Adestramento Cães</t>
  </si>
  <si>
    <t>Amarelo</t>
  </si>
  <si>
    <t>4345767055462712</t>
  </si>
  <si>
    <t>MLB2026762855</t>
  </si>
  <si>
    <t>U1968904496</t>
  </si>
  <si>
    <t>Espanta Cachorro Repelente Eletrônico Preto</t>
  </si>
  <si>
    <t>6719129189422238</t>
  </si>
  <si>
    <t>MLB2038973103</t>
  </si>
  <si>
    <t>U1101200810</t>
  </si>
  <si>
    <t>008</t>
  </si>
  <si>
    <t>Base Para Antena Carros Ford Focus Mondeo Ka Fiesta</t>
  </si>
  <si>
    <t>Antenas para veículos</t>
  </si>
  <si>
    <t>8344348148885680</t>
  </si>
  <si>
    <t>MLB2026743450</t>
  </si>
  <si>
    <t>U1097535071</t>
  </si>
  <si>
    <t>Espanta Cachorro Repelente Eletrônico</t>
  </si>
  <si>
    <t>6717426685682233</t>
  </si>
  <si>
    <t>MLB3389444493</t>
  </si>
  <si>
    <t>U1125621349</t>
  </si>
  <si>
    <t>422</t>
  </si>
  <si>
    <t>Disco De Roçadeira Enxada Rotativa Universal Para Capinagem</t>
  </si>
  <si>
    <t>Acessórios e peças para ferramentas</t>
  </si>
  <si>
    <t>1109919787044170</t>
  </si>
  <si>
    <t>MLB2064425456</t>
  </si>
  <si>
    <t>U1102510392</t>
  </si>
  <si>
    <t>214</t>
  </si>
  <si>
    <t>Comutador Partida Ignição 12v Hyundai Hb20 1.0 1.6 Ref 86076</t>
  </si>
  <si>
    <t>Comutadores de ignição para veículos</t>
  </si>
  <si>
    <t>2343852341993136</t>
  </si>
  <si>
    <t>MLB2950313436</t>
  </si>
  <si>
    <t>U754075081</t>
  </si>
  <si>
    <t>Comutador Partida Ignição Hb20 1.0/1.6 2015 2016 17</t>
  </si>
  <si>
    <t>7592553720384189</t>
  </si>
  <si>
    <t>MLB5270061686</t>
  </si>
  <si>
    <t>U2980803813</t>
  </si>
  <si>
    <t>Comutador Partida Ignição Hyundai Hb20 1.0 1.6 Peça Original</t>
  </si>
  <si>
    <t>8440032611240537</t>
  </si>
  <si>
    <t>MLB1987808419</t>
  </si>
  <si>
    <t>U747097944</t>
  </si>
  <si>
    <t>47</t>
  </si>
  <si>
    <t>Sensor De Pressão Pneu Hyundai Creta Nova Tucson Tpms Sonata</t>
  </si>
  <si>
    <t>5251388072627726</t>
  </si>
  <si>
    <t>MLB2950426604</t>
  </si>
  <si>
    <t>U798774218</t>
  </si>
  <si>
    <t>Comutador Partida Ignição Hb20 1.0 1.6 Para Hyundai</t>
  </si>
  <si>
    <t>8075063193397394</t>
  </si>
  <si>
    <t>MLB3480860743</t>
  </si>
  <si>
    <t>U765101910</t>
  </si>
  <si>
    <t>382</t>
  </si>
  <si>
    <t>Bomba Combustível Gasolina Motor Popa Johnson Evinrude 15hp</t>
  </si>
  <si>
    <t>840239740758830</t>
  </si>
  <si>
    <t>MLB5820413260</t>
  </si>
  <si>
    <t>U3501550484</t>
  </si>
  <si>
    <t>Aparelho Anti Latido Ultrasonico Apito Adestramento Cães Amarelo</t>
  </si>
  <si>
    <t>MLB2929526182</t>
  </si>
  <si>
    <t>U753332633</t>
  </si>
  <si>
    <t>971600858842839</t>
  </si>
  <si>
    <t>MLB5349469090</t>
  </si>
  <si>
    <t>U3118301855</t>
  </si>
  <si>
    <t>Comutador Ignição Deckas 931103s000 Hyundai Hb20</t>
  </si>
  <si>
    <t>7581005834418517</t>
  </si>
  <si>
    <t>MLB3389494203</t>
  </si>
  <si>
    <t>U760408267</t>
  </si>
  <si>
    <t>Enxada Rotativa Roçadeira Disco Capina Grama Universal</t>
  </si>
  <si>
    <t>176069936172211</t>
  </si>
  <si>
    <t>MLB2056074723</t>
  </si>
  <si>
    <t>U745567331</t>
  </si>
  <si>
    <t>49</t>
  </si>
  <si>
    <t>Bucha Coluna Direção I30, Veloster, Elantra 2009 - 2012</t>
  </si>
  <si>
    <t>Buchas de controle de suspensão para veículos</t>
  </si>
  <si>
    <t>5628181655576944</t>
  </si>
  <si>
    <t>MLB2039024711</t>
  </si>
  <si>
    <t>U1097537053</t>
  </si>
  <si>
    <t>Base Antena Teto Ford Focus 2000/2013 Ford Mondeo 1998/2005</t>
  </si>
  <si>
    <t>8491711747785219</t>
  </si>
  <si>
    <t>MLB2932837187</t>
  </si>
  <si>
    <t>U753332555</t>
  </si>
  <si>
    <t>Sensor Direção Hidráulica Peugeot Citroen 206 207 306 307</t>
  </si>
  <si>
    <t>321532671782939</t>
  </si>
  <si>
    <t>MLB4049747900</t>
  </si>
  <si>
    <t>U1156187371</t>
  </si>
  <si>
    <t>425-2</t>
  </si>
  <si>
    <t>Mangueira Intercooler Ranger 3.2 2018 2019 2020 2021</t>
  </si>
  <si>
    <t>6633544265659748</t>
  </si>
  <si>
    <t>MLB2929463635</t>
  </si>
  <si>
    <t>U756348228</t>
  </si>
  <si>
    <t>Aparelho Anti Latido Cão Repelente Ultrassônico Cachorro Pet</t>
  </si>
  <si>
    <t>8676324326064962</t>
  </si>
  <si>
    <t>MLB2968906096</t>
  </si>
  <si>
    <t>U795605889</t>
  </si>
  <si>
    <t>Sensor Pressão Pneu Tpms Bico Hyundai Creta 52933c1100</t>
  </si>
  <si>
    <t>5560349678391240</t>
  </si>
  <si>
    <t>MLB1987836612</t>
  </si>
  <si>
    <t>U1288700755</t>
  </si>
  <si>
    <t>60</t>
  </si>
  <si>
    <t>Emblema Tanque Bmw Moto F800 Gs 1200 Aluminium 1unid</t>
  </si>
  <si>
    <t>2613078854095196</t>
  </si>
  <si>
    <t>MLB2007391940</t>
  </si>
  <si>
    <t>U744189661</t>
  </si>
  <si>
    <t>Par Esguicho Brucutu Cruze 95979017 2012 2013 2014 2015 2016</t>
  </si>
  <si>
    <t>8798109757206279</t>
  </si>
  <si>
    <t>MLB2140931484</t>
  </si>
  <si>
    <t>U750890708</t>
  </si>
  <si>
    <t>368</t>
  </si>
  <si>
    <t>Atuador De Marcha Lenta Corolla 1.8 16v 2003 2004 2005 2006</t>
  </si>
  <si>
    <t>Atuadores de marcha lenta para veiculos</t>
  </si>
  <si>
    <t>2840610311006816</t>
  </si>
  <si>
    <t>MLB2182340073</t>
  </si>
  <si>
    <t>U794065465</t>
  </si>
  <si>
    <t>Rotores para bombas de água náuticas</t>
  </si>
  <si>
    <t>8861268020825795</t>
  </si>
  <si>
    <t>MLB3507182205</t>
  </si>
  <si>
    <t>U765809232</t>
  </si>
  <si>
    <t>432</t>
  </si>
  <si>
    <t>Escova De Aço Para Roçadeiras Limpa Pavers Calçada</t>
  </si>
  <si>
    <t>Discos e rebolos de corte e desbaste</t>
  </si>
  <si>
    <t>9004210266092969</t>
  </si>
  <si>
    <t>MLB2997695769</t>
  </si>
  <si>
    <t>U1115955873</t>
  </si>
  <si>
    <t>379-5</t>
  </si>
  <si>
    <t xml:space="preserve">Kit Anéis Presilhas Mangueira Intercooler Frontier 2.5 190 </t>
  </si>
  <si>
    <t>Jogos de anéis de pistão para veículos</t>
  </si>
  <si>
    <t>4143944739025696</t>
  </si>
  <si>
    <t>MLB2162528000</t>
  </si>
  <si>
    <t>U1107211230</t>
  </si>
  <si>
    <t>379-1</t>
  </si>
  <si>
    <t xml:space="preserve">Kit Anéis Vedação Da Mangueira Intercooler Frontier 2.5 190 </t>
  </si>
  <si>
    <t>1970220355943945</t>
  </si>
  <si>
    <t>MLB3336122089</t>
  </si>
  <si>
    <t>U761880794</t>
  </si>
  <si>
    <t>Disco Para Capinar Mato Grama Enxada Roçadeira Universal</t>
  </si>
  <si>
    <t>Lâminas para cortadores de grama</t>
  </si>
  <si>
    <t>8344673706090485</t>
  </si>
  <si>
    <t>MLB3389437897</t>
  </si>
  <si>
    <t>U760344957</t>
  </si>
  <si>
    <t>Disco Enxada Rotativa Roçadeira Capina Grama Universal</t>
  </si>
  <si>
    <t>3170541800170871</t>
  </si>
  <si>
    <t>MLB2926981158</t>
  </si>
  <si>
    <t>U753334815</t>
  </si>
  <si>
    <t>413</t>
  </si>
  <si>
    <t>Válvula Redutora Reguladora Pressão 3/4 Manômetro Deckas9666</t>
  </si>
  <si>
    <t>4579691918079087</t>
  </si>
  <si>
    <t>MLB1985715318</t>
  </si>
  <si>
    <t>U747169052</t>
  </si>
  <si>
    <t>33</t>
  </si>
  <si>
    <t>Mangueira Agua Aquecedor Cruze 1.8 Sonic 55574685 Original</t>
  </si>
  <si>
    <t>Mangueiras de aquecimento para veículos</t>
  </si>
  <si>
    <t>6143574407732351</t>
  </si>
  <si>
    <t>MLB5209139622</t>
  </si>
  <si>
    <t>U2885274104</t>
  </si>
  <si>
    <t>444-K2-1</t>
  </si>
  <si>
    <t>Kit Disco Enxada+ Escova De Aço Roçadeira Rotativa Universal</t>
  </si>
  <si>
    <t>MLB2986722928</t>
  </si>
  <si>
    <t>1599</t>
  </si>
  <si>
    <t>Tampa Esguicho Farol Bmw 320i 318i E90 2009 2010 2011 2012</t>
  </si>
  <si>
    <t>175890103533</t>
  </si>
  <si>
    <t>230-2</t>
  </si>
  <si>
    <t>175890103534</t>
  </si>
  <si>
    <t>230-1</t>
  </si>
  <si>
    <t>8336169912541615</t>
  </si>
  <si>
    <t>MLB3753147026</t>
  </si>
  <si>
    <t>U769227947</t>
  </si>
  <si>
    <t>196</t>
  </si>
  <si>
    <t>Torneira Registro Combustível Suzuki Gsxf 750 Gsx750f</t>
  </si>
  <si>
    <t>8098708382160455</t>
  </si>
  <si>
    <t>MLB2929560184</t>
  </si>
  <si>
    <t>U756343616</t>
  </si>
  <si>
    <t>Aparelho Anti Latido Pet Ultrassônico Para Cães Cachorro</t>
  </si>
  <si>
    <t>6045170357472097</t>
  </si>
  <si>
    <t>MLB2066888306</t>
  </si>
  <si>
    <t>U1300614655</t>
  </si>
  <si>
    <t>314-K</t>
  </si>
  <si>
    <t>Fivela Lingueta Cinto Segurança Anti-som Hilux 1 Par</t>
  </si>
  <si>
    <t>6475703783727935</t>
  </si>
  <si>
    <t>MLB3502912683</t>
  </si>
  <si>
    <t>U1133980067</t>
  </si>
  <si>
    <t>431</t>
  </si>
  <si>
    <t>Grade Dianteira Corolla Ano 2017 Modelo 2018 2019 Cromada</t>
  </si>
  <si>
    <t>5251842108920972</t>
  </si>
  <si>
    <t>MLB4034735172</t>
  </si>
  <si>
    <t>U1155956051</t>
  </si>
  <si>
    <t>392-K</t>
  </si>
  <si>
    <t>Par Amortecedor Tampa Caçamba Toyota Hilux 2016 A 2023</t>
  </si>
  <si>
    <t>7865712568889960</t>
  </si>
  <si>
    <t>MLB5483554302</t>
  </si>
  <si>
    <t>U3183717164</t>
  </si>
  <si>
    <t>Válvula Redutora De Pressão Hidrax 3/4  Com Manômetro Cinza</t>
  </si>
  <si>
    <t>Torneiras e misturadores de banheiro</t>
  </si>
  <si>
    <t>8839666292019794</t>
  </si>
  <si>
    <t>MLB2069880066</t>
  </si>
  <si>
    <t>U1102509826</t>
  </si>
  <si>
    <t>220-K6</t>
  </si>
  <si>
    <t>Jogo 6 Velas Santa Fé 2.7 V6 2006 2007 2008 2009 Llfr5b-11</t>
  </si>
  <si>
    <t>2526295445151184</t>
  </si>
  <si>
    <t>MLB2929482050</t>
  </si>
  <si>
    <t>U1114881787</t>
  </si>
  <si>
    <t>Aparelho Anti Latido Pet Ultrassônico Repelente Cachorro Cão</t>
  </si>
  <si>
    <t>2579051631458133</t>
  </si>
  <si>
    <t>MLB2093381540</t>
  </si>
  <si>
    <t>U1103297876</t>
  </si>
  <si>
    <t>345</t>
  </si>
  <si>
    <t>Testador Teste Faísca De Vela Ignição Motor Carro Moto Barco</t>
  </si>
  <si>
    <t>MLB2061883786</t>
  </si>
  <si>
    <t>321-2</t>
  </si>
  <si>
    <t>Spoiler Parachoque Golf Gti Mk7 2013 2014 Original</t>
  </si>
  <si>
    <t>174126022491</t>
  </si>
  <si>
    <t>174126022490</t>
  </si>
  <si>
    <t>321-1</t>
  </si>
  <si>
    <t>1730147419736665</t>
  </si>
  <si>
    <t>MLB2007366958</t>
  </si>
  <si>
    <t>U744115805</t>
  </si>
  <si>
    <t>Esguicho Brucutu Ejetor De Agua Cruze Lt Ltz 2011 2012 2013</t>
  </si>
  <si>
    <t>MLB4033712310</t>
  </si>
  <si>
    <t>Amortecedor De Caçamba Toyota Hilux Srx Srv 2016 2020 2023</t>
  </si>
  <si>
    <t>178711302048</t>
  </si>
  <si>
    <t>392-1</t>
  </si>
  <si>
    <t>178711302050</t>
  </si>
  <si>
    <t>392-2</t>
  </si>
  <si>
    <t>4919996509514654</t>
  </si>
  <si>
    <t>MLB2066731778</t>
  </si>
  <si>
    <t>U1304421634</t>
  </si>
  <si>
    <t>315-K</t>
  </si>
  <si>
    <t>Par Cinto Anti Alarme Toyota Corolla Adaptador Cinto</t>
  </si>
  <si>
    <t>2546726786618866</t>
  </si>
  <si>
    <t>MLB2069849613</t>
  </si>
  <si>
    <t>U1102512060</t>
  </si>
  <si>
    <t>Jogo Velas Iridium Para Hyundai Santa Fé 2.7 V6 2008</t>
  </si>
  <si>
    <t>4894709031797566</t>
  </si>
  <si>
    <t>MLB3394820465</t>
  </si>
  <si>
    <t>U763439936</t>
  </si>
  <si>
    <t>254-1</t>
  </si>
  <si>
    <t>Bomba Combustível Land Rover Range Rover Evoque 2.0 Completa</t>
  </si>
  <si>
    <t>Com Filtro</t>
  </si>
  <si>
    <t>7099027908619980</t>
  </si>
  <si>
    <t>MLB2060819327</t>
  </si>
  <si>
    <t>U745547853</t>
  </si>
  <si>
    <t>192</t>
  </si>
  <si>
    <t>Torneira De Combustível / Gasolina Cb500 Todas - 1º Linha</t>
  </si>
  <si>
    <t>5894233030651324</t>
  </si>
  <si>
    <t>MLB3336122303</t>
  </si>
  <si>
    <t>U758844163</t>
  </si>
  <si>
    <t>Disco Para Enxada Roçadeira Rotativa Universal</t>
  </si>
  <si>
    <t>8974367952974554</t>
  </si>
  <si>
    <t>MLB2064376820</t>
  </si>
  <si>
    <t>U745568987</t>
  </si>
  <si>
    <t>Comutador Partida Ignição Para Hyundai Hb20 1.0 1.6</t>
  </si>
  <si>
    <t>1640748638790253</t>
  </si>
  <si>
    <t>MLB2926939123</t>
  </si>
  <si>
    <t>U1118855992</t>
  </si>
  <si>
    <t>Válvula Redutora Reguladora De Pressão 3/4 Manômetro Deckas</t>
  </si>
  <si>
    <t>2824977941493435</t>
  </si>
  <si>
    <t>MLB4503286748</t>
  </si>
  <si>
    <t>U779674992</t>
  </si>
  <si>
    <t>264</t>
  </si>
  <si>
    <t>Cebolinha Sensor Direção Hidráulica Orig Azera 575353k000</t>
  </si>
  <si>
    <t>2091057874117253</t>
  </si>
  <si>
    <t>MLB2929566611</t>
  </si>
  <si>
    <t>U753334607</t>
  </si>
  <si>
    <t>Aparelho Anti Latido Inibidor De Latidos Cachorro Não Latir</t>
  </si>
  <si>
    <t>Coleiras antilatidos para cães</t>
  </si>
  <si>
    <t>MLB2026711707</t>
  </si>
  <si>
    <t>U745580341</t>
  </si>
  <si>
    <t>5303227166519719</t>
  </si>
  <si>
    <t>MLB2968918463</t>
  </si>
  <si>
    <t>U757086244</t>
  </si>
  <si>
    <t>Sensor Pressão Pneu Hyundai Creta 2016 2017 2018 2019 2020</t>
  </si>
  <si>
    <t>5259366771118360</t>
  </si>
  <si>
    <t>MLB2130743220</t>
  </si>
  <si>
    <t>U750301198</t>
  </si>
  <si>
    <t>Torneira Gasolina / Combustivel Honda Cb 500</t>
  </si>
  <si>
    <t>377786723635509</t>
  </si>
  <si>
    <t>MLB3433495283</t>
  </si>
  <si>
    <t>U761383417</t>
  </si>
  <si>
    <t>Bomba C Filtro Combustivel Land Rover Evoque 2.0 Original</t>
  </si>
  <si>
    <t>MLB2121768448</t>
  </si>
  <si>
    <t>1631</t>
  </si>
  <si>
    <t>Olho De Gato Refletor Para-choque Traseiro Bmw 320i</t>
  </si>
  <si>
    <t>Refletores olhos de gato para veículos</t>
  </si>
  <si>
    <t>174033473602</t>
  </si>
  <si>
    <t>239-1</t>
  </si>
  <si>
    <t>Lado (Direito)</t>
  </si>
  <si>
    <t>174033473601</t>
  </si>
  <si>
    <t>239-2</t>
  </si>
  <si>
    <t>LADO ESQUERDO</t>
  </si>
  <si>
    <t>2695294414567409</t>
  </si>
  <si>
    <t>MLB4321637488</t>
  </si>
  <si>
    <t>U775455463</t>
  </si>
  <si>
    <t>425</t>
  </si>
  <si>
    <t>Mangote Intercooler Ranger 2.2 2013 Em Diante Ab396k683ce</t>
  </si>
  <si>
    <t>7780682754903834</t>
  </si>
  <si>
    <t>MLB3507143215</t>
  </si>
  <si>
    <t>U765810806</t>
  </si>
  <si>
    <t>Escova De Aço Para Roçadeira Profissional Universal !!!</t>
  </si>
  <si>
    <t>Escovas de arame manuais</t>
  </si>
  <si>
    <t>MLB2623699653</t>
  </si>
  <si>
    <t>Amortecedor Tampa Da Caçamba Traseira Toyota Hilux 2016 2022</t>
  </si>
  <si>
    <t>174443772924</t>
  </si>
  <si>
    <t>174443772925</t>
  </si>
  <si>
    <t>200337876562626</t>
  </si>
  <si>
    <t>MLB2026718128</t>
  </si>
  <si>
    <t>U748557260</t>
  </si>
  <si>
    <t>Aparelho Anti Latido Pet Ultrassônico Para Cães</t>
  </si>
  <si>
    <t>4509452031259188</t>
  </si>
  <si>
    <t>MLB5058546532</t>
  </si>
  <si>
    <t>U1129651990</t>
  </si>
  <si>
    <t>439</t>
  </si>
  <si>
    <t>Coletor De Admissão Toro Renegade Compass 2.0 55280753</t>
  </si>
  <si>
    <t>Coletores de admissão para veículos</t>
  </si>
  <si>
    <t>6100625270280322</t>
  </si>
  <si>
    <t>MLB3652490817</t>
  </si>
  <si>
    <t>U1149808572</t>
  </si>
  <si>
    <t>Kit Par Amortecedor Tampa Caçamba Hilux 2016 A 2024</t>
  </si>
  <si>
    <t>1090816682346630</t>
  </si>
  <si>
    <t>MLB3317210895</t>
  </si>
  <si>
    <t>U796479221</t>
  </si>
  <si>
    <t>320</t>
  </si>
  <si>
    <t>Par Lâmpada Xenon Original Hid D1s 6000k</t>
  </si>
  <si>
    <t>2001342263021418</t>
  </si>
  <si>
    <t>MLB2968139593</t>
  </si>
  <si>
    <t>U1362572539</t>
  </si>
  <si>
    <t>44-1</t>
  </si>
  <si>
    <t>Valvula Moduladora Solenóide Turbina Frontier 2.5 - Original</t>
  </si>
  <si>
    <t>Válvulas EGR para veículos</t>
  </si>
  <si>
    <t>676985470119862</t>
  </si>
  <si>
    <t>MLB5414601400</t>
  </si>
  <si>
    <t>U3218506534</t>
  </si>
  <si>
    <t>365</t>
  </si>
  <si>
    <t>Flange Bomba Combustivel Tampa Focus 2.0 16v Duratec 200809</t>
  </si>
  <si>
    <t>975371821984254</t>
  </si>
  <si>
    <t>MLB1971099012</t>
  </si>
  <si>
    <t>U744189545</t>
  </si>
  <si>
    <t>274</t>
  </si>
  <si>
    <t>Sensor Evaporador Ar Condicionado Hb20 Ix35 Tucson Sorento</t>
  </si>
  <si>
    <t>Interruptores de ar condicionado para veículos</t>
  </si>
  <si>
    <t>151693278392112</t>
  </si>
  <si>
    <t>MLB2039030986</t>
  </si>
  <si>
    <t>U1101198358</t>
  </si>
  <si>
    <t>Base Para Antena De Carros Ford - Focus/mondeo/ka/fiesta</t>
  </si>
  <si>
    <t>5210780687634200</t>
  </si>
  <si>
    <t>MLB2936164519</t>
  </si>
  <si>
    <t>U1366090424</t>
  </si>
  <si>
    <t>60-K4</t>
  </si>
  <si>
    <t>Kit 4 Pçs Tampa Roda Bmw X1 320i 325i X5 328i 68mm Original</t>
  </si>
  <si>
    <t>Calotas de rodas para veículos</t>
  </si>
  <si>
    <t>891775450154743</t>
  </si>
  <si>
    <t>MLB2029648661</t>
  </si>
  <si>
    <t>U793316005</t>
  </si>
  <si>
    <t>234</t>
  </si>
  <si>
    <t>Comando Botão Vidro Eletrico Citroen C4 Vtr 2 Portas 06 A 09</t>
  </si>
  <si>
    <t>236683787838301</t>
  </si>
  <si>
    <t>MLB2070162564</t>
  </si>
  <si>
    <t>U1304367968</t>
  </si>
  <si>
    <t>250-1</t>
  </si>
  <si>
    <t>Tampa Esguicho Lavador Farol Direito Azera 2012 2013 2014</t>
  </si>
  <si>
    <t>434473046299214</t>
  </si>
  <si>
    <t>MLB3365199741</t>
  </si>
  <si>
    <t>U1397207685</t>
  </si>
  <si>
    <t>403</t>
  </si>
  <si>
    <t>Botão Vidro Elétrico Duplo Caminhão Volvo Fh12 Fm12 Nh12</t>
  </si>
  <si>
    <t>6514435671771127</t>
  </si>
  <si>
    <t>MLB2029614521</t>
  </si>
  <si>
    <t>U745549735</t>
  </si>
  <si>
    <t>Bomba Filtro Combustivel Land Rover Evoque Nova Gasolina</t>
  </si>
  <si>
    <t>1233805232962729</t>
  </si>
  <si>
    <t>MLB3040702004</t>
  </si>
  <si>
    <t>U1116592487</t>
  </si>
  <si>
    <t>32-K</t>
  </si>
  <si>
    <t>Radiador Honda Cb 600 Hornet 2005 2006 2007 ( Novo )</t>
  </si>
  <si>
    <t>7741141278850031</t>
  </si>
  <si>
    <t>MLB1984901530</t>
  </si>
  <si>
    <t>U796733176</t>
  </si>
  <si>
    <t>4-1</t>
  </si>
  <si>
    <t>Manopla Marcha Cambio Focus Ford Ka Fiesta 2008 2013 Preta</t>
  </si>
  <si>
    <t>MLB3541724505</t>
  </si>
  <si>
    <t>Painel Ripado De Madeira Ecológica 290x16x2,5 Cm Wpc Parede</t>
  </si>
  <si>
    <t>Painéis decorativos</t>
  </si>
  <si>
    <t>179447312360</t>
  </si>
  <si>
    <t>433-1</t>
  </si>
  <si>
    <t>Carvalho</t>
  </si>
  <si>
    <t>179447312362</t>
  </si>
  <si>
    <t>433-2</t>
  </si>
  <si>
    <t>Mogno</t>
  </si>
  <si>
    <t>7066306541221863</t>
  </si>
  <si>
    <t>MLB3792699077</t>
  </si>
  <si>
    <t>U770900957</t>
  </si>
  <si>
    <t>448</t>
  </si>
  <si>
    <t>Console Do Teto Porta Oculo Ford Ranger 2012 A 2023 Original</t>
  </si>
  <si>
    <t>Consoles de teto para veículos</t>
  </si>
  <si>
    <t>5043078320237329</t>
  </si>
  <si>
    <t>MLB4408954498</t>
  </si>
  <si>
    <t>U803553162</t>
  </si>
  <si>
    <t>Lâmpada Xenon D1s 6000k Farol Sorento 2010 2011 2012 Par</t>
  </si>
  <si>
    <t>MLB3472041953</t>
  </si>
  <si>
    <t>U765102638</t>
  </si>
  <si>
    <t>901893318311423</t>
  </si>
  <si>
    <t>MLB2997066589</t>
  </si>
  <si>
    <t>U1363693973</t>
  </si>
  <si>
    <t>Display Tela Lcd Velocímetro Painel Ford Focus Titanium</t>
  </si>
  <si>
    <t>Velocímetros e conta-giros para veículos</t>
  </si>
  <si>
    <t>2618806391315481</t>
  </si>
  <si>
    <t>MLB2027975007</t>
  </si>
  <si>
    <t>U1294222309</t>
  </si>
  <si>
    <t>210</t>
  </si>
  <si>
    <t>Receptor Transmissor Veicular Com Bluetooth Fm Mp3 Usb Pendr</t>
  </si>
  <si>
    <t>Produtos eletrônicos</t>
  </si>
  <si>
    <t>MLB3441287997</t>
  </si>
  <si>
    <t>Amortecedor Tampa Da Caçamba Traseira Toyota Hilux 2016 2023</t>
  </si>
  <si>
    <t>178711291400</t>
  </si>
  <si>
    <t>178711291398</t>
  </si>
  <si>
    <t>1451932844709592</t>
  </si>
  <si>
    <t>MLB4334341240</t>
  </si>
  <si>
    <t>U775436467</t>
  </si>
  <si>
    <t>Sensor Pressão Direção Hidráulica Peugeot 206 207 1.4 1.6</t>
  </si>
  <si>
    <t>5034671655968214</t>
  </si>
  <si>
    <t>MLB2986686861</t>
  </si>
  <si>
    <t>U1119665296</t>
  </si>
  <si>
    <t>Par Puxador Porta Traseira Bmw 320i 328i 335i 2011 A 2015</t>
  </si>
  <si>
    <t>5569530649139209</t>
  </si>
  <si>
    <t>MLB2997657845</t>
  </si>
  <si>
    <t>U1115998669</t>
  </si>
  <si>
    <t>Travas + Anéis Mangueira Nissan Frontier 2.3 Biturbo 2016/..</t>
  </si>
  <si>
    <t>4531276738919876</t>
  </si>
  <si>
    <t>MLB2055845606</t>
  </si>
  <si>
    <t>U1298230035</t>
  </si>
  <si>
    <t>268</t>
  </si>
  <si>
    <t>Emblema Capo Mercedes C180 C200 C220 C250 C280 C300 Alemanha</t>
  </si>
  <si>
    <t>8357974035892459</t>
  </si>
  <si>
    <t>MLB3792681605</t>
  </si>
  <si>
    <t>U773966016</t>
  </si>
  <si>
    <t>Console Teto Porta Óculos Nova Ranger 2013 2014 2015 2016</t>
  </si>
  <si>
    <t>Consoles centrais para veículos</t>
  </si>
  <si>
    <t>7708017621972971</t>
  </si>
  <si>
    <t>MLB5055482306</t>
  </si>
  <si>
    <t>U1076043282</t>
  </si>
  <si>
    <t>437</t>
  </si>
  <si>
    <t>Estator Completo Dafra Speed 150 2008 2009 2010 Á 2015 Pulsa</t>
  </si>
  <si>
    <t>Estatores de alternador para veículos</t>
  </si>
  <si>
    <t>5032161725685928</t>
  </si>
  <si>
    <t>MLB2950167705</t>
  </si>
  <si>
    <t>U798782072</t>
  </si>
  <si>
    <t>176</t>
  </si>
  <si>
    <t>Sensor Flauta Rail Ranger 2.2 3.2 Transit 2.2 85pp40-02</t>
  </si>
  <si>
    <t>8095341534159798</t>
  </si>
  <si>
    <t>MLB3590069721</t>
  </si>
  <si>
    <t>U785628000</t>
  </si>
  <si>
    <t>Escova De Aço Para Roçadeira Profissional Universal 1 Pol</t>
  </si>
  <si>
    <t>8030235216592880</t>
  </si>
  <si>
    <t>MLB1992348485</t>
  </si>
  <si>
    <t>U1293257362</t>
  </si>
  <si>
    <t>173</t>
  </si>
  <si>
    <t>Modulo Ventoinha Passat Jetta Golf Tiguan Audi 1k0959455</t>
  </si>
  <si>
    <t>Eletroventiladores completos para veículos</t>
  </si>
  <si>
    <t>2437225353577039</t>
  </si>
  <si>
    <t>MLB2997657812</t>
  </si>
  <si>
    <t>U1119633882</t>
  </si>
  <si>
    <t>379-3</t>
  </si>
  <si>
    <t>Anéis + Travas Da Mangueira Sprinter 311 313 415 2.2 Biturbo</t>
  </si>
  <si>
    <t>6998180155622281</t>
  </si>
  <si>
    <t>MLB5055469900</t>
  </si>
  <si>
    <t>U1072445247</t>
  </si>
  <si>
    <t>Estator Dafra Speed 150 Sundown Hunter Max 125 Kansas 150</t>
  </si>
  <si>
    <t>MLB4033418684</t>
  </si>
  <si>
    <t>178711316364</t>
  </si>
  <si>
    <t>178711316362</t>
  </si>
  <si>
    <t>6216068721602811</t>
  </si>
  <si>
    <t>MLB2617917830</t>
  </si>
  <si>
    <t>U749216269</t>
  </si>
  <si>
    <t>Flange Bomba Combustível Tampa Focus 2.0 16v Duratec 2008 09</t>
  </si>
  <si>
    <t>5560009422106297</t>
  </si>
  <si>
    <t>MLB4049731872</t>
  </si>
  <si>
    <t>U1160080920</t>
  </si>
  <si>
    <t>425-1</t>
  </si>
  <si>
    <t>Mangueira Intercooler Admissão Ranger 3.2 2013-2023 Original</t>
  </si>
  <si>
    <t>7364182795825811</t>
  </si>
  <si>
    <t>MLB3288372265</t>
  </si>
  <si>
    <t>U761115646</t>
  </si>
  <si>
    <t>Cebolinha Direção Hidarulica Azera Sonata 57535 3k00</t>
  </si>
  <si>
    <t>6029852195870119</t>
  </si>
  <si>
    <t>MLB4083421139</t>
  </si>
  <si>
    <t>U3218278878</t>
  </si>
  <si>
    <t>199</t>
  </si>
  <si>
    <t>Atuador Marcha Lenta Corolla 1.6 1.8 93 À 97 Camry 92 À 96</t>
  </si>
  <si>
    <t>111584472667437</t>
  </si>
  <si>
    <t>MLB4587856764</t>
  </si>
  <si>
    <t>U1168182240</t>
  </si>
  <si>
    <t>195-K</t>
  </si>
  <si>
    <t>Par Lampadas Xenon D4s 6000k Toyota Camry Hilux Sw4 Original</t>
  </si>
  <si>
    <t>5997752316315043</t>
  </si>
  <si>
    <t>MLB2137470739</t>
  </si>
  <si>
    <t>U750843578</t>
  </si>
  <si>
    <t>Torneira Combustivel Cb 500 Hornet Ate 07 Rosca 21mm/discos</t>
  </si>
  <si>
    <t>5927157641674095</t>
  </si>
  <si>
    <t>MLB2182314549</t>
  </si>
  <si>
    <t>U793815723</t>
  </si>
  <si>
    <t>4029615391780474</t>
  </si>
  <si>
    <t>MLB3366071315</t>
  </si>
  <si>
    <t>U1124945005</t>
  </si>
  <si>
    <t>195</t>
  </si>
  <si>
    <t>1 Lâmpada Xênon D4s Farol Baixo 6000k Para Toyota Hilux Sw4</t>
  </si>
  <si>
    <t>2815577793631943</t>
  </si>
  <si>
    <t>MLB3568645675</t>
  </si>
  <si>
    <t>U768907712</t>
  </si>
  <si>
    <t>337</t>
  </si>
  <si>
    <t>Válvula Controle Comando Vw/audi Jetta/passat/a4/tiguan/tsi</t>
  </si>
  <si>
    <t>Válvulas de motor para veículos</t>
  </si>
  <si>
    <t>5063433223278862</t>
  </si>
  <si>
    <t>MLB2152279254</t>
  </si>
  <si>
    <t>U1105056014</t>
  </si>
  <si>
    <t>Roda Livre Avm 470 Original (o Par) - Ford Ranger</t>
  </si>
  <si>
    <t>8591596795960812</t>
  </si>
  <si>
    <t>MLB3365176257</t>
  </si>
  <si>
    <t>U1128640272</t>
  </si>
  <si>
    <t>Par Lâmpadas Xenon D4s 6000k 35w Toyota Camry Hilux Sw4</t>
  </si>
  <si>
    <t>7186769026894046</t>
  </si>
  <si>
    <t>MLB2025332358</t>
  </si>
  <si>
    <t>U1293346837</t>
  </si>
  <si>
    <t>308</t>
  </si>
  <si>
    <t>Filete Maçaneta Toyota Corolla 2015 Á 2019</t>
  </si>
  <si>
    <t>Acessórios cromados para veículos</t>
  </si>
  <si>
    <t>2877412659173189</t>
  </si>
  <si>
    <t>MLB2665873537</t>
  </si>
  <si>
    <t>U794391135</t>
  </si>
  <si>
    <t>Comando Botao Interr Vidro Eletrico Motorista Volvo Fh Fm Nh</t>
  </si>
  <si>
    <t>1804719083487941</t>
  </si>
  <si>
    <t>MLB4179265284</t>
  </si>
  <si>
    <t>U2383130032</t>
  </si>
  <si>
    <t>Par Guia Farol Dianteiro Dianteiro Hr-v 2015 2016 2017 2018</t>
  </si>
  <si>
    <t>5872568157464413</t>
  </si>
  <si>
    <t>MLB3330140754</t>
  </si>
  <si>
    <t>U758944175</t>
  </si>
  <si>
    <t>Manopla Cambio Manual Ford Focus 2009 2010 2011 2012 2013</t>
  </si>
  <si>
    <t>768101381398212</t>
  </si>
  <si>
    <t>MLB3589988689</t>
  </si>
  <si>
    <t>U1139922369</t>
  </si>
  <si>
    <t>479655319504120</t>
  </si>
  <si>
    <t>MLB2030560447</t>
  </si>
  <si>
    <t>U745568999</t>
  </si>
  <si>
    <t>Atuador Marcha Lenta Toyota Corolla 1.6 16v 93/96 2227015010</t>
  </si>
  <si>
    <t>MLB3541814069</t>
  </si>
  <si>
    <t>Painel Ripado Madeira Parede Ecológica Wpc 2,90mx16cmx2,5</t>
  </si>
  <si>
    <t>181066738733</t>
  </si>
  <si>
    <t>Carvalho / RIPADO</t>
  </si>
  <si>
    <t>181066738735</t>
  </si>
  <si>
    <t>Mogno / RIPADO</t>
  </si>
  <si>
    <t>8745384358204851</t>
  </si>
  <si>
    <t>MLB4372238218</t>
  </si>
  <si>
    <t>U1162329905</t>
  </si>
  <si>
    <t>Detector Testador Teste De Vela De Ignição Motor Carro Barco</t>
  </si>
  <si>
    <t>7106484538252393</t>
  </si>
  <si>
    <t>MLB1992347474</t>
  </si>
  <si>
    <t>U747175984</t>
  </si>
  <si>
    <t>Sensor De Pressão Combustível Ford Ranger 2.2/3.2 85pp40-02</t>
  </si>
  <si>
    <t>6040887329935883</t>
  </si>
  <si>
    <t>MLB2069891548</t>
  </si>
  <si>
    <t>U746700565</t>
  </si>
  <si>
    <t>Jogo De Vela Santa Fé 2.7 2008 18840-11051</t>
  </si>
  <si>
    <t>5313347861061489</t>
  </si>
  <si>
    <t>MLB2180028627</t>
  </si>
  <si>
    <t>U1320604437</t>
  </si>
  <si>
    <t>381</t>
  </si>
  <si>
    <t>Painel Elétrico 6 Chaves  Usb Tomada Voltímetro Lancha Barco</t>
  </si>
  <si>
    <t>3436423461737555</t>
  </si>
  <si>
    <t>MLB1985781229</t>
  </si>
  <si>
    <t>U1287839517</t>
  </si>
  <si>
    <t>44-K4</t>
  </si>
  <si>
    <t>Jogo Velas De Ignição Bmw 118i 120i 320i X1 Z4 2.0 Gasolina</t>
  </si>
  <si>
    <t>3271887300805290</t>
  </si>
  <si>
    <t>MLB2055816784</t>
  </si>
  <si>
    <t>U1298072085</t>
  </si>
  <si>
    <t>Acessórios Emblema Calota Central Roda Bmw 68mm Kit 4 Un</t>
  </si>
  <si>
    <t>6333326160311807</t>
  </si>
  <si>
    <t>MLB2152291971</t>
  </si>
  <si>
    <t>U1105163108</t>
  </si>
  <si>
    <t>2 Roda Livre Manual Avm Ford Ranger Tração 4x4 98 99 2000</t>
  </si>
  <si>
    <t>3900811795158278</t>
  </si>
  <si>
    <t>MLB3269756179</t>
  </si>
  <si>
    <t>U760198746</t>
  </si>
  <si>
    <t>353</t>
  </si>
  <si>
    <t>Filtro De Óleo Haldex Original Para Audi Q3 Tiguan Passat Cc</t>
  </si>
  <si>
    <t>Filtros de óleo para veículos</t>
  </si>
  <si>
    <t>7703913509983163</t>
  </si>
  <si>
    <t>MLB5125896760</t>
  </si>
  <si>
    <t>U2392247354</t>
  </si>
  <si>
    <t>281</t>
  </si>
  <si>
    <t>Válvula De Vácuo Do Coletor Admissão Gm Cruze Sonic Tracker</t>
  </si>
  <si>
    <t>6096621006518806</t>
  </si>
  <si>
    <t>MLB5414163198</t>
  </si>
  <si>
    <t>U3217789900</t>
  </si>
  <si>
    <t>Amortecedor Da Tampa Da Caçamba A Gas Toyota Hilux Pick Up</t>
  </si>
  <si>
    <t>MLB5827166712</t>
  </si>
  <si>
    <t>U3126494756</t>
  </si>
  <si>
    <t>MLB3563162841</t>
  </si>
  <si>
    <t>U2287153744</t>
  </si>
  <si>
    <t>7740770562150677</t>
  </si>
  <si>
    <t>MLB4334314810</t>
  </si>
  <si>
    <t>U775455459</t>
  </si>
  <si>
    <t>Sensor Pressão Direção Hidráulica Peugeot 206 207 306 Xsara</t>
  </si>
  <si>
    <t>4086558264650925</t>
  </si>
  <si>
    <t>MLB4179300472</t>
  </si>
  <si>
    <t>U2378405485</t>
  </si>
  <si>
    <t>Par Guia Farol Dianteiro Honda Hr-v 2015 2016 2017 2018 2019</t>
  </si>
  <si>
    <t>1858952878990569</t>
  </si>
  <si>
    <t>MLB1987801905</t>
  </si>
  <si>
    <t>U747165708</t>
  </si>
  <si>
    <t>Sensor Pressão Pneu Hyundai Creta Nova Tucson Tpms Stinger</t>
  </si>
  <si>
    <t>1136397448395406</t>
  </si>
  <si>
    <t>MLB2026759520</t>
  </si>
  <si>
    <t>U1101159216</t>
  </si>
  <si>
    <t>129-3</t>
  </si>
  <si>
    <t>Scanner Detector Parede Tubo Cano Pvc Água Madeira Fio Metal</t>
  </si>
  <si>
    <t>Detectores de metais</t>
  </si>
  <si>
    <t>1628923071769588</t>
  </si>
  <si>
    <t>MLB3137248007</t>
  </si>
  <si>
    <t>U1121575932</t>
  </si>
  <si>
    <t>Par Jogo 2 Lâmpada Original Hilux Sw4 Xênon D4s Toyota Xenon</t>
  </si>
  <si>
    <t>6408377473355126</t>
  </si>
  <si>
    <t>MLB2030668059</t>
  </si>
  <si>
    <t>U745529201</t>
  </si>
  <si>
    <t>Cebolinha Direção Hidráulica Hyundai Azera Sonata Original</t>
  </si>
  <si>
    <t>5946975451769809</t>
  </si>
  <si>
    <t>MLB3035640625</t>
  </si>
  <si>
    <t>U1365218803</t>
  </si>
  <si>
    <t>Spoiler Parachoque Golf Gti Mk7 2015 2016 Direito Original</t>
  </si>
  <si>
    <t>5295350274825349</t>
  </si>
  <si>
    <t>MLB3426308860</t>
  </si>
  <si>
    <t>U1396820844</t>
  </si>
  <si>
    <t>244</t>
  </si>
  <si>
    <t>Tampa Combustível Land Rover - Range Rover E Discovery 3 4</t>
  </si>
  <si>
    <t>7209631096849184</t>
  </si>
  <si>
    <t>MLB3449628849</t>
  </si>
  <si>
    <t>U1133361142</t>
  </si>
  <si>
    <t>Mangueira Intercooler Ranger 3.2 2013 Á 2021 Envio Imediato</t>
  </si>
  <si>
    <t>6840595008389193</t>
  </si>
  <si>
    <t>MLB3988692029</t>
  </si>
  <si>
    <t>U1946855442</t>
  </si>
  <si>
    <t>379-2</t>
  </si>
  <si>
    <t>Presilhas Mangueira Intercooler Frontier 2.5 190 Cv</t>
  </si>
  <si>
    <t>1160859279252993</t>
  </si>
  <si>
    <t>MLB4354242764</t>
  </si>
  <si>
    <t>U2390006317</t>
  </si>
  <si>
    <t>Painel Elétrico De Led 6 Botões Usb Para Barcos, Lanchas.</t>
  </si>
  <si>
    <t>2572533217791793</t>
  </si>
  <si>
    <t>MLB5047906894</t>
  </si>
  <si>
    <t>U1130580968</t>
  </si>
  <si>
    <t>438</t>
  </si>
  <si>
    <t>Máscara Facial Roçadeira Epi Olhos Filtro Brinde</t>
  </si>
  <si>
    <t>Visores de proteção facial</t>
  </si>
  <si>
    <t>4670791238678749</t>
  </si>
  <si>
    <t>MLB5323933852</t>
  </si>
  <si>
    <t>U3081485828</t>
  </si>
  <si>
    <t>Kit Reparo Da Mangueira Sprinter 415 515 2.2 Biturbo</t>
  </si>
  <si>
    <t>1415729597597908</t>
  </si>
  <si>
    <t>MLB2013892983</t>
  </si>
  <si>
    <t>U1295593236</t>
  </si>
  <si>
    <t>147-K4</t>
  </si>
  <si>
    <t>Jogo Vela Captiva 2.4 2011/ Gm 12620540 04 Unidades 185cv</t>
  </si>
  <si>
    <t>6606262974056467</t>
  </si>
  <si>
    <t>MLB2061922012</t>
  </si>
  <si>
    <t>U1303694140</t>
  </si>
  <si>
    <t>321-K</t>
  </si>
  <si>
    <t>Spoiler Parachoque Dianteiro Golf Gti Mk7 2015 2016 Original</t>
  </si>
  <si>
    <t>Spoilers para veículos</t>
  </si>
  <si>
    <t>1425180914056407</t>
  </si>
  <si>
    <t>MLB3287506863</t>
  </si>
  <si>
    <t>U1121508531</t>
  </si>
  <si>
    <t>Kit Travas Presilhas Mangueira Intercooler Frontier 2.5 2013</t>
  </si>
  <si>
    <t>MLB3287567729</t>
  </si>
  <si>
    <t>U1121547761</t>
  </si>
  <si>
    <t>820024777217652</t>
  </si>
  <si>
    <t>MLB3449675917</t>
  </si>
  <si>
    <t>U1133239212</t>
  </si>
  <si>
    <t>Mangueira Intercooler Ranger 3.2 2013-2017 Silicone</t>
  </si>
  <si>
    <t>2981089943622856</t>
  </si>
  <si>
    <t>MLB2030581660</t>
  </si>
  <si>
    <t>U1298526348</t>
  </si>
  <si>
    <t>242</t>
  </si>
  <si>
    <t>Selim Banco Acento Aranha Tipo Fibra De Carbono Speed Ou Mtb</t>
  </si>
  <si>
    <t>Bancos de bicicletas</t>
  </si>
  <si>
    <t>2686561639281443</t>
  </si>
  <si>
    <t>MLB3590068371</t>
  </si>
  <si>
    <t>U768918218</t>
  </si>
  <si>
    <t>Escova De Aço Limpa Pavers Calçada Roçadeira Sthil Fs160/220</t>
  </si>
  <si>
    <t>2363684826409162</t>
  </si>
  <si>
    <t>MLB3621455901</t>
  </si>
  <si>
    <t>U1147045570</t>
  </si>
  <si>
    <t>402</t>
  </si>
  <si>
    <t>Comando Botão Vidro + Retrovisor Elétrico Peugeot 206 207</t>
  </si>
  <si>
    <t>4351254721748255</t>
  </si>
  <si>
    <t>MLB4049767680</t>
  </si>
  <si>
    <t>U1159912738</t>
  </si>
  <si>
    <t>Mangueira Intercooler Admissão Ranger 3.2 2013/2014 Silicone</t>
  </si>
  <si>
    <t>6196464918785115</t>
  </si>
  <si>
    <t>MLB1984898395</t>
  </si>
  <si>
    <t>U744141985</t>
  </si>
  <si>
    <t>Manopla Bola Câmbio Preta Ford Ka Hatch Sedan 2015 16 A 2019</t>
  </si>
  <si>
    <t>4112499576654981</t>
  </si>
  <si>
    <t>MLB1991280599</t>
  </si>
  <si>
    <t>U1293257510</t>
  </si>
  <si>
    <t>151</t>
  </si>
  <si>
    <t>Vela De Ignicao Bosch Zr5tpp33-s 12120037580 Bmw</t>
  </si>
  <si>
    <t>MLB1992353390</t>
  </si>
  <si>
    <t>U744124937</t>
  </si>
  <si>
    <t>7673216870306018</t>
  </si>
  <si>
    <t>MLB2030361153</t>
  </si>
  <si>
    <t>U1298528230</t>
  </si>
  <si>
    <t>236</t>
  </si>
  <si>
    <t>Resistência Ventoinha Peugeot Citroen 408 C3 C4 Ds3 308 307</t>
  </si>
  <si>
    <t>6838783325944403</t>
  </si>
  <si>
    <t>MLB2070107262</t>
  </si>
  <si>
    <t>U1300478279</t>
  </si>
  <si>
    <t>250-K</t>
  </si>
  <si>
    <t>Tampa Parachoque Hyundai Azera 2012 2013 2014 Esguicho Farol</t>
  </si>
  <si>
    <t>5924379774071900</t>
  </si>
  <si>
    <t>MLB2182314550</t>
  </si>
  <si>
    <t>U793815681</t>
  </si>
  <si>
    <t>Bomba Combustível Gasolina Motor De Popa Johnson Evinrude 15</t>
  </si>
  <si>
    <t>Filtros de motor náuticos</t>
  </si>
  <si>
    <t>2108390780906957</t>
  </si>
  <si>
    <t>MLB3860082509</t>
  </si>
  <si>
    <t>U1534062719</t>
  </si>
  <si>
    <t>239-K</t>
  </si>
  <si>
    <t>Par Refletor Parachoque Traseiro Bmw 320i 328i 2013 14 2015</t>
  </si>
  <si>
    <t>8484117429505040</t>
  </si>
  <si>
    <t>MLB4049732004</t>
  </si>
  <si>
    <t>U1160081838</t>
  </si>
  <si>
    <t>Mangueira Intercooler Admissão Ford Ranger 3.2 Ab396k683bf</t>
  </si>
  <si>
    <t>5734887366721393</t>
  </si>
  <si>
    <t>MLB5452371136</t>
  </si>
  <si>
    <t>U3256218198</t>
  </si>
  <si>
    <t>473</t>
  </si>
  <si>
    <t>Manta Anti Chama Fire Blanket 1,20 X 1,80m Deckas</t>
  </si>
  <si>
    <t>2817894450470169</t>
  </si>
  <si>
    <t>MLB2068554833</t>
  </si>
  <si>
    <t>U746677505</t>
  </si>
  <si>
    <t>Torneira Registro Combustivel Suzuki Gsxf 750 Gsx750f Até 97</t>
  </si>
  <si>
    <t>8903747680989873</t>
  </si>
  <si>
    <t>MLB3152023282</t>
  </si>
  <si>
    <t>U1370857671</t>
  </si>
  <si>
    <t>Jogo Vela Captiva 2.4 4cc Iridium Original Gm 12620540</t>
  </si>
  <si>
    <t>3893869421140628</t>
  </si>
  <si>
    <t>MLB3563133121</t>
  </si>
  <si>
    <t>U2287113920</t>
  </si>
  <si>
    <t>Painel Elétrico Led Usb Voltímetro 6 Chaves Náutico Lancha</t>
  </si>
  <si>
    <t>6575544522929669</t>
  </si>
  <si>
    <t>MLB3585879941</t>
  </si>
  <si>
    <t>U2289614991</t>
  </si>
  <si>
    <t>Par De Luz Lâmpada Subaquática Azul 27 Leds Lancha Jet Ski.</t>
  </si>
  <si>
    <t>8682622204315753</t>
  </si>
  <si>
    <t>MLB3589914255</t>
  </si>
  <si>
    <t>U768913478</t>
  </si>
  <si>
    <t>Torneira Tanque Combustível Registro Honda Cb500 Cb 500 C/nf</t>
  </si>
  <si>
    <t>1480006622984787</t>
  </si>
  <si>
    <t>MLB2030993800</t>
  </si>
  <si>
    <t>U1101181706</t>
  </si>
  <si>
    <t>307-1</t>
  </si>
  <si>
    <t>Carcaça Válvula Termostática 308 3008 408 C4 Ds3 1.6 Thp</t>
  </si>
  <si>
    <t>7738824343866459</t>
  </si>
  <si>
    <t>MLB2623780679</t>
  </si>
  <si>
    <t>U1105746705</t>
  </si>
  <si>
    <t>Par De Amortecedores A Gás Para Caçamba Da Hilux 2016 A 2021</t>
  </si>
  <si>
    <t>MLB2998052749</t>
  </si>
  <si>
    <t>Tampa Esguicho Farol Direito Bmw 320i 318i E90 2009 - 2012</t>
  </si>
  <si>
    <t>175942906240</t>
  </si>
  <si>
    <t>175942906241</t>
  </si>
  <si>
    <t>4927501583531056</t>
  </si>
  <si>
    <t>MLB3589988655</t>
  </si>
  <si>
    <t>U765847901</t>
  </si>
  <si>
    <t xml:space="preserve">Escova De Aço Limpa Pavers Calçada Roçadeira Sthil </t>
  </si>
  <si>
    <t>6219019051820859</t>
  </si>
  <si>
    <t>MLB4183112580</t>
  </si>
  <si>
    <t>U774845181</t>
  </si>
  <si>
    <t>Mangueira Intercooler Admissão Ranger 2.2 Silicone</t>
  </si>
  <si>
    <t>8816445866470591</t>
  </si>
  <si>
    <t>MLB2027924261</t>
  </si>
  <si>
    <t>U745523671</t>
  </si>
  <si>
    <t>218</t>
  </si>
  <si>
    <t>Esquadro Digital Laser Grau Laser Nível Horizontal Vertical</t>
  </si>
  <si>
    <t>Níveis laser</t>
  </si>
  <si>
    <t>MLB2152223084</t>
  </si>
  <si>
    <t>Led Parafuso Olho De Águia Carro Moto Preto 23mm - 1 Par</t>
  </si>
  <si>
    <t>Lâmpadas LED para veículos</t>
  </si>
  <si>
    <t>174328121720</t>
  </si>
  <si>
    <t>306-10-K</t>
  </si>
  <si>
    <t>Simples / Prata</t>
  </si>
  <si>
    <t>174328121719</t>
  </si>
  <si>
    <t>306-2-K</t>
  </si>
  <si>
    <t>Simples / Preto</t>
  </si>
  <si>
    <t>5003122466945519</t>
  </si>
  <si>
    <t>MLB2936097902</t>
  </si>
  <si>
    <t>U1366151434</t>
  </si>
  <si>
    <t>Emblema Lateral Bmw Moto F800 Gs 1200 68mm Alumínio</t>
  </si>
  <si>
    <t>96594345399821</t>
  </si>
  <si>
    <t>MLB3590289911</t>
  </si>
  <si>
    <t>U2290725197</t>
  </si>
  <si>
    <t>Display Lcd Rádio Ford Ranger 2018 2021 Multimidia Original</t>
  </si>
  <si>
    <t>1611072771219417</t>
  </si>
  <si>
    <t>MLB3650637479</t>
  </si>
  <si>
    <t>U1146109329</t>
  </si>
  <si>
    <t>2 Lampadas Xenon D4s 6000k Corolla Seg Altis 2009 Ate 2019</t>
  </si>
  <si>
    <t>4444757198235737</t>
  </si>
  <si>
    <t>MLB4408981420</t>
  </si>
  <si>
    <t>U784402539</t>
  </si>
  <si>
    <t>Lâmpada Xenon D1s 6000k Citroen C4 Pallas Hatch Vtr Par</t>
  </si>
  <si>
    <t>4148035746657327</t>
  </si>
  <si>
    <t>MLB2027976041</t>
  </si>
  <si>
    <t>U1297908664</t>
  </si>
  <si>
    <t>219-K4</t>
  </si>
  <si>
    <t>Jogo 4 Velas Ignição Hyundai I30, Elantra, Hb20 Original</t>
  </si>
  <si>
    <t>3166491253003622</t>
  </si>
  <si>
    <t>MLB2969428426</t>
  </si>
  <si>
    <t>U1119665558</t>
  </si>
  <si>
    <t>129</t>
  </si>
  <si>
    <t>Scanner Detector Tubo Cano Água Pvc Parede Madeira Fio Metal</t>
  </si>
  <si>
    <t>1202316266417794</t>
  </si>
  <si>
    <t>MLB3848796999</t>
  </si>
  <si>
    <t>U1127940999</t>
  </si>
  <si>
    <t>453</t>
  </si>
  <si>
    <t>Lâmina 6 Pontas Canivete Roçadeira Stihl Fs160/220/280</t>
  </si>
  <si>
    <t>7180365262172080</t>
  </si>
  <si>
    <t>MLB2029563199</t>
  </si>
  <si>
    <t>U1298526466</t>
  </si>
  <si>
    <t>231-1</t>
  </si>
  <si>
    <t>Botão Comando Freio Mão Honda Hrv 2015 2016 2017 2018 2019</t>
  </si>
  <si>
    <t>1114703499436088</t>
  </si>
  <si>
    <t>MLB5317903386</t>
  </si>
  <si>
    <t>U3065466681</t>
  </si>
  <si>
    <t>458-3</t>
  </si>
  <si>
    <t>Emblema Logo H Da Grade Dianteira Honda City 2015 2016 2017</t>
  </si>
  <si>
    <t>2131172599471677</t>
  </si>
  <si>
    <t>MLB2999806359</t>
  </si>
  <si>
    <t>U754060377</t>
  </si>
  <si>
    <t>231</t>
  </si>
  <si>
    <t>Botão Freio Mão Estacionamento Honda Hrv 2016 2017 2018 2019</t>
  </si>
  <si>
    <t>MLB3000446722</t>
  </si>
  <si>
    <t>Olho Gato Refletor Parachoque Traseiro Bmw 320i 328i 335i</t>
  </si>
  <si>
    <t>175951387210</t>
  </si>
  <si>
    <t>175951387209</t>
  </si>
  <si>
    <t>4881817274716036</t>
  </si>
  <si>
    <t>MLB1992395995</t>
  </si>
  <si>
    <t>U1289396077</t>
  </si>
  <si>
    <t>187</t>
  </si>
  <si>
    <t>Sensor De Pressão Map Coletor Bosch Renault Master 2.5 04/12</t>
  </si>
  <si>
    <t>2684837479791825</t>
  </si>
  <si>
    <t>MLB2122663144</t>
  </si>
  <si>
    <t>U759468010</t>
  </si>
  <si>
    <t>Filtro Haldex Tiguan 4 Motion  Para Audi Q3 Tiguan Passat</t>
  </si>
  <si>
    <t>3905123113743367</t>
  </si>
  <si>
    <t>MLB2623707399</t>
  </si>
  <si>
    <t>U1109404438</t>
  </si>
  <si>
    <t>Amortecedor Da Tampa Da Caçamba A Gas Toyota Hilux 2016 22</t>
  </si>
  <si>
    <t>MLB3000446711</t>
  </si>
  <si>
    <t>Olho Gato Refletor Para-choque Traseiro Bmw 320 328 2014 15</t>
  </si>
  <si>
    <t>175951387000</t>
  </si>
  <si>
    <t>175951386999</t>
  </si>
  <si>
    <t>244371729259533</t>
  </si>
  <si>
    <t>MLB3900893165</t>
  </si>
  <si>
    <t>U2708267445</t>
  </si>
  <si>
    <t>461</t>
  </si>
  <si>
    <t>Conector Terminal Bateria Engate Rápido Carro Lancha Par</t>
  </si>
  <si>
    <t>MLB2074949213</t>
  </si>
  <si>
    <t>U749743406</t>
  </si>
  <si>
    <t>6949072682813011</t>
  </si>
  <si>
    <t>MLB2966039705</t>
  </si>
  <si>
    <t>U1366511890</t>
  </si>
  <si>
    <t>Valvula Solenoide Moduladora Turbina Nissan Frontier 2.5 16v</t>
  </si>
  <si>
    <t>4643523774236778</t>
  </si>
  <si>
    <t>MLB3792710847</t>
  </si>
  <si>
    <t>U770896909</t>
  </si>
  <si>
    <t>Console Do Teto Com Porta Oculos Ranger 2013 2014 2015 Ford</t>
  </si>
  <si>
    <t>5075430701380158</t>
  </si>
  <si>
    <t>MLB1981405459</t>
  </si>
  <si>
    <t>U747153896</t>
  </si>
  <si>
    <t>294</t>
  </si>
  <si>
    <t>Tubo Cano Óleo Retorno Turbina Peugeot Thp 1613571980 037989</t>
  </si>
  <si>
    <t>Turbocompressores para veículos</t>
  </si>
  <si>
    <t>8752389016694732</t>
  </si>
  <si>
    <t>MLB2055829682</t>
  </si>
  <si>
    <t>U1302104414</t>
  </si>
  <si>
    <t>Jogo 4x Calota Central Roda Bmw X1 320i 328i 68mm Original</t>
  </si>
  <si>
    <t>MLB2066770532</t>
  </si>
  <si>
    <t>U1300608849</t>
  </si>
  <si>
    <t>2937308298853659</t>
  </si>
  <si>
    <t>MLB2171887248</t>
  </si>
  <si>
    <t>U1106110286</t>
  </si>
  <si>
    <t>376</t>
  </si>
  <si>
    <t>Bobina Barco Motor Popa Mercury Optimax Efi Garantia 1 Ano</t>
  </si>
  <si>
    <t>Bobinas de ignição náuticas</t>
  </si>
  <si>
    <t>MLB2986735940</t>
  </si>
  <si>
    <t>Tampa Do Parachoque Bmw 320i 318i E90 2009 2010 2011 2012 Un</t>
  </si>
  <si>
    <t>175890097078</t>
  </si>
  <si>
    <t>175890097079</t>
  </si>
  <si>
    <t>769677583415623</t>
  </si>
  <si>
    <t>MLB4184306552</t>
  </si>
  <si>
    <t>U1161082376</t>
  </si>
  <si>
    <t>Grade Dianteira Cromada Corolla 2017 2018 2019</t>
  </si>
  <si>
    <t>5637269736682750</t>
  </si>
  <si>
    <t>MLB5183164518</t>
  </si>
  <si>
    <t>U2810618599</t>
  </si>
  <si>
    <t>460</t>
  </si>
  <si>
    <t>Bomba Submersa Inox 12v/24v Transferência Óleo Diesel Água</t>
  </si>
  <si>
    <t>MLB1988945636</t>
  </si>
  <si>
    <t>Emblema Grade Lateral R-line Polo Jetta Golf Tiguan</t>
  </si>
  <si>
    <t>174416572546</t>
  </si>
  <si>
    <t>94-1</t>
  </si>
  <si>
    <t>Clean</t>
  </si>
  <si>
    <t>174416572547</t>
  </si>
  <si>
    <t>94-2</t>
  </si>
  <si>
    <t>4 Motion</t>
  </si>
  <si>
    <t>MLB3000526415</t>
  </si>
  <si>
    <t>Olho Gato Refletor Parachoque Bmw 320i 328i 335i F30 Peças</t>
  </si>
  <si>
    <t>175951326586</t>
  </si>
  <si>
    <t>175951326585</t>
  </si>
  <si>
    <t>314290219784091</t>
  </si>
  <si>
    <t>MLB4354269212</t>
  </si>
  <si>
    <t>U2393351491</t>
  </si>
  <si>
    <t>Painel Elétrico 6 Chaves Usb Tomada Voltímetro Lancha Barco</t>
  </si>
  <si>
    <t>29432868972578</t>
  </si>
  <si>
    <t>MLB1971112021</t>
  </si>
  <si>
    <t>U744191457</t>
  </si>
  <si>
    <t>Sensor Temperatura Ar Condicionado Evaporador Hyundai Hb20</t>
  </si>
  <si>
    <t>7657007696205045</t>
  </si>
  <si>
    <t>MLB4678226022</t>
  </si>
  <si>
    <t>U2741217793</t>
  </si>
  <si>
    <t>Botão Comando Freio Mão Honda Hrv 2015 2016 2017 2018 2019..</t>
  </si>
  <si>
    <t>4820827696493189</t>
  </si>
  <si>
    <t>MLB5374329122</t>
  </si>
  <si>
    <t>U3154670805</t>
  </si>
  <si>
    <t>Anéis Vedação Mangueira Intercooler Frontier 2.3 Lado Esquer</t>
  </si>
  <si>
    <t>3861955512416567</t>
  </si>
  <si>
    <t>MLB1961857269</t>
  </si>
  <si>
    <t>U1099914270</t>
  </si>
  <si>
    <t>Válvula De Vácuo Coletor De Admissão Cruze Sonic Tracker Gm</t>
  </si>
  <si>
    <t>5367115833701036</t>
  </si>
  <si>
    <t>MLB2030335145</t>
  </si>
  <si>
    <t>U1298526168</t>
  </si>
  <si>
    <t>Resistência Ventoinha Peugeot Citroen 307 408 Ds3 C3 C4 308</t>
  </si>
  <si>
    <t>5959745956585296</t>
  </si>
  <si>
    <t>MLB2030671232</t>
  </si>
  <si>
    <t>U1294901186</t>
  </si>
  <si>
    <t>259</t>
  </si>
  <si>
    <t>Acessórios Moldura Aplique Braço Retrovisor Jeep Compass</t>
  </si>
  <si>
    <t>6532454657164978</t>
  </si>
  <si>
    <t>MLB3040578611</t>
  </si>
  <si>
    <t>U1120262134</t>
  </si>
  <si>
    <t>Radiador Para Honda Cb 600 Hornet 2005 2006 2007 ( Novo )</t>
  </si>
  <si>
    <t>8711612005072181</t>
  </si>
  <si>
    <t>MLB3590250179</t>
  </si>
  <si>
    <t>U2295324832</t>
  </si>
  <si>
    <t>Lcd Display Tela Painel Radio Som Multimidia Ford Focus Se</t>
  </si>
  <si>
    <t>1666732002627699</t>
  </si>
  <si>
    <t>MLB4172574510</t>
  </si>
  <si>
    <t>U2377891549</t>
  </si>
  <si>
    <t>Resistencia Ventoinha Peugeot Citroen 307 308 408 Ds3 C3 C4</t>
  </si>
  <si>
    <t>3330873789055259</t>
  </si>
  <si>
    <t>MLB1960410270</t>
  </si>
  <si>
    <t>U743478515</t>
  </si>
  <si>
    <t>277</t>
  </si>
  <si>
    <t>Mangueira Filtro Ar Mercedes C180 C200 2010/2014 A2710900982</t>
  </si>
  <si>
    <t>2441266355092525</t>
  </si>
  <si>
    <t>MLB1987814099</t>
  </si>
  <si>
    <t>U747159434</t>
  </si>
  <si>
    <t>55</t>
  </si>
  <si>
    <t>Rolamento Coxin Mancal Com Coifa Cardan Touareg Cayenne Q7</t>
  </si>
  <si>
    <t>Coxines amortecedores para veículos</t>
  </si>
  <si>
    <t>5474235886709024</t>
  </si>
  <si>
    <t>MLB2026740671</t>
  </si>
  <si>
    <t>U1297896632</t>
  </si>
  <si>
    <t>151-K6</t>
  </si>
  <si>
    <t>Jogo Vela Ignicao Bmw X3 X4 X5 X6 35i M 135i 335i 2010 6uni</t>
  </si>
  <si>
    <t>8240561629181860</t>
  </si>
  <si>
    <t>MLB3872584289</t>
  </si>
  <si>
    <t>U2135285217</t>
  </si>
  <si>
    <t>230-K</t>
  </si>
  <si>
    <t>Par Tampa Parachoque Bmw 320i 318i E90 2009 10 11 12 Oferta</t>
  </si>
  <si>
    <t>8799177888058281</t>
  </si>
  <si>
    <t>MLB5183138614</t>
  </si>
  <si>
    <t>U2810625935</t>
  </si>
  <si>
    <t>Bomba Submersa 12v Transferência Água Diesel Óleo 12 L/m</t>
  </si>
  <si>
    <t>MLB2067928195</t>
  </si>
  <si>
    <t>Tampa Amortecedor Audi A4 A5 2009 A 2014 B8 B8.5</t>
  </si>
  <si>
    <t>Borrachas para veículos</t>
  </si>
  <si>
    <t>173849235896</t>
  </si>
  <si>
    <t>325-2</t>
  </si>
  <si>
    <t>Esquerdo (Motorista)</t>
  </si>
  <si>
    <t>173849235895</t>
  </si>
  <si>
    <t>325-1</t>
  </si>
  <si>
    <t>Direito (Pasageiro)</t>
  </si>
  <si>
    <t>MLB3031309242</t>
  </si>
  <si>
    <t>Led Parafuso 9w Olho De Águia Carro / Moto Preto18mm-1 Par</t>
  </si>
  <si>
    <t>176039900252</t>
  </si>
  <si>
    <t>305-2-K</t>
  </si>
  <si>
    <t>176039900253</t>
  </si>
  <si>
    <t>305-10-K</t>
  </si>
  <si>
    <t>1797324365254477</t>
  </si>
  <si>
    <t>MLB1991332668</t>
  </si>
  <si>
    <t>U1289394057</t>
  </si>
  <si>
    <t>158</t>
  </si>
  <si>
    <t>Sensor Pressao Rail Flauta Master 2.5 0281002908 0281002734</t>
  </si>
  <si>
    <t>6398125052214998</t>
  </si>
  <si>
    <t>MLB2030612447</t>
  </si>
  <si>
    <t>U1298568890</t>
  </si>
  <si>
    <t>Land Rover Tampa Combustível - Range Rover E Discovery 3 4</t>
  </si>
  <si>
    <t>5189981547243740</t>
  </si>
  <si>
    <t>MLB4408339496</t>
  </si>
  <si>
    <t>U2399082206</t>
  </si>
  <si>
    <t>303</t>
  </si>
  <si>
    <t>Válvula Diafragma Tração 4x4 Da S10 E Blazer De 1996 À 2011</t>
  </si>
  <si>
    <t>7679470970947765</t>
  </si>
  <si>
    <t>MLB4879182338</t>
  </si>
  <si>
    <t>U781952519</t>
  </si>
  <si>
    <t>445</t>
  </si>
  <si>
    <t>Mini Cofre Todo Em Metal Guarda Chaves Parede Airbnb Joias</t>
  </si>
  <si>
    <t>Cofres</t>
  </si>
  <si>
    <t>7871872872214411</t>
  </si>
  <si>
    <t>MLB5084052410</t>
  </si>
  <si>
    <t>U1583245149</t>
  </si>
  <si>
    <t>429</t>
  </si>
  <si>
    <t>Capa Esteira Alavanca Câmbio L200 Triton Ou Pajero Dakar</t>
  </si>
  <si>
    <t>4447613798104579</t>
  </si>
  <si>
    <t>MLB5163043950</t>
  </si>
  <si>
    <t>U2713244498</t>
  </si>
  <si>
    <t>Conector Terminal Engate Rápido Bateria Automotiva Trava Par</t>
  </si>
  <si>
    <t>MLB5570632266</t>
  </si>
  <si>
    <t>U3351721879</t>
  </si>
  <si>
    <t>536402976326283</t>
  </si>
  <si>
    <t>MLB2617949161</t>
  </si>
  <si>
    <t>U752285834</t>
  </si>
  <si>
    <t>Flange Bomba Combustivel Tampa Focus 2.0 16v Duratec</t>
  </si>
  <si>
    <t>MLB4357033510</t>
  </si>
  <si>
    <t>U2398695624</t>
  </si>
  <si>
    <t>1429906138852304</t>
  </si>
  <si>
    <t>MLB2140950670</t>
  </si>
  <si>
    <t>U747925195</t>
  </si>
  <si>
    <t>Motor De Passo Toyota Corolla 1.8 2003 Até 2008 22270-00040</t>
  </si>
  <si>
    <t>4913158535313018</t>
  </si>
  <si>
    <t>MLB2665795471</t>
  </si>
  <si>
    <t>U1341441883</t>
  </si>
  <si>
    <t>Interruptor Vidro Eletrico L.e - Volvo Fh 12 Fm 12 Nh 12</t>
  </si>
  <si>
    <t>3989740040979724</t>
  </si>
  <si>
    <t>MLB2666206092</t>
  </si>
  <si>
    <t>U1107284069</t>
  </si>
  <si>
    <t>Interruptor Botao Comando Vidro Retrovisor Peugeot 206 207</t>
  </si>
  <si>
    <t>Interruptores de espelhos laterais para veículos</t>
  </si>
  <si>
    <t>8160047665418322</t>
  </si>
  <si>
    <t>MLB2670131299</t>
  </si>
  <si>
    <t>U1338407065</t>
  </si>
  <si>
    <t>399</t>
  </si>
  <si>
    <t>Radiador Yamaha Fz6 S Fazer 600 2005 A 2009 Xj6 2010 A 2019</t>
  </si>
  <si>
    <t>Ventiladores de radiador para motos</t>
  </si>
  <si>
    <t>544052301011452</t>
  </si>
  <si>
    <t>MLB3022127787</t>
  </si>
  <si>
    <t>U1116440087</t>
  </si>
  <si>
    <t>Mangueira Filtro Ar Tbi Mercedes C180 C200 C250 2010- 2014</t>
  </si>
  <si>
    <t>8140106122102614</t>
  </si>
  <si>
    <t>MLB3607323447</t>
  </si>
  <si>
    <t>U1141763051</t>
  </si>
  <si>
    <t>Radiador Cebolinha Honda Cb 600 Hornet 2005 2006 2007</t>
  </si>
  <si>
    <t>Radiadores de água para outros veículos</t>
  </si>
  <si>
    <t>2496065533817615</t>
  </si>
  <si>
    <t>MLB3797699715</t>
  </si>
  <si>
    <t>U774511540</t>
  </si>
  <si>
    <t>Console Do Teto C/ Porta Óculos Ford Ranger - 12/23 Original</t>
  </si>
  <si>
    <t>MLB4049706672</t>
  </si>
  <si>
    <t>U1156580989</t>
  </si>
  <si>
    <t>1707738695014192</t>
  </si>
  <si>
    <t>MLB4943546064</t>
  </si>
  <si>
    <t>U787577470</t>
  </si>
  <si>
    <t>Comutador Partida Ignição Hb20 93110-3s000 Para Hyundai Dni</t>
  </si>
  <si>
    <t>284519572820390</t>
  </si>
  <si>
    <t>MLB5185916300</t>
  </si>
  <si>
    <t>U2827337141</t>
  </si>
  <si>
    <t>Controle Remoto Para Ponte Rolante - F21-e1b 220 Vac</t>
  </si>
  <si>
    <t>1230564063524280</t>
  </si>
  <si>
    <t>MLB2926987661</t>
  </si>
  <si>
    <t>U1115180447</t>
  </si>
  <si>
    <t>Válvula Redutora/reguladora Pressão C/ Manômetro 3/4 Deckas</t>
  </si>
  <si>
    <t>6478061141322502</t>
  </si>
  <si>
    <t>MLB2030367911</t>
  </si>
  <si>
    <t>U1294927627</t>
  </si>
  <si>
    <t>237</t>
  </si>
  <si>
    <t>Reator Farol Lampada Xenon D3s Mercedes Benz A2229003300 Q02</t>
  </si>
  <si>
    <t>4513418537999094</t>
  </si>
  <si>
    <t>MLB4321434212</t>
  </si>
  <si>
    <t>U778505828</t>
  </si>
  <si>
    <t>Mangueira Intercooler Ranger 2.2 - Silicone</t>
  </si>
  <si>
    <t>MLB3000203966</t>
  </si>
  <si>
    <t>Tela Grade Parachoque Dianteiro Renegade 15 2016 2017 2018</t>
  </si>
  <si>
    <t>175950048085</t>
  </si>
  <si>
    <t>238-1</t>
  </si>
  <si>
    <t>Lado(Direito)</t>
  </si>
  <si>
    <t>175950048086</t>
  </si>
  <si>
    <t>238-2</t>
  </si>
  <si>
    <t>Lado(Esquerdo)</t>
  </si>
  <si>
    <t>MLB3371690082</t>
  </si>
  <si>
    <t>U1128633498</t>
  </si>
  <si>
    <t>8844052522457464</t>
  </si>
  <si>
    <t>MLB3845065109</t>
  </si>
  <si>
    <t>U1036515232</t>
  </si>
  <si>
    <t>225</t>
  </si>
  <si>
    <t>Válvula Canister Jetta Tsi Passat Fusca Audi A3 A4 Tt S6 A6</t>
  </si>
  <si>
    <t>5404266150305524</t>
  </si>
  <si>
    <t>MLB2028302911</t>
  </si>
  <si>
    <t>U745521785</t>
  </si>
  <si>
    <t>Tampa Do Parachoque Bmw 320i 318i E90 2009 2010 2011 2012</t>
  </si>
  <si>
    <t>6793693685354487</t>
  </si>
  <si>
    <t>MLB5070161336</t>
  </si>
  <si>
    <t>U1310089135</t>
  </si>
  <si>
    <t>155</t>
  </si>
  <si>
    <t>Bateria Auxiliar Mercedes W205 C180 2015 2016 2017 2018 A 20</t>
  </si>
  <si>
    <t>3487812116811879</t>
  </si>
  <si>
    <t>MLB5453739958</t>
  </si>
  <si>
    <t>U3252043239</t>
  </si>
  <si>
    <t>2 Brucutu Hyundai Tucson 2005 - 2016 Par Esguicho Água</t>
  </si>
  <si>
    <t>8644061163634158</t>
  </si>
  <si>
    <t>MLB3035521648</t>
  </si>
  <si>
    <t>U1369168186</t>
  </si>
  <si>
    <t>Spoiler Inferior Parachoque Golf Gti Mk7 2013 2018 Esquerdo</t>
  </si>
  <si>
    <t>3297354022291511</t>
  </si>
  <si>
    <t>MLB3562561213</t>
  </si>
  <si>
    <t>U768916662</t>
  </si>
  <si>
    <t>Torneira Gasolina Combustivel Cb 500 (todas)</t>
  </si>
  <si>
    <t>2556027813901762</t>
  </si>
  <si>
    <t>MLB5317467016</t>
  </si>
  <si>
    <t>U3070444528</t>
  </si>
  <si>
    <t>Emblema Grade Para-choque Para Honda City 2015 2016 2017</t>
  </si>
  <si>
    <t>MLB5350986898</t>
  </si>
  <si>
    <t>7012175806713695</t>
  </si>
  <si>
    <t>MLB1991226620</t>
  </si>
  <si>
    <t>U1289366807</t>
  </si>
  <si>
    <t>137</t>
  </si>
  <si>
    <t>Valvula Reguladora Pressao Rail Flauta Bosch 1110010028</t>
  </si>
  <si>
    <t>8644577765332322</t>
  </si>
  <si>
    <t>MLB2069855976</t>
  </si>
  <si>
    <t>U749690402</t>
  </si>
  <si>
    <t>Jogo Velas Ignição Hyundai Santa Fé 2.7 V6 2008 2009 2010</t>
  </si>
  <si>
    <t>6854943151181563</t>
  </si>
  <si>
    <t>MLB3042524951</t>
  </si>
  <si>
    <t>U1369166866</t>
  </si>
  <si>
    <t>Radiador Xj6n Xj6 N Xj6f Xj6 F 2009 10 11 12 13 14 15 16 17</t>
  </si>
  <si>
    <t>6378620194533744</t>
  </si>
  <si>
    <t>MLB3846983885</t>
  </si>
  <si>
    <t>U1088742871</t>
  </si>
  <si>
    <t>441</t>
  </si>
  <si>
    <t>Sensor (tr) Posição Cambio Powershift Fiesta, Focus Ecosport</t>
  </si>
  <si>
    <t>3584413429779591</t>
  </si>
  <si>
    <t>MLB1985715312</t>
  </si>
  <si>
    <t>U747116312</t>
  </si>
  <si>
    <t>Mangueira Água Aquecedor Tbi Cruze 1.8 Sonic 1.6 16v</t>
  </si>
  <si>
    <t>MLB1988953192</t>
  </si>
  <si>
    <t>Emblemas Lateral Grade Traseiro Rline Modelo 2021</t>
  </si>
  <si>
    <t>174416947478</t>
  </si>
  <si>
    <t>174416947479</t>
  </si>
  <si>
    <t>4214598996287816</t>
  </si>
  <si>
    <t>MLB2999718634</t>
  </si>
  <si>
    <t>U1367635996</t>
  </si>
  <si>
    <t>MLB3000214908</t>
  </si>
  <si>
    <t>Tela Grade Parachoque Dianteiro Renegade 15 2016 2017 2018-'</t>
  </si>
  <si>
    <t>175950042218</t>
  </si>
  <si>
    <t>175950042219</t>
  </si>
  <si>
    <t>2395657995929193</t>
  </si>
  <si>
    <t>MLB3586061445</t>
  </si>
  <si>
    <t>U768911542</t>
  </si>
  <si>
    <t>Bucha Coluna Direção I30, Veloster, Elantra 2009 A 2012</t>
  </si>
  <si>
    <t>5731756665295581</t>
  </si>
  <si>
    <t>MLB5185903186</t>
  </si>
  <si>
    <t>U2827332545</t>
  </si>
  <si>
    <t>Controle Remoto F21-e1b Industrial Talha Ponte Rolante</t>
  </si>
  <si>
    <t>4937320397780693</t>
  </si>
  <si>
    <t>MLB1961857268</t>
  </si>
  <si>
    <t>U1096268985</t>
  </si>
  <si>
    <t>Válvula Do Vácuo Coletor Admissão Cruze Sonic Track 55568437</t>
  </si>
  <si>
    <t>235785936762196</t>
  </si>
  <si>
    <t>MLB4997456882</t>
  </si>
  <si>
    <t>U789257002</t>
  </si>
  <si>
    <t>Sensor Temperatura Ar Condicionado Hyundai Tucson Ix35</t>
  </si>
  <si>
    <t>MLB2158495340</t>
  </si>
  <si>
    <t>Grade Inferior Farol Milha Bmw E90 320i 325i 330i 08-12</t>
  </si>
  <si>
    <t>174140529440</t>
  </si>
  <si>
    <t>374-2</t>
  </si>
  <si>
    <t>Preto / Esquerdo</t>
  </si>
  <si>
    <t>174140529439</t>
  </si>
  <si>
    <t>374-1</t>
  </si>
  <si>
    <t>Preto / Direito</t>
  </si>
  <si>
    <t>MLB3366047215</t>
  </si>
  <si>
    <t>U1128609756</t>
  </si>
  <si>
    <t>2039019730202556</t>
  </si>
  <si>
    <t>MLB5059198800</t>
  </si>
  <si>
    <t>U1127975645</t>
  </si>
  <si>
    <t>Lamina Disco Para Roçadeira Sigatools 6 Pontas - St</t>
  </si>
  <si>
    <t>1250702113465013</t>
  </si>
  <si>
    <t>MLB2055854929</t>
  </si>
  <si>
    <t>U745571103</t>
  </si>
  <si>
    <t>189-K</t>
  </si>
  <si>
    <t>Par De Amortecedor De Caçamba Chevrolet S10 2013 A 2021 Par</t>
  </si>
  <si>
    <t>3877999888807182</t>
  </si>
  <si>
    <t>MLB3170824720</t>
  </si>
  <si>
    <t>U799108522</t>
  </si>
  <si>
    <t>Válvula Redutora De Pressão 3/4 C/manômetro Regulador</t>
  </si>
  <si>
    <t>MLB3269721405</t>
  </si>
  <si>
    <t>U1124485888</t>
  </si>
  <si>
    <t>5345468592311200</t>
  </si>
  <si>
    <t>MLB3847001961</t>
  </si>
  <si>
    <t>U1088633465</t>
  </si>
  <si>
    <t>Sensores do ervore de comando de válvulas para veiculos</t>
  </si>
  <si>
    <t>5806546588957166</t>
  </si>
  <si>
    <t>MLB3900187311</t>
  </si>
  <si>
    <t>U2711090462</t>
  </si>
  <si>
    <t>Bomba Submersa 12v Para Transferência De Óleo Diesel E Água</t>
  </si>
  <si>
    <t>7969141429701478</t>
  </si>
  <si>
    <t>MLB3984001805</t>
  </si>
  <si>
    <t>U3028437635</t>
  </si>
  <si>
    <t>Torneira Gasolina Combustivel Para Suzuki Gsxf 750 Gsxkatana</t>
  </si>
  <si>
    <t>8552954649596258</t>
  </si>
  <si>
    <t>MLB2936097905</t>
  </si>
  <si>
    <t>U1366132600</t>
  </si>
  <si>
    <t>Calota Calotinha Roda Bmw 68mm X1 320i 325i X5 X6 118i 328i</t>
  </si>
  <si>
    <t>3319131314759829</t>
  </si>
  <si>
    <t>MLB3559726529</t>
  </si>
  <si>
    <t>U1141881650</t>
  </si>
  <si>
    <t>Bateria Auxiliar Mercedes C180 C200 C250 C300 A2059053414</t>
  </si>
  <si>
    <t>2796682057744094</t>
  </si>
  <si>
    <t>MLB4179312144</t>
  </si>
  <si>
    <t>U2383076686</t>
  </si>
  <si>
    <t>547309520104112</t>
  </si>
  <si>
    <t>MLB1971156671</t>
  </si>
  <si>
    <t>U1096283627</t>
  </si>
  <si>
    <t>272-K8</t>
  </si>
  <si>
    <t>Filtro Peneira Eixo Balanceador Jetta Passat Tiguan A3 A4 Q3</t>
  </si>
  <si>
    <t>1199382084961519</t>
  </si>
  <si>
    <t>MLB2989773771</t>
  </si>
  <si>
    <t>U1367881076</t>
  </si>
  <si>
    <t>291</t>
  </si>
  <si>
    <t>Placa De Fusivel Bateria Peugeot 3008 Citroen C4 Picasso</t>
  </si>
  <si>
    <t>MLB4267632019</t>
  </si>
  <si>
    <t>Bobina Ignição Mercury Optimax Efi Motor Popa</t>
  </si>
  <si>
    <t>5178172763910902</t>
  </si>
  <si>
    <t>MLB4397143588</t>
  </si>
  <si>
    <t>U779124862</t>
  </si>
  <si>
    <t xml:space="preserve">Tampa Esguicho Farol Bmw 320 325 335 E90 Lci 2009 2012 Par </t>
  </si>
  <si>
    <t>5269322400531540</t>
  </si>
  <si>
    <t>MLB4958793742</t>
  </si>
  <si>
    <t>U787575718</t>
  </si>
  <si>
    <t>Console Do Teto Com Porta Oculos Ranger 2013/2017 Ford</t>
  </si>
  <si>
    <t>60630318345206</t>
  </si>
  <si>
    <t>MLB5165987396</t>
  </si>
  <si>
    <t>U2716158196</t>
  </si>
  <si>
    <t>2 Controles Remotos Ponte Rolante, Guincho, Talha Pórtico Nf</t>
  </si>
  <si>
    <t>6960425616386170</t>
  </si>
  <si>
    <t>MLB5209200668</t>
  </si>
  <si>
    <t>U2880331725</t>
  </si>
  <si>
    <t>444-K2-2</t>
  </si>
  <si>
    <t>Kit Escova De Aço + Lâmina Canivete Para Roçadeira Rotativa</t>
  </si>
  <si>
    <t>1612111585886343</t>
  </si>
  <si>
    <t>MLB1971157333</t>
  </si>
  <si>
    <t>U1096272985</t>
  </si>
  <si>
    <t>272-K4</t>
  </si>
  <si>
    <t>Filtro Peneira Eixo Balanceador Jetta Passat Tiguan A5 A3 Q3</t>
  </si>
  <si>
    <t>4576177776841041</t>
  </si>
  <si>
    <t>MLB2030555095</t>
  </si>
  <si>
    <t>U1294757503</t>
  </si>
  <si>
    <t>240</t>
  </si>
  <si>
    <t>Reator Led Xenon Mercedes A200 Cla200 A2189009303 Nov</t>
  </si>
  <si>
    <t>5920698170770909</t>
  </si>
  <si>
    <t>MLB2991942204</t>
  </si>
  <si>
    <t>U1115993867</t>
  </si>
  <si>
    <t>Conversor De Tensão Mercedes W205 C180 C200 C250 2059053414</t>
  </si>
  <si>
    <t>2373601409828623</t>
  </si>
  <si>
    <t>MLB3351652775</t>
  </si>
  <si>
    <t>U1399194190</t>
  </si>
  <si>
    <t>Jogo Vela Ignição Captiva 2.4 2011 2012 2013 2014 2015 2016</t>
  </si>
  <si>
    <t>4472701883650626</t>
  </si>
  <si>
    <t>MLB3403780439</t>
  </si>
  <si>
    <t>U1126491263</t>
  </si>
  <si>
    <t>Carcaça Válvula Termostática Thp 1.6 Turbo Ds3 308 3008 408</t>
  </si>
  <si>
    <t>4500621107897476</t>
  </si>
  <si>
    <t>MLB3741000067</t>
  </si>
  <si>
    <t>U768708817</t>
  </si>
  <si>
    <t>1734773677298605</t>
  </si>
  <si>
    <t>MLB4417702168</t>
  </si>
  <si>
    <t>U1166452408</t>
  </si>
  <si>
    <t>Atuador Marcha Lenta Toyota Corolla 1.8 De 2003 A 2008 Orig.</t>
  </si>
  <si>
    <t>MLB2029628753</t>
  </si>
  <si>
    <t>U1294653809</t>
  </si>
  <si>
    <t>8018430423158790</t>
  </si>
  <si>
    <t>MLB2137086092</t>
  </si>
  <si>
    <t>U1104121742</t>
  </si>
  <si>
    <t>362</t>
  </si>
  <si>
    <t>Flange Da Bomba Combustivel Tampa Focus 2.0 16v Duratec08 09</t>
  </si>
  <si>
    <t>4822458330454442</t>
  </si>
  <si>
    <t>MLB2688837302</t>
  </si>
  <si>
    <t>U1344404516</t>
  </si>
  <si>
    <t>407</t>
  </si>
  <si>
    <t>Sensor De Temperatura E Umidade Wi-fi - Alexa E Google Home</t>
  </si>
  <si>
    <t>Termômetros ambientais</t>
  </si>
  <si>
    <t>6125147617618765</t>
  </si>
  <si>
    <t>MLB3004590737</t>
  </si>
  <si>
    <t>U1367742738</t>
  </si>
  <si>
    <t>248</t>
  </si>
  <si>
    <t>Sensor Velocidade Nissan Frontier 2.8 Mwm 2.5 2002 Em Diante</t>
  </si>
  <si>
    <t>2748163643475380</t>
  </si>
  <si>
    <t>MLB3472118255</t>
  </si>
  <si>
    <t>U765068850</t>
  </si>
  <si>
    <t>Par Esguicho Brucutu Agua Parabrisa Cruze 12 13 14 15 16</t>
  </si>
  <si>
    <t>6970602004819449</t>
  </si>
  <si>
    <t>MLB3887812340</t>
  </si>
  <si>
    <t>U2363854424</t>
  </si>
  <si>
    <t>219-K6</t>
  </si>
  <si>
    <t>Jogo 6 Velas Hyundai Azera 3.0 V6 2012 A 2020 Ngk Iridium</t>
  </si>
  <si>
    <t>MLB5194316514</t>
  </si>
  <si>
    <t>Adaptador Sem Fio Wireless Qi Indução Receptor Universal Cor Type-b</t>
  </si>
  <si>
    <t>8209754306028935</t>
  </si>
  <si>
    <t>MLB5277612444</t>
  </si>
  <si>
    <t>U2997075629</t>
  </si>
  <si>
    <t>Terminal De Bateria Duplo Engate Rápido Carro Par Conector</t>
  </si>
  <si>
    <t>217508449844222</t>
  </si>
  <si>
    <t>MLB1984898642</t>
  </si>
  <si>
    <t>U747101496</t>
  </si>
  <si>
    <t>Bola Manopla De Câmbio Ford Focus 2009 A 2013 Lente Preta</t>
  </si>
  <si>
    <t>479582610492863</t>
  </si>
  <si>
    <t>MLB2030636304</t>
  </si>
  <si>
    <t>U1298633526</t>
  </si>
  <si>
    <t>243</t>
  </si>
  <si>
    <t>Sensor Pressao Oleo Cherokee Sport 4.0l De 97 À 00 2 Pinos</t>
  </si>
  <si>
    <t>7254870061195188</t>
  </si>
  <si>
    <t>MLB2055809775</t>
  </si>
  <si>
    <t>U745580103</t>
  </si>
  <si>
    <t>7733268380279763</t>
  </si>
  <si>
    <t>MLB2950381038</t>
  </si>
  <si>
    <t>U754060653</t>
  </si>
  <si>
    <t>Esquadro Nível Laser 90º Grau Digital Horizontal Vertical</t>
  </si>
  <si>
    <t>7262556426063417</t>
  </si>
  <si>
    <t>MLB3021575302</t>
  </si>
  <si>
    <t>U754060363</t>
  </si>
  <si>
    <t>Sensor Temperatura Ar Condicionado Ix35 Hb20 K Sportage</t>
  </si>
  <si>
    <t>5972695325976806</t>
  </si>
  <si>
    <t>MLB3502394085</t>
  </si>
  <si>
    <t>U1137814532</t>
  </si>
  <si>
    <t>379-4</t>
  </si>
  <si>
    <t>Trava Mangueira Da Turbina (maior Ou Menor) Sprinter 415 515</t>
  </si>
  <si>
    <t>1831773604530428</t>
  </si>
  <si>
    <t>MLB3568579629</t>
  </si>
  <si>
    <t>U768854014</t>
  </si>
  <si>
    <t>Valvula Controle Comando Jetta Passat Tiguan Fusca 200cv</t>
  </si>
  <si>
    <t>Árvores de comandos de válvulas para veículos</t>
  </si>
  <si>
    <t>4242180061818288</t>
  </si>
  <si>
    <t>MLB3849820425</t>
  </si>
  <si>
    <t>U1153803319</t>
  </si>
  <si>
    <t>Sensor Pressão Pneu Hyundai Tucson Creta Ix35 2017 A 2020</t>
  </si>
  <si>
    <t>785735188232954</t>
  </si>
  <si>
    <t>MLB4398437960</t>
  </si>
  <si>
    <t>U1166487770</t>
  </si>
  <si>
    <t>Mangueira Filtro Ar Tbi Mercedes C180 C200 C250 2010- 2013</t>
  </si>
  <si>
    <t>1129423874862568</t>
  </si>
  <si>
    <t>MLB1960407042</t>
  </si>
  <si>
    <t>U1096283755</t>
  </si>
  <si>
    <t>Mangueira Filtro Ar Tbi Mercedes C180 2010 2011 2012 2013 14</t>
  </si>
  <si>
    <t>MLB1971156672</t>
  </si>
  <si>
    <t>U1096265397</t>
  </si>
  <si>
    <t>6371051326064986</t>
  </si>
  <si>
    <t>MLB2012695498</t>
  </si>
  <si>
    <t>U1105991762</t>
  </si>
  <si>
    <t>208</t>
  </si>
  <si>
    <t>Tampa Corrente Completa Orig Volkswagen Jetta Tiguan Tsi</t>
  </si>
  <si>
    <t>Cabeçotes de cilindros de motor para veículos</t>
  </si>
  <si>
    <t>MLB2029667805</t>
  </si>
  <si>
    <t>U748557096</t>
  </si>
  <si>
    <t>MLB2055520692</t>
  </si>
  <si>
    <t>Tela Parachoque Dianteiro Renegade 15 2016 2017 2018 Direito</t>
  </si>
  <si>
    <t>173807998036</t>
  </si>
  <si>
    <t>173807998037</t>
  </si>
  <si>
    <t>2259276431416249</t>
  </si>
  <si>
    <t>MLB2056068216</t>
  </si>
  <si>
    <t>U745553107</t>
  </si>
  <si>
    <t>Bucha Caixa Direção Hyundai I30 2009 2010 2011 2012</t>
  </si>
  <si>
    <t>8608206836770218</t>
  </si>
  <si>
    <t>MLB2950507606</t>
  </si>
  <si>
    <t>U1366516004</t>
  </si>
  <si>
    <t>Jogo 4 Velas Iridium Original Hyundai I30 Elantra Santa Fe</t>
  </si>
  <si>
    <t>524615249782720</t>
  </si>
  <si>
    <t>MLB3438249425</t>
  </si>
  <si>
    <t>U1410481782</t>
  </si>
  <si>
    <t>Tampa Esguicho Água Farol Hyundai Azera 2012 A 2014 Direito</t>
  </si>
  <si>
    <t>1537304297415726</t>
  </si>
  <si>
    <t>MLB3595210331</t>
  </si>
  <si>
    <t>U2296552562</t>
  </si>
  <si>
    <t>5331353019100600</t>
  </si>
  <si>
    <t>MLB3650493175</t>
  </si>
  <si>
    <t>U1146193163</t>
  </si>
  <si>
    <t>Lampada Xenon D4s 6000k Toyota Atacado</t>
  </si>
  <si>
    <t>8270685931651792</t>
  </si>
  <si>
    <t>MLB3900977367</t>
  </si>
  <si>
    <t>U2708326939</t>
  </si>
  <si>
    <t>Conector Terminal Bateria C/ Engate Rápido Carro Pa</t>
  </si>
  <si>
    <t>3840540473538477</t>
  </si>
  <si>
    <t>MLB4184316536</t>
  </si>
  <si>
    <t>U777937232</t>
  </si>
  <si>
    <t>MLB4613198724</t>
  </si>
  <si>
    <t>Valvula Reguladora De Pressao Deckas 9666 Latão 142.23 Psi</t>
  </si>
  <si>
    <t>2755697572521719</t>
  </si>
  <si>
    <t>MLB5182405442</t>
  </si>
  <si>
    <t>U2813308086</t>
  </si>
  <si>
    <t>Bomba Submersa 12v Transferência Óleo Diesel Água</t>
  </si>
  <si>
    <t>348132705956573</t>
  </si>
  <si>
    <t>MLB5317735088</t>
  </si>
  <si>
    <t>U3065465199</t>
  </si>
  <si>
    <t>Emblema Para Honda Logo H Grade Dianteira City 2015 À 2017</t>
  </si>
  <si>
    <t>250002088769179</t>
  </si>
  <si>
    <t>MLB1971055341</t>
  </si>
  <si>
    <t>U744191563</t>
  </si>
  <si>
    <t>287</t>
  </si>
  <si>
    <t>Medidor Fluxo De Ar Pajero Tr4 Io E5t08471 Md343605 Novo!</t>
  </si>
  <si>
    <t>545026388410078</t>
  </si>
  <si>
    <t>MLB2027956805</t>
  </si>
  <si>
    <t>U1294222241</t>
  </si>
  <si>
    <t>Jogo Velas Ngk Hyundai Elantra 1.8 16v 2012/.... Silzkr7b11</t>
  </si>
  <si>
    <t>6112019434665709</t>
  </si>
  <si>
    <t>MLB2055852108</t>
  </si>
  <si>
    <t>U1301937362</t>
  </si>
  <si>
    <t>Emblema Logo Estrela Capo Mercedes-benz 44mm</t>
  </si>
  <si>
    <t>27897997150207</t>
  </si>
  <si>
    <t>MLB2142095938</t>
  </si>
  <si>
    <t>U1103487237</t>
  </si>
  <si>
    <t>332</t>
  </si>
  <si>
    <t>Cinto Anti Alarme Golf Adaptador Cinto Segurança</t>
  </si>
  <si>
    <t>6498488509741324</t>
  </si>
  <si>
    <t>MLB2158557475</t>
  </si>
  <si>
    <t>U750848522</t>
  </si>
  <si>
    <t>374-K</t>
  </si>
  <si>
    <t>Grade Inferior Farol Milha Bmw  Par 320i 325i 330i E-90</t>
  </si>
  <si>
    <t>Ambos Lados</t>
  </si>
  <si>
    <t>MLB2666167627</t>
  </si>
  <si>
    <t>U1107324567</t>
  </si>
  <si>
    <t>5319113955208297</t>
  </si>
  <si>
    <t>MLB3070516192</t>
  </si>
  <si>
    <t>U757818456</t>
  </si>
  <si>
    <t>332-K</t>
  </si>
  <si>
    <t>Cinto Anti Alarme Golf Adaptador Cinto Segurança - Par</t>
  </si>
  <si>
    <t>5211943345634018</t>
  </si>
  <si>
    <t>MLB4084179970</t>
  </si>
  <si>
    <t>U1160433200</t>
  </si>
  <si>
    <t>Válvula Canister Jetta 2.5 2006 2007 08 2009 2010 06e906517</t>
  </si>
  <si>
    <t>8135131374774745</t>
  </si>
  <si>
    <t>MLB4408388314</t>
  </si>
  <si>
    <t>U2394402131</t>
  </si>
  <si>
    <t>Válvula De Vácuo Tração Eixo Dianteiro S10 Blazer 4x4 98/11</t>
  </si>
  <si>
    <t>Avanços a vácuo de distribuidor para veículos</t>
  </si>
  <si>
    <t>2285265895350926</t>
  </si>
  <si>
    <t>MLB5419574724</t>
  </si>
  <si>
    <t>U3225140858</t>
  </si>
  <si>
    <t>Cofre Caixa Guarda Chave Com Senha Segredo Parede Airbnb Top</t>
  </si>
  <si>
    <t>MLB1985675062</t>
  </si>
  <si>
    <t>Difusor Duto Ar Mitsubishi Lancer Ex Pronta Entrega</t>
  </si>
  <si>
    <t>94883216184</t>
  </si>
  <si>
    <t>31-B</t>
  </si>
  <si>
    <t>B</t>
  </si>
  <si>
    <t>94883216189</t>
  </si>
  <si>
    <t>31-D</t>
  </si>
  <si>
    <t>D</t>
  </si>
  <si>
    <t>94883216186</t>
  </si>
  <si>
    <t>31-C</t>
  </si>
  <si>
    <t>C</t>
  </si>
  <si>
    <t>94883216182</t>
  </si>
  <si>
    <t>31-A</t>
  </si>
  <si>
    <t>A</t>
  </si>
  <si>
    <t>2600600700989864</t>
  </si>
  <si>
    <t>MLB1991334765</t>
  </si>
  <si>
    <t>U1289361877</t>
  </si>
  <si>
    <t>170-K4</t>
  </si>
  <si>
    <t>Jogo De Velas Ignição Original Toyota Corolla 2002/08 4un</t>
  </si>
  <si>
    <t>MLB2999897178</t>
  </si>
  <si>
    <t>U1367635062</t>
  </si>
  <si>
    <t>MLB3000440459</t>
  </si>
  <si>
    <t>175951344882</t>
  </si>
  <si>
    <t>175951344881</t>
  </si>
  <si>
    <t>6592870888872662</t>
  </si>
  <si>
    <t>MLB3049697793</t>
  </si>
  <si>
    <t>U754067979</t>
  </si>
  <si>
    <t>Válvula Redutora Reguladora De Pressão 3/4 C/manômetro Prate</t>
  </si>
  <si>
    <t>8789684180364361</t>
  </si>
  <si>
    <t>MLB3151922866</t>
  </si>
  <si>
    <t>U1374688966</t>
  </si>
  <si>
    <t>Jogo 4 Vela Captiva 2.4 2011 A 2016 185cv 12620540 Original</t>
  </si>
  <si>
    <t>5390567818325593</t>
  </si>
  <si>
    <t>MLB3848489287</t>
  </si>
  <si>
    <t>U1126908571</t>
  </si>
  <si>
    <t>Máscara Facial Transparente Anti-embaçante Roçadeira Olhos</t>
  </si>
  <si>
    <t>8662095209162011</t>
  </si>
  <si>
    <t>MLB3854702465</t>
  </si>
  <si>
    <t>U1313972796</t>
  </si>
  <si>
    <t>Bateria Auxiliar Mercedes C180 C200 C250 C300 Original</t>
  </si>
  <si>
    <t>8766928953732692</t>
  </si>
  <si>
    <t>MLB4242821568</t>
  </si>
  <si>
    <t>U1160214037</t>
  </si>
  <si>
    <t>Par Puxador Porta Traseira Bmw 320i 328i F30 2011 - 2015</t>
  </si>
  <si>
    <t>4512285262565979</t>
  </si>
  <si>
    <t>MLB4334330474</t>
  </si>
  <si>
    <t>U778505638</t>
  </si>
  <si>
    <t>Sensor Da Direção Hidráulica Citroen Peugeot 206 207 306 307</t>
  </si>
  <si>
    <t>14210469608470</t>
  </si>
  <si>
    <t>MLB5211215702</t>
  </si>
  <si>
    <t>U2887445852</t>
  </si>
  <si>
    <t>422-K</t>
  </si>
  <si>
    <t>2 Un Disco Enxada Rotativa Para Roçadeira Universal</t>
  </si>
  <si>
    <t>6982546177788117</t>
  </si>
  <si>
    <t>MLB1991230574</t>
  </si>
  <si>
    <t>U1293284656</t>
  </si>
  <si>
    <t>139</t>
  </si>
  <si>
    <t>Sensor Map Cummins Bosch 0281002576</t>
  </si>
  <si>
    <t>3040041238005994</t>
  </si>
  <si>
    <t>MLB2125639403</t>
  </si>
  <si>
    <t>U747316957</t>
  </si>
  <si>
    <t>355</t>
  </si>
  <si>
    <t>Botão Vidro Elétrico Sprinter 311 415 515 2013 Com Retovisor</t>
  </si>
  <si>
    <t>MLB2171929381</t>
  </si>
  <si>
    <t>U1102935465</t>
  </si>
  <si>
    <t>2214206851755410</t>
  </si>
  <si>
    <t>MLB3789682369</t>
  </si>
  <si>
    <t>U770896933</t>
  </si>
  <si>
    <t>457-1</t>
  </si>
  <si>
    <t>Grade Mercedes W205 C180 C200 C250 Gtr Amg Black Piano</t>
  </si>
  <si>
    <t>Preto Brilhante</t>
  </si>
  <si>
    <t>5820887378047507</t>
  </si>
  <si>
    <t>MLB3883867591</t>
  </si>
  <si>
    <t>U2455522972</t>
  </si>
  <si>
    <t>Carcaça Termostática Ds3 Ds4 Ds5 3008 308 4008 C4 1.6 Thp</t>
  </si>
  <si>
    <t>1398295202583389</t>
  </si>
  <si>
    <t>MLB4184260270</t>
  </si>
  <si>
    <t>U1158787641</t>
  </si>
  <si>
    <t>8429578453765897</t>
  </si>
  <si>
    <t>MLB4390407439</t>
  </si>
  <si>
    <t>U3704199874</t>
  </si>
  <si>
    <t>Válvula Redutora C/manômetro Reguladora De Pressão 3/4 Censi</t>
  </si>
  <si>
    <t>2684052823091782</t>
  </si>
  <si>
    <t>MLB5199931130</t>
  </si>
  <si>
    <t>U2867089273</t>
  </si>
  <si>
    <t>444-K3</t>
  </si>
  <si>
    <t>Kit 3 Lâminas Corta Limpa E Capina Roçadeira Universal</t>
  </si>
  <si>
    <t>8979276323474856</t>
  </si>
  <si>
    <t>MLB1991242570</t>
  </si>
  <si>
    <t>U1293260986</t>
  </si>
  <si>
    <t>149-K4</t>
  </si>
  <si>
    <t>Jogo Vela Iridium Ngk Lzfr6ai Airtrek Grandis 2.4</t>
  </si>
  <si>
    <t>MLB1991305379</t>
  </si>
  <si>
    <t>U1100529732</t>
  </si>
  <si>
    <t>3561460300556389</t>
  </si>
  <si>
    <t>MLB2026776580</t>
  </si>
  <si>
    <t>U1297891788</t>
  </si>
  <si>
    <t>153</t>
  </si>
  <si>
    <t>Scanner Automotivo Forscan Usb Ftdi Interruptor Hs Ms Can</t>
  </si>
  <si>
    <t>472863325913275</t>
  </si>
  <si>
    <t>MLB2030604184</t>
  </si>
  <si>
    <t>U1294764135</t>
  </si>
  <si>
    <t>Sensor De Pressão Do Óleo Cherokee Sport 4.0 1997 - 2000</t>
  </si>
  <si>
    <t>512859386235583</t>
  </si>
  <si>
    <t>MLB2030695900</t>
  </si>
  <si>
    <t>U1298810086</t>
  </si>
  <si>
    <t>258</t>
  </si>
  <si>
    <t>Capa Cromada Maçaneta 4 Portas E Tampa Mala Dodge Ram 2500</t>
  </si>
  <si>
    <t>Capas de alça exteriores de portas para veículos</t>
  </si>
  <si>
    <t>MLB2067928197</t>
  </si>
  <si>
    <t>Tampa Amortecedor Audi A4 A5 B8 B8 8k0803593 8k0803594</t>
  </si>
  <si>
    <t>173849235899</t>
  </si>
  <si>
    <t>173849235898</t>
  </si>
  <si>
    <t>Direito (Passageiro)</t>
  </si>
  <si>
    <t>4604323973055088</t>
  </si>
  <si>
    <t>MLB2125619820</t>
  </si>
  <si>
    <t>U747314985</t>
  </si>
  <si>
    <t>Botao Vidro Eletrico Esq Sprinter 311 313 415 515 13/14/15..</t>
  </si>
  <si>
    <t>7451201653090634</t>
  </si>
  <si>
    <t>MLB3480950903</t>
  </si>
  <si>
    <t>U762055323</t>
  </si>
  <si>
    <t>Bomba Gasolina Combustivel Evinrude/ Johnson 6 Hp 8 Hp 15 Hp</t>
  </si>
  <si>
    <t>2325479121663813</t>
  </si>
  <si>
    <t>MLB1978117837</t>
  </si>
  <si>
    <t>U1286735101</t>
  </si>
  <si>
    <t>282</t>
  </si>
  <si>
    <t>Roda Fonica Ssangyong Actyon Kyron Rexton Korando 4151009000</t>
  </si>
  <si>
    <t>Rolamentos de semi-eixos para veículos</t>
  </si>
  <si>
    <t>5303538296644612</t>
  </si>
  <si>
    <t>MLB1985715324</t>
  </si>
  <si>
    <t>U744184717</t>
  </si>
  <si>
    <t>Mangueira Do Aquecedor - Agua - Gm - Sonic 55574685 55559352</t>
  </si>
  <si>
    <t>3984186763630878</t>
  </si>
  <si>
    <t>MLB2997064492</t>
  </si>
  <si>
    <t>U757080664</t>
  </si>
  <si>
    <t>2376267587822910</t>
  </si>
  <si>
    <t>MLB5058471392</t>
  </si>
  <si>
    <t>U1125968127</t>
  </si>
  <si>
    <t>Coletor De Admissão Jeep Compass Fiat Renegade Toro Diesel</t>
  </si>
  <si>
    <t>MLB1985684161</t>
  </si>
  <si>
    <t>94883277832</t>
  </si>
  <si>
    <t>94883277841</t>
  </si>
  <si>
    <t>94883277837</t>
  </si>
  <si>
    <t>94883277826</t>
  </si>
  <si>
    <t>4678374446248906</t>
  </si>
  <si>
    <t>MLB2030638117</t>
  </si>
  <si>
    <t>U1294932831</t>
  </si>
  <si>
    <t>Tampa De Combustível Land Rover-range Rover E Discovery 3 4</t>
  </si>
  <si>
    <t>2804260582507632</t>
  </si>
  <si>
    <t>MLB2066920556</t>
  </si>
  <si>
    <t>U1300605017</t>
  </si>
  <si>
    <t>Acessórios Hilux Cinto De Segurança Anti Som Par</t>
  </si>
  <si>
    <t>8521354068346284</t>
  </si>
  <si>
    <t>MLB3449224431</t>
  </si>
  <si>
    <t>U761387299</t>
  </si>
  <si>
    <t>Mangueira Intercooler Ranger 2.2 Alta Performance Silicone</t>
  </si>
  <si>
    <t>MLB3541801243</t>
  </si>
  <si>
    <t>Painel Ripado Ecológico - Wpc - Madeirado</t>
  </si>
  <si>
    <t>179447323532</t>
  </si>
  <si>
    <t>179447323534</t>
  </si>
  <si>
    <t>3769818500317832</t>
  </si>
  <si>
    <t>MLB3552401515</t>
  </si>
  <si>
    <t>U1141932618</t>
  </si>
  <si>
    <t>Par De Amortecedor Tampa Da Caçamba S10 Lt Ltz 2012 Á 2023</t>
  </si>
  <si>
    <t>1073130907182547</t>
  </si>
  <si>
    <t>MLB3792594512</t>
  </si>
  <si>
    <t>U1156892992</t>
  </si>
  <si>
    <t>Bobina Motor Popa Mercury 75 A 300hp (optimax- Efi)</t>
  </si>
  <si>
    <t>218100093499041</t>
  </si>
  <si>
    <t>MLB3937750320</t>
  </si>
  <si>
    <t>U1159028148</t>
  </si>
  <si>
    <t>Jogo 6 Velas Santa Fé 2.7 V6 2006 A 2009 Ilfr5b11</t>
  </si>
  <si>
    <t>5085610097771043</t>
  </si>
  <si>
    <t>MLB4118862569</t>
  </si>
  <si>
    <t>U3282775444</t>
  </si>
  <si>
    <t xml:space="preserve">Torneira Gasolina Combustivel Para Suzuki Gsxf 750 Gsx750f </t>
  </si>
  <si>
    <t>2816835590757383</t>
  </si>
  <si>
    <t>MLB4572272440</t>
  </si>
  <si>
    <t>U2732590426</t>
  </si>
  <si>
    <t>Spoiler Parachoque Dianteiro L.e Vw Golf Gti 2014 2015 2016</t>
  </si>
  <si>
    <t>363991704761266</t>
  </si>
  <si>
    <t>MLB2074923420</t>
  </si>
  <si>
    <t>U749661790</t>
  </si>
  <si>
    <t>Válvula Controle Comando Válvulas Jetta Tiguan Passat A3 A4</t>
  </si>
  <si>
    <t>Válvulas solenoides para veículos</t>
  </si>
  <si>
    <t>3084468843515059</t>
  </si>
  <si>
    <t>MLB2158551122</t>
  </si>
  <si>
    <t>U747925159</t>
  </si>
  <si>
    <t>Par Grade Farol Milha Bmw Serie 3 320i 2008 2010 2011 2012</t>
  </si>
  <si>
    <t>2006428520149251</t>
  </si>
  <si>
    <t>MLB3000217851</t>
  </si>
  <si>
    <t>U1367638070</t>
  </si>
  <si>
    <t>238-K</t>
  </si>
  <si>
    <t>Par Tela Parachoque Jeep Renegade 15 16 17 18 19 Novas!!</t>
  </si>
  <si>
    <t>3589587907300949</t>
  </si>
  <si>
    <t>MLB3004542113</t>
  </si>
  <si>
    <t>U1363795395</t>
  </si>
  <si>
    <t>Sensor Velocidade Completo Pinhão Frontier 2.8 Até 2007</t>
  </si>
  <si>
    <t>5769472858376727</t>
  </si>
  <si>
    <t>MLB4049815600</t>
  </si>
  <si>
    <t>U1160003014</t>
  </si>
  <si>
    <t>Mangueira Intercooler Nova Ranger 3.2 (2013/...) Ab396k683bf</t>
  </si>
  <si>
    <t>5441099471987514</t>
  </si>
  <si>
    <t>MLB4343131736</t>
  </si>
  <si>
    <t>U1165618764</t>
  </si>
  <si>
    <t>Scanner Aparelho Detector Parede Viga Fio Tubo Cano Pvc Água</t>
  </si>
  <si>
    <t>464169455353297</t>
  </si>
  <si>
    <t>MLB4775303244</t>
  </si>
  <si>
    <t>U2756437221</t>
  </si>
  <si>
    <t>Kit 2 Luz Subaquática Popa Lancha Barco 27 Led Ip68 Azul</t>
  </si>
  <si>
    <t>2392309810911196</t>
  </si>
  <si>
    <t>MLB5211177144</t>
  </si>
  <si>
    <t>U2882408013</t>
  </si>
  <si>
    <t>2 Un Enxada Rotativa Roçadeira Disco Capina Grama Universal</t>
  </si>
  <si>
    <t>MLB5978534916</t>
  </si>
  <si>
    <t>Repelente Eletrônico De Cães Himeite Preto Com Ultrassom E Led 25m</t>
  </si>
  <si>
    <t>2953729646627154</t>
  </si>
  <si>
    <t>MLB1991219645</t>
  </si>
  <si>
    <t>U1293260724</t>
  </si>
  <si>
    <t>Sensor De Pressão Para Ford Cargo 815e</t>
  </si>
  <si>
    <t>4295151200255360</t>
  </si>
  <si>
    <t>MLB2030697091</t>
  </si>
  <si>
    <t>U1298802616</t>
  </si>
  <si>
    <t>Moldura Aplique Friso Retrovisor Cromado Jeep Compass</t>
  </si>
  <si>
    <t>4846987820028582</t>
  </si>
  <si>
    <t>MLB4155216906</t>
  </si>
  <si>
    <t>U1161982776</t>
  </si>
  <si>
    <t>Válvula Canister Jetta Tsi Tiguan Pst 06h906517b</t>
  </si>
  <si>
    <t>6666146259199627</t>
  </si>
  <si>
    <t>MLB5125909568</t>
  </si>
  <si>
    <t>U2387575863</t>
  </si>
  <si>
    <t>Válvula De Vácuo Do Coletor Admissão Gm Sonic Cruze Tracker</t>
  </si>
  <si>
    <t>1683863620850461</t>
  </si>
  <si>
    <t>MLB3772363230</t>
  </si>
  <si>
    <t>U2338757763</t>
  </si>
  <si>
    <t>Atuador Diafragma Tração Transmissão 4x4 S10 Blazer 25031740</t>
  </si>
  <si>
    <t>Atuadores hidráulicos para veículos</t>
  </si>
  <si>
    <t>5366084534515950</t>
  </si>
  <si>
    <t>MLB3943739679</t>
  </si>
  <si>
    <t>U2922038665</t>
  </si>
  <si>
    <t>Par Moldura Parachoque Bmw 318i 320i 325i 2009 Até 2012</t>
  </si>
  <si>
    <t>960250625903849</t>
  </si>
  <si>
    <t>MLB4030603117</t>
  </si>
  <si>
    <t>U3123709840</t>
  </si>
  <si>
    <t>Comutador Partida Ignição Para Hyundai Hb20 1.0 1.6 Todos</t>
  </si>
  <si>
    <t>6352784908705792</t>
  </si>
  <si>
    <t>MLB4373156958</t>
  </si>
  <si>
    <t>U2391409093</t>
  </si>
  <si>
    <t>Jogo De Velas Ignição Hyundai Santa Fé 3.5 V6 2009 Em Diante</t>
  </si>
  <si>
    <t>6416345049820327</t>
  </si>
  <si>
    <t>MLB4408425682</t>
  </si>
  <si>
    <t>U2394402073</t>
  </si>
  <si>
    <t>Cuica Diafragma Atuador Vácuo Da Tração S10 Blazer Até 2011</t>
  </si>
  <si>
    <t>6175302863065670</t>
  </si>
  <si>
    <t>MLB4850717178</t>
  </si>
  <si>
    <t>U788171040</t>
  </si>
  <si>
    <t>Medidor Fluxo De Ar Pajero Tr4 Io E5t08471 Md343605</t>
  </si>
  <si>
    <t>4875797178422878</t>
  </si>
  <si>
    <t>MLB5059296312</t>
  </si>
  <si>
    <t>U1127972411</t>
  </si>
  <si>
    <t>Lamina-motopoda- Podador Galhos- Serra-p/roçadeira 6 Laminas</t>
  </si>
  <si>
    <t>8227537870578221</t>
  </si>
  <si>
    <t>MLB2030665643</t>
  </si>
  <si>
    <t>U1294757483</t>
  </si>
  <si>
    <t>261</t>
  </si>
  <si>
    <t>Fluxo De Ar Renault Master 2.5 16v Diesel De 2009 A 2015</t>
  </si>
  <si>
    <t>570225210537634</t>
  </si>
  <si>
    <t>MLB2648535581</t>
  </si>
  <si>
    <t>U1338320018</t>
  </si>
  <si>
    <t>395</t>
  </si>
  <si>
    <t>Refil Bomba De Combustível Ford Focus 2008/2009 Duratec</t>
  </si>
  <si>
    <t>MLB2950415216</t>
  </si>
  <si>
    <t>U754076631</t>
  </si>
  <si>
    <t>8373608720884915</t>
  </si>
  <si>
    <t>MLB2997676423</t>
  </si>
  <si>
    <t>U1115993861</t>
  </si>
  <si>
    <t>Anéis + Travas Mangueira Sprinter 311 415 2.2 Biturbo 2012/.</t>
  </si>
  <si>
    <t>MLB2997955087</t>
  </si>
  <si>
    <t>U757088252</t>
  </si>
  <si>
    <t>7890374117163464</t>
  </si>
  <si>
    <t>MLB3586111747</t>
  </si>
  <si>
    <t>U765847705</t>
  </si>
  <si>
    <t>Bucha Reparo Da Coluna De Direção Elétrica I30</t>
  </si>
  <si>
    <t>2805002125698372</t>
  </si>
  <si>
    <t>MLB3859917750</t>
  </si>
  <si>
    <t>U1157608804</t>
  </si>
  <si>
    <t>4 Filtro Peneira Eixo Balanceador Jetta Passat Tiguan A3 A4</t>
  </si>
  <si>
    <t>MLB5052912450</t>
  </si>
  <si>
    <t>U1032254911</t>
  </si>
  <si>
    <t>MLB5139569464</t>
  </si>
  <si>
    <t>Grade Inferior Milha Bmw Série 3 E90 Lci 2009 A 2012 Premium</t>
  </si>
  <si>
    <t>182026694616</t>
  </si>
  <si>
    <t>182026694614</t>
  </si>
  <si>
    <t>6570790583816720</t>
  </si>
  <si>
    <t>MLB2671282875</t>
  </si>
  <si>
    <t>U1107321847</t>
  </si>
  <si>
    <t>404</t>
  </si>
  <si>
    <t>Mangueira De Retorno Dos Bicos Sprinter 2.2 Cdi A6460700932</t>
  </si>
  <si>
    <t>13685127222502</t>
  </si>
  <si>
    <t>MLB3740962911</t>
  </si>
  <si>
    <t>U771784594</t>
  </si>
  <si>
    <t>Tubo / Mangueira Água Chevrolet Cruze Tracker 1.8 Sonic 1.6</t>
  </si>
  <si>
    <t>MLB4775238928</t>
  </si>
  <si>
    <t>U2756426841</t>
  </si>
  <si>
    <t>639731525358422</t>
  </si>
  <si>
    <t>MLB4991765410</t>
  </si>
  <si>
    <t>U789315106</t>
  </si>
  <si>
    <t>435-1</t>
  </si>
  <si>
    <t>4457758377130960</t>
  </si>
  <si>
    <t>MLB6433811960</t>
  </si>
  <si>
    <t>U3830246255</t>
  </si>
  <si>
    <t>336</t>
  </si>
  <si>
    <t>Botão Partida Start Stop Bmw 120i 125i 320i 328i 420i X1 118</t>
  </si>
  <si>
    <t>Carcaças de alarme a controle remoto para veículos</t>
  </si>
  <si>
    <t>MLB2989803530</t>
  </si>
  <si>
    <t>U1363933569</t>
  </si>
  <si>
    <t>MLB3265882201</t>
  </si>
  <si>
    <t>8474788559472296</t>
  </si>
  <si>
    <t>MLB3441342363</t>
  </si>
  <si>
    <t>U1133361690</t>
  </si>
  <si>
    <t>Bobina Ignição Mercury Optimax 115hp/300hp Dfi(8m0077471)</t>
  </si>
  <si>
    <t>7178182737921169</t>
  </si>
  <si>
    <t>MLB3860069361</t>
  </si>
  <si>
    <t>U1534045753</t>
  </si>
  <si>
    <t>Par Lanterna Refletor Parachoque Traseiro Bmw 320i 2012 2015</t>
  </si>
  <si>
    <t>5501966533598040</t>
  </si>
  <si>
    <t>MLB4355548760</t>
  </si>
  <si>
    <t>U2389955363</t>
  </si>
  <si>
    <t>Carregador Usb P/ Carro Mp3 Transmissor Fm Sem Fio Bluetooth</t>
  </si>
  <si>
    <t>2858233404347243</t>
  </si>
  <si>
    <t>MLB4355587648</t>
  </si>
  <si>
    <t>U2394504706</t>
  </si>
  <si>
    <t>Adaptador Carregador Transmissor Usb Bluetooth Veicular Fm</t>
  </si>
  <si>
    <t>6586626880724205</t>
  </si>
  <si>
    <t>MLB4408376786</t>
  </si>
  <si>
    <t>U2357437732</t>
  </si>
  <si>
    <t>407214332396471</t>
  </si>
  <si>
    <t>MLB5044009416</t>
  </si>
  <si>
    <t>U874357732</t>
  </si>
  <si>
    <t>Lâmpadas Xenon D4s 6000k Branco-frio Super Vision.</t>
  </si>
  <si>
    <t>5844830626005659</t>
  </si>
  <si>
    <t>MLB5059221042</t>
  </si>
  <si>
    <t>U1131611380</t>
  </si>
  <si>
    <t>Lâmina 6 Pontas Canivete P/ Roçadeira Vulcan Intech Terra</t>
  </si>
  <si>
    <t>2406760041861888</t>
  </si>
  <si>
    <t>MLB5491164232</t>
  </si>
  <si>
    <t>U768915374</t>
  </si>
  <si>
    <t>Rolamento Coxin Mancal Cardan Touareg Cayenne Q7</t>
  </si>
  <si>
    <t>5775178237667134</t>
  </si>
  <si>
    <t>MLB5558495128</t>
  </si>
  <si>
    <t>U3354178640</t>
  </si>
  <si>
    <t>lelu</t>
  </si>
  <si>
    <t>1404594059475698</t>
  </si>
  <si>
    <t>MLB3377253967</t>
  </si>
  <si>
    <t>U1391395944</t>
  </si>
  <si>
    <t>424-K6</t>
  </si>
  <si>
    <t>Jogo 6 Velas Acdelco Iridium Volvo Penta 12568387 / 41-101</t>
  </si>
  <si>
    <t>5922648580113835</t>
  </si>
  <si>
    <t>MLB3377257485</t>
  </si>
  <si>
    <t>U1391575920</t>
  </si>
  <si>
    <t>424</t>
  </si>
  <si>
    <t>1 Und Vela Acdelco Iridium Volvo Penta 12568387 / 41-101</t>
  </si>
  <si>
    <t>MLB3377259325</t>
  </si>
  <si>
    <t>MLB3377271311</t>
  </si>
  <si>
    <t>MLB3377272137</t>
  </si>
  <si>
    <t>MLB3377346897</t>
  </si>
  <si>
    <t>4729953687800027</t>
  </si>
  <si>
    <t>MLB3449294193</t>
  </si>
  <si>
    <t>U761394211</t>
  </si>
  <si>
    <t>Mangueira Intercooler Admissão Ranger 2.2 - Siliconada</t>
  </si>
  <si>
    <t>7752288269455733</t>
  </si>
  <si>
    <t>MLB3582574701</t>
  </si>
  <si>
    <t>U2293340376</t>
  </si>
  <si>
    <t>MLB3801345880</t>
  </si>
  <si>
    <t>6404042020837899</t>
  </si>
  <si>
    <t>MLB4232254881</t>
  </si>
  <si>
    <t>U3463054584</t>
  </si>
  <si>
    <t>6532948800642502</t>
  </si>
  <si>
    <t>MLB4254422679</t>
  </si>
  <si>
    <t>U3496544466</t>
  </si>
  <si>
    <t>Spoiler Frontal Saia Parachoque Golf Gti 2014 2018 Par Preto</t>
  </si>
  <si>
    <t>MLB4408010303</t>
  </si>
  <si>
    <t>U3718765790</t>
  </si>
  <si>
    <t>5638190618747009</t>
  </si>
  <si>
    <t>MLB4415306247</t>
  </si>
  <si>
    <t>U3727463026</t>
  </si>
  <si>
    <t>4429762845107020</t>
  </si>
  <si>
    <t>MLB4454299481</t>
  </si>
  <si>
    <t>U3770204328</t>
  </si>
  <si>
    <t>44-K</t>
  </si>
  <si>
    <t>Jogo Vela Ignicao Iridium Compatível Bmw 118i 120i 318i 320i</t>
  </si>
  <si>
    <t>7719725442122427</t>
  </si>
  <si>
    <t>MLB4454351965</t>
  </si>
  <si>
    <t>U3770230936</t>
  </si>
  <si>
    <t>44-K6</t>
  </si>
  <si>
    <t>Jogo 6 Velas Ignicao Iridium Para Bmw 05/12 118i 120i 318i</t>
  </si>
  <si>
    <t>1769604656064285</t>
  </si>
  <si>
    <t>MLB4518818693</t>
  </si>
  <si>
    <t>U3830158321</t>
  </si>
  <si>
    <t>Botão Start Stop Bmw Red 120i 320 M135 M235 M240 M2 M3</t>
  </si>
  <si>
    <t>746732557367100</t>
  </si>
  <si>
    <t>MLB4518880769</t>
  </si>
  <si>
    <t>U3830224655</t>
  </si>
  <si>
    <t>Acessorios Bmw 116i 118i 120i 125i M140i Botão Start Stop</t>
  </si>
  <si>
    <t>1634387990235425</t>
  </si>
  <si>
    <t>MLB6142856630</t>
  </si>
  <si>
    <t>U3716602942</t>
  </si>
  <si>
    <t>Bobina Ignição Motor De Popa Mercury Optimax Racing E Efi</t>
  </si>
  <si>
    <t>1280361006307383</t>
  </si>
  <si>
    <t>MLB6159813808</t>
  </si>
  <si>
    <t>U3718563519</t>
  </si>
  <si>
    <t>7765255805935921</t>
  </si>
  <si>
    <t>MLB6160172794</t>
  </si>
  <si>
    <t>U3718609637</t>
  </si>
  <si>
    <t>2391093330706317</t>
  </si>
  <si>
    <t>MLB6160236904</t>
  </si>
  <si>
    <t>U3718596619</t>
  </si>
  <si>
    <t>7917487211518760</t>
  </si>
  <si>
    <t>MLB6213910936</t>
  </si>
  <si>
    <t>U3760792207</t>
  </si>
  <si>
    <t>Jogo Vela Ignicao Iridium Para Bmw 05/12 118i 120i 318i 320i</t>
  </si>
  <si>
    <t>MLB6238149688</t>
  </si>
  <si>
    <t>2426737834659165</t>
  </si>
  <si>
    <t>MLB3566320869</t>
  </si>
  <si>
    <t>U2288339340</t>
  </si>
  <si>
    <t>Vibrador Casal Duplo Recarregável C/ Controle 2 Motores</t>
  </si>
  <si>
    <t>492.28</t>
  </si>
  <si>
    <t>MLB3243096803</t>
  </si>
  <si>
    <t>2497.9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</si>
</sst>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4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i val="true"/>
      <b val="true"/>
      <u val="none"/>
      <color rgb="FF781A13"/>
    </font>
    <font>
      <name val="Arial"/>
      <sz val="10.0"/>
      <b val="true"/>
      <u val="none"/>
    </font>
    <font>
      <name val="Arial"/>
      <sz val="13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999999"/>
    </font>
  </fonts>
  <fills count="35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5D29F"/>
      </patternFill>
    </fill>
    <fill>
      <patternFill patternType="solid">
        <fgColor rgb="FFF5D29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8CCA4"/>
      </patternFill>
    </fill>
    <fill>
      <patternFill patternType="solid">
        <fgColor rgb="FFF8CCA4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93C47D"/>
      </patternFill>
    </fill>
    <fill>
      <patternFill patternType="solid">
        <fgColor rgb="FF93C47D"/>
      </patternFill>
    </fill>
    <fill>
      <patternFill patternType="none">
        <fgColor rgb="FFD9EAD3"/>
      </patternFill>
    </fill>
    <fill>
      <patternFill patternType="solid">
        <fgColor rgb="FFD9EAD3"/>
      </patternFill>
    </fill>
  </fills>
  <borders count="81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7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22" fillId="5" fontId="5" numFmtId="0" xfId="0" applyAlignment="1" applyBorder="1" applyFont="1">
      <alignment vertical="bottom"/>
    </xf>
    <xf borderId="0" fillId="5" fontId="5" numFmtId="0" xfId="0" applyAlignment="1" applyFont="1">
      <alignment vertical="top"/>
    </xf>
    <xf borderId="37" fillId="0" fontId="3" numFmtId="0" xfId="0" applyBorder="1" applyFont="1"/>
    <xf borderId="64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2" xfId="0" applyFont="true" applyFill="true" applyAlignment="true" applyBorder="true">
      <alignment horizontal="center" vertical="center" wrapText="false"/>
      <protection locked="true"/>
    </xf>
    <xf numFmtId="0" fontId="18" fillId="0" borderId="0" xfId="0" applyFont="true" applyBorder="true">
      <alignment wrapText="false"/>
      <protection locked="false"/>
    </xf>
    <xf numFmtId="0" fontId="19" fillId="14" borderId="80" xfId="0" applyFont="true" applyFill="true" applyAlignment="true" applyBorder="true">
      <alignment horizontal="center" vertical="center" wrapText="false"/>
      <protection locked="true"/>
    </xf>
    <xf numFmtId="0" fontId="20" fillId="16" borderId="0" xfId="0" applyFont="true" applyFill="true" applyAlignment="true">
      <alignment horizontal="center" vertical="center" wrapText="true"/>
      <protection locked="false"/>
    </xf>
    <xf numFmtId="0" fontId="21" fillId="18" borderId="0" xfId="0" applyFont="true" applyFill="true" applyAlignment="true">
      <alignment horizontal="center" vertical="center" wrapText="true"/>
      <protection locked="false"/>
    </xf>
    <xf numFmtId="0" fontId="22" fillId="20" borderId="0" xfId="0" applyFont="true" applyFill="true" applyAlignment="true">
      <alignment horizontal="center" vertical="center" wrapText="true"/>
      <protection locked="false"/>
    </xf>
    <xf numFmtId="0" fontId="23" fillId="22" borderId="0" xfId="0" applyFont="true" applyFill="true" applyAlignment="true">
      <alignment horizontal="center" vertical="center" wrapText="true"/>
      <protection locked="false"/>
    </xf>
    <xf numFmtId="0" fontId="24" fillId="24" borderId="0" xfId="0" applyFont="true" applyFill="true" applyAlignment="true">
      <alignment horizontal="center" vertical="center" wrapText="true"/>
      <protection locked="false"/>
    </xf>
    <xf numFmtId="0" fontId="25" fillId="26" borderId="0" xfId="0" applyFont="true" applyFill="true" applyAlignment="true">
      <alignment horizontal="center" vertical="center" wrapText="true"/>
      <protection locked="false"/>
    </xf>
    <xf numFmtId="0" fontId="26" fillId="28" borderId="0" xfId="0" applyFont="true" applyFill="true" applyAlignment="true">
      <alignment horizontal="center" vertical="center" wrapText="true"/>
      <protection locked="false"/>
    </xf>
    <xf numFmtId="0" fontId="27" fillId="30" borderId="0" xfId="0" applyFont="true" applyFill="true" applyAlignment="true">
      <alignment horizontal="center" vertical="center" wrapText="true"/>
      <protection locked="false"/>
    </xf>
    <xf numFmtId="0" fontId="28" fillId="32" borderId="0" xfId="0" applyFont="true" applyFill="true" applyAlignment="true">
      <alignment horizontal="center" vertical="center" wrapText="true"/>
      <protection locked="false"/>
    </xf>
    <xf numFmtId="0" fontId="29" fillId="34" borderId="0" xfId="0" applyFont="true" applyFill="true" applyAlignment="true">
      <alignment horizontal="center" vertical="center" wrapText="true"/>
      <protection locked="false"/>
    </xf>
    <xf numFmtId="0" fontId="30" fillId="12" borderId="80" xfId="0" applyFont="true" applyFill="true" applyAlignment="true" applyBorder="true">
      <alignment horizontal="center" vertical="center" wrapText="false"/>
      <protection locked="true"/>
    </xf>
    <xf numFmtId="0" fontId="31" fillId="0" borderId="80" xfId="0" applyFont="true" applyAlignment="true" applyBorder="true">
      <alignment horizontal="left" vertical="center" wrapText="false"/>
      <protection locked="false"/>
    </xf>
    <xf numFmtId="0" fontId="32" fillId="0" borderId="80" xfId="0" applyFont="true" applyAlignment="true" applyBorder="true">
      <alignment horizontal="center" vertical="center" wrapText="false"/>
      <protection locked="false"/>
    </xf>
    <xf numFmtId="0" fontId="33" fillId="12" borderId="80" xfId="0" applyFont="true" applyFill="true" applyAlignment="true" applyBorder="true">
      <alignment horizontal="justify" vertical="center" wrapText="true"/>
      <protection locked="true"/>
    </xf>
  </cellXfs>
  <cellStyles count="1">
    <cellStyle xfId="0" name="Normal" builtinId="0"/>
  </cellStyles>
  <dxfs count="4240">
    <dxf>
      <font/>
      <fill>
        <patternFill patternType="solid">
          <fgColor rgb="FFB7E1CD"/>
          <bgColor rgb="FFB7E1CD"/>
        </patternFill>
      </fill>
      <border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2.png" Type="http://schemas.openxmlformats.org/officeDocument/2006/relationships/image"/><Relationship Id="rId5" Target="../media/image6.png" Type="http://schemas.openxmlformats.org/officeDocument/2006/relationships/image"/><Relationship Id="rId6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35</xdr:row>
      <xdr:rowOff>76200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00050" cy="2857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vre.com.br/anuncios/edicao-em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32"/>
      <c r="C9" s="33"/>
      <c r="D9" s="33"/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32"/>
      <c r="C10" s="33"/>
      <c r="D10" s="33"/>
      <c r="E10" s="20"/>
      <c r="F10" s="21"/>
      <c r="G10" s="28"/>
      <c r="H10" s="39"/>
      <c r="I10" s="96" t="s">
        <v>15</v>
      </c>
      <c r="J10" s="41"/>
      <c r="K10" s="41"/>
      <c r="L10" s="41"/>
      <c r="M10" s="41"/>
      <c r="N10" s="42"/>
      <c r="O10" s="38"/>
    </row>
    <row r="11" ht="18.75" customHeight="1">
      <c r="A11" s="26"/>
      <c r="B11" s="32"/>
      <c r="C11" s="33"/>
      <c r="D11" s="33"/>
      <c r="E11" s="20"/>
      <c r="F11" s="21"/>
      <c r="G11" s="28"/>
      <c r="H11" s="34"/>
      <c r="I11" s="97" t="s">
        <v>16</v>
      </c>
      <c r="J11" s="36"/>
      <c r="K11" s="36"/>
      <c r="L11" s="36"/>
      <c r="M11" s="36"/>
      <c r="N11" s="37"/>
      <c r="O11" s="44"/>
    </row>
    <row r="12" ht="19.5" customHeight="1">
      <c r="A12" s="26"/>
      <c r="B12" s="32"/>
      <c r="C12" s="33"/>
      <c r="D12" s="33"/>
      <c r="E12" s="20"/>
      <c r="F12" s="21"/>
      <c r="G12" s="45"/>
      <c r="N12" s="21"/>
      <c r="O12" s="46"/>
    </row>
    <row r="13" ht="39.0" customHeight="1">
      <c r="A13" s="26"/>
      <c r="B13" s="32"/>
      <c r="C13" s="33"/>
      <c r="D13" s="33"/>
      <c r="E13" s="20"/>
      <c r="F13" s="21"/>
      <c r="G13" s="47" t="s">
        <v>5</v>
      </c>
      <c r="N13" s="48"/>
      <c r="O13" s="31"/>
    </row>
    <row r="14" ht="18.75" customHeight="1">
      <c r="A14" s="26"/>
      <c r="B14" s="49"/>
      <c r="C14" s="33"/>
      <c r="D14" s="33"/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49"/>
      <c r="C15" s="33"/>
      <c r="D15" s="33"/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49"/>
      <c r="C16" s="33"/>
      <c r="D16" s="33"/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100" t="s">
        <v>19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14</v>
      </c>
      <c r="M31" s="31"/>
      <c r="N31" s="52"/>
      <c r="O31" s="25"/>
    </row>
    <row r="32" ht="18.75" customHeight="1" hidden="true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8" t="s">
        <v>17</v>
      </c>
      <c r="H35" s="92"/>
      <c r="I35" s="92"/>
      <c r="J35" s="92"/>
      <c r="K35" s="92"/>
      <c r="L35" s="92"/>
      <c r="M35" s="92"/>
      <c r="N35" s="92"/>
      <c r="O35" s="92"/>
    </row>
    <row r="36" ht="18.75" customHeight="1">
      <c r="A36" s="26"/>
      <c r="B36" s="33"/>
      <c r="C36" s="33"/>
      <c r="D36" s="33"/>
      <c r="E36" s="20"/>
      <c r="F36" s="21"/>
      <c r="G36" s="92"/>
      <c r="H36" s="92"/>
      <c r="I36" s="99" t="s">
        <v>18</v>
      </c>
      <c r="O36" s="21"/>
    </row>
    <row r="37" ht="18.75" customHeight="1">
      <c r="A37" s="26"/>
      <c r="B37" s="33"/>
      <c r="C37" s="33"/>
      <c r="D37" s="33"/>
      <c r="E37" s="20"/>
      <c r="F37" s="21"/>
      <c r="G37" s="92"/>
      <c r="H37" s="92"/>
      <c r="I37" s="41"/>
      <c r="J37" s="41"/>
      <c r="K37" s="41"/>
      <c r="L37" s="41"/>
      <c r="M37" s="41"/>
      <c r="N37" s="41"/>
      <c r="O37" s="94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5"/>
      <c r="F40" s="94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:N2"/>
    <mergeCell ref="B3:N3"/>
    <mergeCell ref="A4:O4"/>
    <mergeCell ref="A5:O5"/>
    <mergeCell ref="E6:E40"/>
    <mergeCell ref="F6:F40"/>
    <mergeCell ref="G6:O6"/>
    <mergeCell ref="I36:O37"/>
    <mergeCell ref="I33:N33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</hyperlinks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0" t="s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Y1422"/>
  <sheetViews>
    <sheetView workbookViewId="0"/>
  </sheetViews>
  <sheetFormatPr defaultRowHeight="15.0"/>
  <cols>
    <col min="1" max="1" style="0" width="18.75" customWidth="true"/>
    <col min="2" max="2" style="0" width="17.578125" customWidth="true"/>
    <col min="3" max="3" style="0" width="17.578125" customWidth="true"/>
    <col min="4" max="4" style="0" width="17.578125" customWidth="true" hidden="true"/>
    <col min="5" max="5" style="0" width="17.578125" customWidth="true"/>
    <col min="6" max="6" style="0" width="58.59375" customWidth="true"/>
    <col min="7" max="7" style="0" width="17.578125" customWidth="true"/>
    <col min="8" max="8" style="0" width="23.4375" customWidth="true"/>
    <col min="9" max="9" style="0" width="17.578125" customWidth="true"/>
    <col min="10" max="10" style="0" width="17.578125" customWidth="true"/>
    <col min="11" max="11" style="0" width="17.578125" customWidth="true"/>
    <col min="12" max="12" style="0" width="31.25" customWidth="true"/>
    <col min="13" max="13" style="0" width="31.25" customWidth="true"/>
    <col min="14" max="14" style="0" width="31.25" customWidth="true"/>
    <col min="15" max="15" style="0" width="31.25" customWidth="true"/>
    <col min="16" max="16" style="0" width="31.25" customWidth="true"/>
    <col min="17" max="17" style="0" width="31.25" customWidth="true"/>
    <col min="18" max="18" style="0" width="31.25" customWidth="true"/>
    <col min="19" max="19" style="0" width="31.25" customWidth="true"/>
    <col min="20" max="20" style="0" width="31.25" customWidth="true"/>
    <col min="21" max="21" style="0" width="31.25" customWidth="true"/>
    <col min="22" max="22" style="0" width="39.0625" customWidth="true"/>
    <col min="23" max="23" style="0" width="17.578125" customWidth="true"/>
    <col min="24" max="24" style="0" width="17.578125" customWidth="true"/>
    <col min="25" max="25" style="0" width="35.15625" customWidth="true"/>
  </cols>
  <sheetData>
    <row r="1" ht="0.0" customHeight="true">
      <c r="A1" s="101" t="s">
        <v>21</v>
      </c>
      <c r="B1" s="101" t="s">
        <v>24</v>
      </c>
      <c r="C1" s="101" t="s">
        <v>26</v>
      </c>
      <c r="D1" s="101" t="s">
        <v>28</v>
      </c>
      <c r="E1" s="101" t="s">
        <v>30</v>
      </c>
      <c r="F1" s="101" t="s">
        <v>31</v>
      </c>
      <c r="G1" s="101" t="s">
        <v>33</v>
      </c>
      <c r="H1" s="101" t="s">
        <v>36</v>
      </c>
      <c r="I1" s="101" t="s">
        <v>39</v>
      </c>
      <c r="J1" s="101" t="s">
        <v>42</v>
      </c>
      <c r="K1" s="101" t="s">
        <v>44</v>
      </c>
      <c r="L1" s="101" t="s">
        <v>46</v>
      </c>
      <c r="M1" s="101" t="s">
        <v>48</v>
      </c>
      <c r="N1" s="101" t="s">
        <v>50</v>
      </c>
      <c r="O1" s="101" t="s">
        <v>51</v>
      </c>
      <c r="P1" s="101" t="s">
        <v>52</v>
      </c>
      <c r="Q1" s="101" t="s">
        <v>53</v>
      </c>
      <c r="R1" s="101" t="s">
        <v>54</v>
      </c>
      <c r="S1" s="101" t="s">
        <v>55</v>
      </c>
      <c r="T1" s="101" t="s">
        <v>56</v>
      </c>
      <c r="U1" s="101" t="s">
        <v>57</v>
      </c>
      <c r="V1" s="101" t="s">
        <v>64</v>
      </c>
      <c r="W1" s="101" t="s">
        <v>67</v>
      </c>
      <c r="X1" s="101" t="s">
        <v>69</v>
      </c>
      <c r="Y1" s="101" t="s">
        <v>71</v>
      </c>
    </row>
    <row r="2" ht="42.5" customHeight="true">
      <c r="A2" t="s" s="104">
        <v>35</v>
      </c>
      <c r="H2" t="s" s="105">
        <v>38</v>
      </c>
      <c r="I2" t="s" s="108">
        <v>63</v>
      </c>
      <c r="V2" t="s" s="110">
        <v>66</v>
      </c>
      <c r="W2" t="s" s="112">
        <v>73</v>
      </c>
    </row>
    <row r="3" ht="42.5" customHeight="true">
      <c r="A3" t="s" s="103">
        <v>23</v>
      </c>
      <c r="B3" t="s" s="103">
        <v>25</v>
      </c>
      <c r="C3" t="s" s="103">
        <v>27</v>
      </c>
      <c r="D3" t="s" s="103">
        <v>29</v>
      </c>
      <c r="E3" t="s" s="103">
        <v>30</v>
      </c>
      <c r="F3" t="s" s="103">
        <v>32</v>
      </c>
      <c r="G3" t="s" s="103">
        <v>34</v>
      </c>
      <c r="H3" t="s" s="105">
        <v>37</v>
      </c>
      <c r="I3" t="s" s="106">
        <v>41</v>
      </c>
      <c r="J3" t="s" s="106">
        <v>43</v>
      </c>
      <c r="K3" t="s" s="106">
        <v>45</v>
      </c>
      <c r="L3" t="s" s="106">
        <v>62</v>
      </c>
      <c r="M3" s="0"/>
      <c r="N3" t="s" s="106">
        <v>61</v>
      </c>
      <c r="O3" s="0"/>
      <c r="P3" t="s" s="106">
        <v>60</v>
      </c>
      <c r="Q3" s="0"/>
      <c r="R3" t="s" s="106">
        <v>59</v>
      </c>
      <c r="S3" s="0"/>
      <c r="T3" t="s" s="106">
        <v>58</v>
      </c>
      <c r="U3" s="0"/>
      <c r="V3" t="s" s="109">
        <v>65</v>
      </c>
      <c r="W3" t="s" s="111">
        <v>68</v>
      </c>
      <c r="X3" t="s" s="111">
        <v>70</v>
      </c>
      <c r="Y3" t="s" s="111">
        <v>72</v>
      </c>
    </row>
    <row r="4" ht="38.0" customHeight="true">
      <c r="A4" t="s" s="103">
        <v>23</v>
      </c>
      <c r="B4" t="s" s="103">
        <v>25</v>
      </c>
      <c r="C4" t="s" s="103">
        <v>27</v>
      </c>
      <c r="D4" t="s" s="103">
        <v>29</v>
      </c>
      <c r="E4" t="s" s="103">
        <v>30</v>
      </c>
      <c r="F4" t="s" s="103">
        <v>32</v>
      </c>
      <c r="G4" t="s" s="103">
        <v>34</v>
      </c>
      <c r="H4" t="s" s="105">
        <v>37</v>
      </c>
      <c r="I4" t="s" s="106">
        <v>41</v>
      </c>
      <c r="J4" t="s" s="106">
        <v>43</v>
      </c>
      <c r="K4" t="s" s="106">
        <v>45</v>
      </c>
      <c r="L4" t="s" s="107">
        <v>47</v>
      </c>
      <c r="M4" t="s" s="107">
        <v>49</v>
      </c>
      <c r="N4" t="s" s="107">
        <v>47</v>
      </c>
      <c r="O4" t="s" s="107">
        <v>49</v>
      </c>
      <c r="P4" t="s" s="107">
        <v>47</v>
      </c>
      <c r="Q4" t="s" s="107">
        <v>49</v>
      </c>
      <c r="R4" t="s" s="107">
        <v>47</v>
      </c>
      <c r="S4" t="s" s="107">
        <v>49</v>
      </c>
      <c r="T4" t="s" s="107">
        <v>47</v>
      </c>
      <c r="U4" t="s" s="107">
        <v>49</v>
      </c>
      <c r="V4" t="s" s="109">
        <v>65</v>
      </c>
      <c r="W4" t="s" s="111">
        <v>68</v>
      </c>
      <c r="X4" t="s" s="111">
        <v>70</v>
      </c>
      <c r="Y4" t="s" s="111">
        <v>72</v>
      </c>
    </row>
    <row r="5" ht="15.0" customHeight="true">
      <c r="A5" s="102" t="s">
        <v>22</v>
      </c>
      <c r="B5" s="102" t="s">
        <v>22</v>
      </c>
      <c r="C5" s="102" t="s">
        <v>22</v>
      </c>
      <c r="D5" s="102" t="s">
        <v>22</v>
      </c>
      <c r="E5" s="102" t="s">
        <v>22</v>
      </c>
      <c r="F5" s="102" t="s">
        <v>22</v>
      </c>
      <c r="G5" s="102" t="s">
        <v>22</v>
      </c>
      <c r="H5" s="102" t="s">
        <v>22</v>
      </c>
      <c r="I5" s="102" t="s">
        <v>40</v>
      </c>
      <c r="J5" s="102" t="s">
        <v>40</v>
      </c>
      <c r="K5" s="102" t="s">
        <v>22</v>
      </c>
      <c r="L5" s="102" t="s">
        <v>22</v>
      </c>
      <c r="M5" s="102" t="s">
        <v>22</v>
      </c>
      <c r="N5" s="102" t="s">
        <v>22</v>
      </c>
      <c r="O5" s="102" t="s">
        <v>22</v>
      </c>
      <c r="P5" s="102" t="s">
        <v>22</v>
      </c>
      <c r="Q5" s="102" t="s">
        <v>22</v>
      </c>
      <c r="R5" s="102" t="s">
        <v>22</v>
      </c>
      <c r="S5" s="102" t="s">
        <v>22</v>
      </c>
      <c r="T5" s="102" t="s">
        <v>22</v>
      </c>
      <c r="U5" s="102" t="s">
        <v>22</v>
      </c>
      <c r="V5" s="102" t="s">
        <v>22</v>
      </c>
      <c r="W5" s="102" t="s">
        <v>22</v>
      </c>
      <c r="X5" s="102" t="s">
        <v>22</v>
      </c>
      <c r="Y5" s="102" t="s">
        <v>22</v>
      </c>
    </row>
    <row r="6" ht="50.0" customHeight="true">
      <c r="A6" s="113" t="s">
        <v>74</v>
      </c>
      <c r="B6" s="113" t="s">
        <v>75</v>
      </c>
      <c r="C6" s="113" t="s">
        <v>76</v>
      </c>
      <c r="D6" s="113"/>
      <c r="E6" s="114" t="s">
        <v>77</v>
      </c>
      <c r="F6" s="113" t="s">
        <v>78</v>
      </c>
      <c r="G6" s="113" t="s">
        <v>78</v>
      </c>
      <c r="H6" s="113" t="s">
        <v>79</v>
      </c>
      <c r="I6" s="115" t="n">
        <v>105.0</v>
      </c>
      <c r="J6" s="115" t="s">
        <v>80</v>
      </c>
      <c r="K6" s="115" t="s">
        <v>81</v>
      </c>
      <c r="L6" s="115" t="n">
        <v>103.9</v>
      </c>
      <c r="M6" s="115" t="n">
        <v>3.0</v>
      </c>
      <c r="N6" s="115"/>
      <c r="O6" s="115"/>
      <c r="P6" s="115"/>
      <c r="Q6" s="115"/>
      <c r="R6" s="115"/>
      <c r="S6" s="115"/>
      <c r="T6" s="115"/>
      <c r="U6" s="115"/>
      <c r="V6" s="115" t="s">
        <v>82</v>
      </c>
      <c r="W6" s="115" t="s">
        <v>83</v>
      </c>
      <c r="X6" s="113">
        <f>IF(INDIRECT("W6")="Clássico","12%",IF(INDIRECT("W6")="Premium","17%","-"))</f>
      </c>
      <c r="Y6" s="113" t="s">
        <v>84</v>
      </c>
    </row>
    <row r="7" ht="50.0" customHeight="true">
      <c r="A7" s="113" t="s">
        <v>85</v>
      </c>
      <c r="B7" s="113" t="s">
        <v>86</v>
      </c>
      <c r="C7" s="113" t="s">
        <v>87</v>
      </c>
      <c r="D7" s="113"/>
      <c r="E7" s="114" t="s">
        <v>88</v>
      </c>
      <c r="F7" s="113" t="s">
        <v>89</v>
      </c>
      <c r="G7" s="113" t="s">
        <v>89</v>
      </c>
      <c r="H7" s="113" t="s">
        <v>90</v>
      </c>
      <c r="I7" s="115" t="n">
        <v>91.14</v>
      </c>
      <c r="J7" s="115" t="s">
        <v>80</v>
      </c>
      <c r="K7" s="115" t="s">
        <v>81</v>
      </c>
      <c r="L7" s="115" t="n">
        <v>129.4</v>
      </c>
      <c r="M7" s="115" t="n">
        <v>3.0</v>
      </c>
      <c r="N7" s="115"/>
      <c r="O7" s="115"/>
      <c r="P7" s="115"/>
      <c r="Q7" s="115"/>
      <c r="R7" s="115"/>
      <c r="S7" s="115"/>
      <c r="T7" s="115"/>
      <c r="U7" s="115"/>
      <c r="V7" s="115" t="s">
        <v>91</v>
      </c>
      <c r="W7" s="115" t="s">
        <v>92</v>
      </c>
      <c r="X7" s="113">
        <f>IF(INDIRECT("W7")="Clássico","12%",IF(INDIRECT("W7")="Premium","17%","-"))</f>
      </c>
      <c r="Y7" s="113" t="s">
        <v>93</v>
      </c>
    </row>
    <row r="8" ht="50.0" customHeight="true">
      <c r="A8" s="113" t="s">
        <v>94</v>
      </c>
      <c r="B8" s="113" t="s">
        <v>95</v>
      </c>
      <c r="C8" s="113" t="s">
        <v>96</v>
      </c>
      <c r="D8" s="113"/>
      <c r="E8" s="114" t="s">
        <v>97</v>
      </c>
      <c r="F8" s="113" t="s">
        <v>98</v>
      </c>
      <c r="G8" s="113" t="s">
        <v>98</v>
      </c>
      <c r="H8" s="113" t="s">
        <v>99</v>
      </c>
      <c r="I8" s="115" t="n">
        <v>77.09</v>
      </c>
      <c r="J8" s="115" t="s">
        <v>80</v>
      </c>
      <c r="K8" s="115" t="s">
        <v>81</v>
      </c>
      <c r="L8" s="115" t="n">
        <v>86.01</v>
      </c>
      <c r="M8" s="115" t="n">
        <v>3.0</v>
      </c>
      <c r="N8" s="115"/>
      <c r="O8" s="115"/>
      <c r="P8" s="115"/>
      <c r="Q8" s="115"/>
      <c r="R8" s="115"/>
      <c r="S8" s="115"/>
      <c r="T8" s="115"/>
      <c r="U8" s="115"/>
      <c r="V8" s="115" t="s">
        <v>91</v>
      </c>
      <c r="W8" s="115" t="s">
        <v>92</v>
      </c>
      <c r="X8" s="113">
        <f>IF(INDIRECT("W8")="Clássico","12%",IF(INDIRECT("W8")="Premium","17%","-"))</f>
      </c>
      <c r="Y8" s="113" t="s">
        <v>100</v>
      </c>
    </row>
    <row r="9" ht="50.0" customHeight="true">
      <c r="A9" s="113" t="s">
        <v>22</v>
      </c>
      <c r="B9" s="113" t="s">
        <v>101</v>
      </c>
      <c r="C9" s="113"/>
      <c r="D9" s="113"/>
      <c r="E9" s="113" t="s">
        <v>22</v>
      </c>
      <c r="F9" s="113" t="s">
        <v>102</v>
      </c>
      <c r="G9" s="113" t="s">
        <v>103</v>
      </c>
      <c r="H9" s="113" t="s">
        <v>90</v>
      </c>
      <c r="I9" s="115" t="n">
        <v>127.72</v>
      </c>
      <c r="J9" s="115" t="s">
        <v>80</v>
      </c>
      <c r="K9" s="113" t="s">
        <v>81</v>
      </c>
      <c r="L9" s="115" t="n">
        <v>105.13</v>
      </c>
      <c r="M9" s="115" t="n">
        <v>3.0</v>
      </c>
      <c r="N9" s="115"/>
      <c r="O9" s="115"/>
      <c r="P9" s="115"/>
      <c r="Q9" s="115"/>
      <c r="R9" s="115"/>
      <c r="S9" s="115"/>
      <c r="T9" s="115"/>
      <c r="U9" s="115"/>
      <c r="V9" s="115" t="s">
        <v>82</v>
      </c>
      <c r="W9" s="115" t="s">
        <v>92</v>
      </c>
      <c r="X9" s="113">
        <f>IF(INDIRECT("W9")="Clássico","12.5%",IF(INDIRECT("W9")="Premium","17.5%","-"))</f>
      </c>
      <c r="Y9" s="113" t="s">
        <v>104</v>
      </c>
    </row>
    <row r="10" ht="50.0" customHeight="true">
      <c r="A10" s="113" t="s">
        <v>22</v>
      </c>
      <c r="B10" s="113" t="s">
        <v>101</v>
      </c>
      <c r="C10" s="113" t="s">
        <v>105</v>
      </c>
      <c r="D10" s="113" t="s">
        <v>105</v>
      </c>
      <c r="E10" s="114" t="s">
        <v>106</v>
      </c>
      <c r="F10" s="116">
        <f>"     "&amp;F9</f>
      </c>
      <c r="G10" s="113" t="s">
        <v>107</v>
      </c>
      <c r="H10" s="113" t="s">
        <v>90</v>
      </c>
      <c r="I10" s="113">
        <f>I9</f>
      </c>
      <c r="J10" s="113">
        <f>J9&amp;"     "</f>
      </c>
      <c r="K10" s="113" t="s">
        <v>81</v>
      </c>
      <c r="L10" s="113">
        <f>L9</f>
      </c>
      <c r="M10" s="113">
        <f>M9</f>
      </c>
      <c r="N10" s="113">
        <f>N9</f>
      </c>
      <c r="O10" s="113">
        <f>O9</f>
      </c>
      <c r="P10" s="113">
        <f>P9</f>
      </c>
      <c r="Q10" s="113">
        <f>Q9</f>
      </c>
      <c r="R10" s="113">
        <f>R9</f>
      </c>
      <c r="S10" s="113">
        <f>S9</f>
      </c>
      <c r="T10" s="113">
        <f>T9</f>
      </c>
      <c r="U10" s="113">
        <f>U9</f>
      </c>
      <c r="V10" s="113">
        <f>V9&amp;"     "</f>
      </c>
      <c r="W10" s="113">
        <f>W9&amp;"     "</f>
      </c>
      <c r="X10" s="113">
        <f>X9</f>
      </c>
      <c r="Y10" s="113" t="s">
        <v>104</v>
      </c>
    </row>
    <row r="11" ht="50.0" customHeight="true">
      <c r="A11" s="113" t="s">
        <v>22</v>
      </c>
      <c r="B11" s="113" t="s">
        <v>101</v>
      </c>
      <c r="C11" s="113" t="s">
        <v>108</v>
      </c>
      <c r="D11" s="113" t="s">
        <v>108</v>
      </c>
      <c r="E11" s="114" t="s">
        <v>109</v>
      </c>
      <c r="F11" s="116">
        <f>"     "&amp;F9</f>
      </c>
      <c r="G11" s="113" t="s">
        <v>110</v>
      </c>
      <c r="H11" s="113" t="s">
        <v>103</v>
      </c>
      <c r="I11" s="113">
        <f>I9</f>
      </c>
      <c r="J11" s="113">
        <f>J9&amp;"     "</f>
      </c>
      <c r="K11" s="113" t="s">
        <v>81</v>
      </c>
      <c r="L11" s="113">
        <f>L9</f>
      </c>
      <c r="M11" s="113">
        <f>M9</f>
      </c>
      <c r="N11" s="113">
        <f>N9</f>
      </c>
      <c r="O11" s="113">
        <f>O9</f>
      </c>
      <c r="P11" s="113">
        <f>P9</f>
      </c>
      <c r="Q11" s="113">
        <f>Q9</f>
      </c>
      <c r="R11" s="113">
        <f>R9</f>
      </c>
      <c r="S11" s="113">
        <f>S9</f>
      </c>
      <c r="T11" s="113">
        <f>T9</f>
      </c>
      <c r="U11" s="113">
        <f>U9</f>
      </c>
      <c r="V11" s="113">
        <f>V9&amp;"     "</f>
      </c>
      <c r="W11" s="113">
        <f>W9&amp;"     "</f>
      </c>
      <c r="X11" s="113">
        <f>X9</f>
      </c>
      <c r="Y11" s="113" t="s">
        <v>104</v>
      </c>
    </row>
    <row r="12" ht="50.0" customHeight="true">
      <c r="A12" s="113" t="s">
        <v>111</v>
      </c>
      <c r="B12" s="113" t="s">
        <v>112</v>
      </c>
      <c r="C12" s="113" t="s">
        <v>113</v>
      </c>
      <c r="D12" s="113"/>
      <c r="E12" s="114" t="s">
        <v>77</v>
      </c>
      <c r="F12" s="113" t="s">
        <v>114</v>
      </c>
      <c r="G12" s="113" t="s">
        <v>114</v>
      </c>
      <c r="H12" s="113" t="s">
        <v>115</v>
      </c>
      <c r="I12" s="115" t="n">
        <v>128.99</v>
      </c>
      <c r="J12" s="115" t="s">
        <v>80</v>
      </c>
      <c r="K12" s="115" t="s">
        <v>81</v>
      </c>
      <c r="L12" s="115" t="n">
        <v>103.9</v>
      </c>
      <c r="M12" s="115" t="n">
        <v>3.0</v>
      </c>
      <c r="N12" s="115"/>
      <c r="O12" s="115"/>
      <c r="P12" s="115"/>
      <c r="Q12" s="115"/>
      <c r="R12" s="115"/>
      <c r="S12" s="115"/>
      <c r="T12" s="115"/>
      <c r="U12" s="115"/>
      <c r="V12" s="115" t="s">
        <v>82</v>
      </c>
      <c r="W12" s="115" t="s">
        <v>92</v>
      </c>
      <c r="X12" s="113">
        <f>IF(INDIRECT("W12")="Clássico","12%",IF(INDIRECT("W12")="Premium","17%","-"))</f>
      </c>
      <c r="Y12" s="113" t="s">
        <v>84</v>
      </c>
    </row>
    <row r="13" ht="50.0" customHeight="true">
      <c r="A13" s="113" t="s">
        <v>116</v>
      </c>
      <c r="B13" s="113" t="s">
        <v>117</v>
      </c>
      <c r="C13" s="113" t="s">
        <v>118</v>
      </c>
      <c r="D13" s="113"/>
      <c r="E13" s="114" t="s">
        <v>119</v>
      </c>
      <c r="F13" s="113" t="s">
        <v>120</v>
      </c>
      <c r="G13" s="113" t="s">
        <v>120</v>
      </c>
      <c r="H13" s="113" t="s">
        <v>103</v>
      </c>
      <c r="I13" s="115" t="n">
        <v>159.37</v>
      </c>
      <c r="J13" s="115" t="s">
        <v>80</v>
      </c>
      <c r="K13" s="115" t="s">
        <v>81</v>
      </c>
      <c r="L13" s="115" t="n">
        <v>154.37</v>
      </c>
      <c r="M13" s="115" t="n">
        <v>3.0</v>
      </c>
      <c r="N13" s="115"/>
      <c r="O13" s="115"/>
      <c r="P13" s="115"/>
      <c r="Q13" s="115"/>
      <c r="R13" s="115"/>
      <c r="S13" s="115"/>
      <c r="T13" s="115"/>
      <c r="U13" s="115"/>
      <c r="V13" s="115" t="s">
        <v>82</v>
      </c>
      <c r="W13" s="115" t="s">
        <v>92</v>
      </c>
      <c r="X13" s="113">
        <f>IF(INDIRECT("W13")="Clássico","12%",IF(INDIRECT("W13")="Premium","17%","-"))</f>
      </c>
      <c r="Y13" s="113" t="s">
        <v>121</v>
      </c>
    </row>
    <row r="14" ht="50.0" customHeight="true">
      <c r="A14" s="113" t="s">
        <v>122</v>
      </c>
      <c r="B14" s="113" t="s">
        <v>123</v>
      </c>
      <c r="C14" s="113" t="s">
        <v>124</v>
      </c>
      <c r="D14" s="113"/>
      <c r="E14" s="114" t="s">
        <v>125</v>
      </c>
      <c r="F14" s="113" t="s">
        <v>126</v>
      </c>
      <c r="G14" s="113" t="s">
        <v>127</v>
      </c>
      <c r="H14" s="113" t="s">
        <v>99</v>
      </c>
      <c r="I14" s="115" t="n">
        <v>99.87</v>
      </c>
      <c r="J14" s="115" t="s">
        <v>80</v>
      </c>
      <c r="K14" s="115" t="s">
        <v>81</v>
      </c>
      <c r="L14" s="115" t="n">
        <v>92.34</v>
      </c>
      <c r="M14" s="115" t="n">
        <v>3.0</v>
      </c>
      <c r="N14" s="115"/>
      <c r="O14" s="115"/>
      <c r="P14" s="115"/>
      <c r="Q14" s="115"/>
      <c r="R14" s="115"/>
      <c r="S14" s="115"/>
      <c r="T14" s="115"/>
      <c r="U14" s="115"/>
      <c r="V14" s="115" t="s">
        <v>91</v>
      </c>
      <c r="W14" s="115" t="s">
        <v>92</v>
      </c>
      <c r="X14" s="113">
        <f>IF(INDIRECT("W14")="Clássico","12%",IF(INDIRECT("W14")="Premium","17%","-"))</f>
      </c>
      <c r="Y14" s="113" t="s">
        <v>128</v>
      </c>
    </row>
    <row r="15" ht="50.0" customHeight="true">
      <c r="A15" s="113" t="s">
        <v>22</v>
      </c>
      <c r="B15" s="113" t="s">
        <v>129</v>
      </c>
      <c r="C15" s="113"/>
      <c r="D15" s="113"/>
      <c r="E15" s="113" t="s">
        <v>130</v>
      </c>
      <c r="F15" s="113" t="s">
        <v>131</v>
      </c>
      <c r="G15" s="113" t="s">
        <v>103</v>
      </c>
      <c r="H15" s="113" t="s">
        <v>132</v>
      </c>
      <c r="I15" s="115" t="n">
        <v>150.51</v>
      </c>
      <c r="J15" s="115" t="s">
        <v>80</v>
      </c>
      <c r="K15" s="113" t="s">
        <v>81</v>
      </c>
      <c r="L15" s="115" t="n">
        <v>149.31</v>
      </c>
      <c r="M15" s="115" t="n">
        <v>3.0</v>
      </c>
      <c r="N15" s="115"/>
      <c r="O15" s="115"/>
      <c r="P15" s="115"/>
      <c r="Q15" s="115"/>
      <c r="R15" s="115"/>
      <c r="S15" s="115"/>
      <c r="T15" s="115"/>
      <c r="U15" s="115"/>
      <c r="V15" s="115" t="s">
        <v>82</v>
      </c>
      <c r="W15" s="115" t="s">
        <v>83</v>
      </c>
      <c r="X15" s="113">
        <f>IF(INDIRECT("W15")="Clássico","11.5%",IF(INDIRECT("W15")="Premium","16.5%","-"))</f>
      </c>
      <c r="Y15" s="113" t="s">
        <v>133</v>
      </c>
    </row>
    <row r="16" ht="50.0" customHeight="true">
      <c r="A16" s="113" t="s">
        <v>22</v>
      </c>
      <c r="B16" s="113" t="s">
        <v>129</v>
      </c>
      <c r="C16" s="113" t="s">
        <v>134</v>
      </c>
      <c r="D16" s="113" t="s">
        <v>134</v>
      </c>
      <c r="E16" s="114" t="s">
        <v>106</v>
      </c>
      <c r="F16" s="116">
        <f>"     "&amp;F15</f>
      </c>
      <c r="G16" s="113" t="s">
        <v>135</v>
      </c>
      <c r="H16" s="113" t="s">
        <v>132</v>
      </c>
      <c r="I16" s="113">
        <f>I15</f>
      </c>
      <c r="J16" s="113">
        <f>J15&amp;"     "</f>
      </c>
      <c r="K16" s="113" t="s">
        <v>81</v>
      </c>
      <c r="L16" s="113">
        <f>L15</f>
      </c>
      <c r="M16" s="113">
        <f>M15</f>
      </c>
      <c r="N16" s="113">
        <f>N15</f>
      </c>
      <c r="O16" s="113">
        <f>O15</f>
      </c>
      <c r="P16" s="113">
        <f>P15</f>
      </c>
      <c r="Q16" s="113">
        <f>Q15</f>
      </c>
      <c r="R16" s="113">
        <f>R15</f>
      </c>
      <c r="S16" s="113">
        <f>S15</f>
      </c>
      <c r="T16" s="113">
        <f>T15</f>
      </c>
      <c r="U16" s="113">
        <f>U15</f>
      </c>
      <c r="V16" s="113">
        <f>V15&amp;"     "</f>
      </c>
      <c r="W16" s="113">
        <f>W15&amp;"     "</f>
      </c>
      <c r="X16" s="113">
        <f>X15</f>
      </c>
      <c r="Y16" s="113" t="s">
        <v>133</v>
      </c>
    </row>
    <row r="17" ht="50.0" customHeight="true">
      <c r="A17" s="113" t="s">
        <v>22</v>
      </c>
      <c r="B17" s="113" t="s">
        <v>129</v>
      </c>
      <c r="C17" s="113" t="s">
        <v>136</v>
      </c>
      <c r="D17" s="113" t="s">
        <v>136</v>
      </c>
      <c r="E17" s="114" t="s">
        <v>109</v>
      </c>
      <c r="F17" s="116">
        <f>"     "&amp;F15</f>
      </c>
      <c r="G17" s="113" t="s">
        <v>137</v>
      </c>
      <c r="H17" s="113" t="s">
        <v>103</v>
      </c>
      <c r="I17" s="113">
        <f>I15</f>
      </c>
      <c r="J17" s="113">
        <f>J15&amp;"     "</f>
      </c>
      <c r="K17" s="113" t="s">
        <v>81</v>
      </c>
      <c r="L17" s="113">
        <f>L15</f>
      </c>
      <c r="M17" s="113">
        <f>M15</f>
      </c>
      <c r="N17" s="113">
        <f>N15</f>
      </c>
      <c r="O17" s="113">
        <f>O15</f>
      </c>
      <c r="P17" s="113">
        <f>P15</f>
      </c>
      <c r="Q17" s="113">
        <f>Q15</f>
      </c>
      <c r="R17" s="113">
        <f>R15</f>
      </c>
      <c r="S17" s="113">
        <f>S15</f>
      </c>
      <c r="T17" s="113">
        <f>T15</f>
      </c>
      <c r="U17" s="113">
        <f>U15</f>
      </c>
      <c r="V17" s="113">
        <f>V15&amp;"     "</f>
      </c>
      <c r="W17" s="113">
        <f>W15&amp;"     "</f>
      </c>
      <c r="X17" s="113">
        <f>X15</f>
      </c>
      <c r="Y17" s="113" t="s">
        <v>133</v>
      </c>
    </row>
    <row r="18" ht="50.0" customHeight="true">
      <c r="A18" s="113" t="s">
        <v>138</v>
      </c>
      <c r="B18" s="113" t="s">
        <v>139</v>
      </c>
      <c r="C18" s="113" t="s">
        <v>140</v>
      </c>
      <c r="D18" s="113"/>
      <c r="E18" s="114" t="s">
        <v>141</v>
      </c>
      <c r="F18" s="113" t="s">
        <v>142</v>
      </c>
      <c r="G18" s="113" t="s">
        <v>142</v>
      </c>
      <c r="H18" s="113" t="s">
        <v>143</v>
      </c>
      <c r="I18" s="115" t="n">
        <v>80.89</v>
      </c>
      <c r="J18" s="115" t="s">
        <v>80</v>
      </c>
      <c r="K18" s="115" t="s">
        <v>81</v>
      </c>
      <c r="L18" s="115" t="n">
        <v>91.08</v>
      </c>
      <c r="M18" s="115" t="n">
        <v>3.0</v>
      </c>
      <c r="N18" s="115"/>
      <c r="O18" s="115"/>
      <c r="P18" s="115"/>
      <c r="Q18" s="115"/>
      <c r="R18" s="115"/>
      <c r="S18" s="115"/>
      <c r="T18" s="115"/>
      <c r="U18" s="115"/>
      <c r="V18" s="115" t="s">
        <v>91</v>
      </c>
      <c r="W18" s="115" t="s">
        <v>92</v>
      </c>
      <c r="X18" s="113">
        <f>IF(INDIRECT("W18")="Clássico","12%",IF(INDIRECT("W18")="Premium","17%","-"))</f>
      </c>
      <c r="Y18" s="113" t="s">
        <v>144</v>
      </c>
    </row>
    <row r="19" ht="50.0" customHeight="true">
      <c r="A19" s="113" t="s">
        <v>145</v>
      </c>
      <c r="B19" s="113" t="s">
        <v>146</v>
      </c>
      <c r="C19" s="113" t="s">
        <v>147</v>
      </c>
      <c r="D19" s="113"/>
      <c r="E19" s="114" t="s">
        <v>148</v>
      </c>
      <c r="F19" s="113" t="s">
        <v>149</v>
      </c>
      <c r="G19" s="113" t="s">
        <v>149</v>
      </c>
      <c r="H19" s="113" t="s">
        <v>150</v>
      </c>
      <c r="I19" s="115" t="n">
        <v>312.54</v>
      </c>
      <c r="J19" s="115" t="s">
        <v>80</v>
      </c>
      <c r="K19" s="115" t="s">
        <v>81</v>
      </c>
      <c r="L19" s="115" t="n">
        <v>55.63</v>
      </c>
      <c r="M19" s="115" t="n">
        <v>3.0</v>
      </c>
      <c r="N19" s="115"/>
      <c r="O19" s="115"/>
      <c r="P19" s="115"/>
      <c r="Q19" s="115"/>
      <c r="R19" s="115"/>
      <c r="S19" s="115"/>
      <c r="T19" s="115"/>
      <c r="U19" s="115"/>
      <c r="V19" s="115" t="s">
        <v>82</v>
      </c>
      <c r="W19" s="115" t="s">
        <v>83</v>
      </c>
      <c r="X19" s="113">
        <f>IF(INDIRECT("W19")="Clássico","12%",IF(INDIRECT("W19")="Premium","17%","-"))</f>
      </c>
      <c r="Y19" s="113" t="s">
        <v>151</v>
      </c>
    </row>
    <row r="20" ht="50.0" customHeight="true">
      <c r="A20" s="113" t="s">
        <v>152</v>
      </c>
      <c r="B20" s="113" t="s">
        <v>153</v>
      </c>
      <c r="C20" s="113" t="s">
        <v>154</v>
      </c>
      <c r="D20" s="113"/>
      <c r="E20" s="114" t="s">
        <v>155</v>
      </c>
      <c r="F20" s="113" t="s">
        <v>156</v>
      </c>
      <c r="G20" s="113" t="s">
        <v>127</v>
      </c>
      <c r="H20" s="113" t="s">
        <v>157</v>
      </c>
      <c r="I20" s="115" t="n">
        <v>332.79</v>
      </c>
      <c r="J20" s="115" t="s">
        <v>80</v>
      </c>
      <c r="K20" s="115" t="s">
        <v>81</v>
      </c>
      <c r="L20" s="115" t="n">
        <v>212.6</v>
      </c>
      <c r="M20" s="115" t="n">
        <v>3.0</v>
      </c>
      <c r="N20" s="115"/>
      <c r="O20" s="115"/>
      <c r="P20" s="115"/>
      <c r="Q20" s="115"/>
      <c r="R20" s="115"/>
      <c r="S20" s="115"/>
      <c r="T20" s="115"/>
      <c r="U20" s="115"/>
      <c r="V20" s="115" t="s">
        <v>82</v>
      </c>
      <c r="W20" s="115" t="s">
        <v>83</v>
      </c>
      <c r="X20" s="113">
        <f>IF(INDIRECT("W20")="Clássico","12%",IF(INDIRECT("W20")="Premium","17%","-"))</f>
      </c>
      <c r="Y20" s="113" t="s">
        <v>158</v>
      </c>
    </row>
    <row r="21" ht="50.0" customHeight="true">
      <c r="A21" s="113" t="s">
        <v>159</v>
      </c>
      <c r="B21" s="113" t="s">
        <v>160</v>
      </c>
      <c r="C21" s="113" t="s">
        <v>161</v>
      </c>
      <c r="D21" s="113"/>
      <c r="E21" s="114" t="s">
        <v>162</v>
      </c>
      <c r="F21" s="113" t="s">
        <v>163</v>
      </c>
      <c r="G21" s="113" t="s">
        <v>163</v>
      </c>
      <c r="H21" s="113" t="s">
        <v>143</v>
      </c>
      <c r="I21" s="115" t="n">
        <v>898.62</v>
      </c>
      <c r="J21" s="115" t="s">
        <v>80</v>
      </c>
      <c r="K21" s="115" t="s">
        <v>81</v>
      </c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 t="s">
        <v>82</v>
      </c>
      <c r="W21" s="115" t="s">
        <v>83</v>
      </c>
      <c r="X21" s="113">
        <f>IF(INDIRECT("W21")="Clássico","12%",IF(INDIRECT("W21")="Premium","17%","-"))</f>
      </c>
      <c r="Y21" s="113" t="s">
        <v>164</v>
      </c>
    </row>
    <row r="22" ht="50.0" customHeight="true">
      <c r="A22" s="113" t="s">
        <v>165</v>
      </c>
      <c r="B22" s="113" t="s">
        <v>166</v>
      </c>
      <c r="C22" s="113" t="s">
        <v>167</v>
      </c>
      <c r="D22" s="113"/>
      <c r="E22" s="114" t="s">
        <v>97</v>
      </c>
      <c r="F22" s="113" t="s">
        <v>168</v>
      </c>
      <c r="G22" s="113" t="s">
        <v>168</v>
      </c>
      <c r="H22" s="113" t="s">
        <v>132</v>
      </c>
      <c r="I22" s="115" t="n">
        <v>92.28</v>
      </c>
      <c r="J22" s="115" t="s">
        <v>80</v>
      </c>
      <c r="K22" s="115" t="s">
        <v>81</v>
      </c>
      <c r="L22" s="115" t="n">
        <v>91.08</v>
      </c>
      <c r="M22" s="115" t="n">
        <v>3.0</v>
      </c>
      <c r="N22" s="115"/>
      <c r="O22" s="115"/>
      <c r="P22" s="115"/>
      <c r="Q22" s="115"/>
      <c r="R22" s="115"/>
      <c r="S22" s="115"/>
      <c r="T22" s="115"/>
      <c r="U22" s="115"/>
      <c r="V22" s="115" t="s">
        <v>91</v>
      </c>
      <c r="W22" s="115" t="s">
        <v>92</v>
      </c>
      <c r="X22" s="113">
        <f>IF(INDIRECT("W22")="Clássico","12%",IF(INDIRECT("W22")="Premium","17%","-"))</f>
      </c>
      <c r="Y22" s="113" t="s">
        <v>144</v>
      </c>
    </row>
    <row r="23" ht="50.0" customHeight="true">
      <c r="A23" s="113" t="s">
        <v>169</v>
      </c>
      <c r="B23" s="113" t="s">
        <v>170</v>
      </c>
      <c r="C23" s="113" t="s">
        <v>171</v>
      </c>
      <c r="D23" s="113"/>
      <c r="E23" s="114" t="s">
        <v>119</v>
      </c>
      <c r="F23" s="113" t="s">
        <v>172</v>
      </c>
      <c r="G23" s="113" t="s">
        <v>172</v>
      </c>
      <c r="H23" s="113" t="s">
        <v>173</v>
      </c>
      <c r="I23" s="115" t="n">
        <v>117.9</v>
      </c>
      <c r="J23" s="115" t="s">
        <v>80</v>
      </c>
      <c r="K23" s="115" t="s">
        <v>81</v>
      </c>
      <c r="L23" s="115" t="n">
        <v>106.27</v>
      </c>
      <c r="M23" s="115" t="n">
        <v>3.0</v>
      </c>
      <c r="N23" s="115"/>
      <c r="O23" s="115"/>
      <c r="P23" s="115"/>
      <c r="Q23" s="115"/>
      <c r="R23" s="115"/>
      <c r="S23" s="115"/>
      <c r="T23" s="115"/>
      <c r="U23" s="115"/>
      <c r="V23" s="115" t="s">
        <v>82</v>
      </c>
      <c r="W23" s="115" t="s">
        <v>92</v>
      </c>
      <c r="X23" s="113">
        <f>IF(INDIRECT("W23")="Clássico","12%",IF(INDIRECT("W23")="Premium","17%","-"))</f>
      </c>
      <c r="Y23" s="113" t="s">
        <v>121</v>
      </c>
    </row>
    <row r="24" ht="50.0" customHeight="true">
      <c r="A24" s="113" t="s">
        <v>174</v>
      </c>
      <c r="B24" s="113" t="s">
        <v>175</v>
      </c>
      <c r="C24" s="113" t="s">
        <v>176</v>
      </c>
      <c r="D24" s="113"/>
      <c r="E24" s="114" t="s">
        <v>177</v>
      </c>
      <c r="F24" s="113" t="s">
        <v>178</v>
      </c>
      <c r="G24" s="113" t="s">
        <v>178</v>
      </c>
      <c r="H24" s="113" t="s">
        <v>103</v>
      </c>
      <c r="I24" s="115" t="n">
        <v>92.39</v>
      </c>
      <c r="J24" s="115" t="s">
        <v>80</v>
      </c>
      <c r="K24" s="115" t="s">
        <v>81</v>
      </c>
      <c r="L24" s="115" t="n">
        <v>87.39</v>
      </c>
      <c r="M24" s="115" t="n">
        <v>3.0</v>
      </c>
      <c r="N24" s="115"/>
      <c r="O24" s="115"/>
      <c r="P24" s="115"/>
      <c r="Q24" s="115"/>
      <c r="R24" s="115"/>
      <c r="S24" s="115"/>
      <c r="T24" s="115"/>
      <c r="U24" s="115"/>
      <c r="V24" s="115" t="s">
        <v>91</v>
      </c>
      <c r="W24" s="115" t="s">
        <v>92</v>
      </c>
      <c r="X24" s="113">
        <f>IF(INDIRECT("W24")="Clássico","12%",IF(INDIRECT("W24")="Premium","17%","-"))</f>
      </c>
      <c r="Y24" s="113" t="s">
        <v>100</v>
      </c>
    </row>
    <row r="25" ht="50.0" customHeight="true">
      <c r="A25" s="113" t="s">
        <v>22</v>
      </c>
      <c r="B25" s="113" t="s">
        <v>179</v>
      </c>
      <c r="C25" s="113"/>
      <c r="D25" s="113"/>
      <c r="E25" s="113" t="s">
        <v>22</v>
      </c>
      <c r="F25" s="113" t="s">
        <v>180</v>
      </c>
      <c r="G25" s="113" t="s">
        <v>103</v>
      </c>
      <c r="H25" s="113" t="s">
        <v>148</v>
      </c>
      <c r="I25" s="115" t="n">
        <v>239.12</v>
      </c>
      <c r="J25" s="115" t="s">
        <v>80</v>
      </c>
      <c r="K25" s="113" t="s">
        <v>81</v>
      </c>
      <c r="L25" s="115" t="n">
        <v>245.51</v>
      </c>
      <c r="M25" s="115" t="n">
        <v>3.0</v>
      </c>
      <c r="N25" s="115"/>
      <c r="O25" s="115"/>
      <c r="P25" s="115"/>
      <c r="Q25" s="115"/>
      <c r="R25" s="115"/>
      <c r="S25" s="115"/>
      <c r="T25" s="115"/>
      <c r="U25" s="115"/>
      <c r="V25" s="115" t="s">
        <v>82</v>
      </c>
      <c r="W25" s="115" t="s">
        <v>92</v>
      </c>
      <c r="X25" s="113">
        <f>IF(INDIRECT("W25")="Clássico","12%",IF(INDIRECT("W25")="Premium","17%","-"))</f>
      </c>
      <c r="Y25" s="113" t="s">
        <v>181</v>
      </c>
    </row>
    <row r="26" ht="50.0" customHeight="true">
      <c r="A26" s="113" t="s">
        <v>22</v>
      </c>
      <c r="B26" s="113" t="s">
        <v>179</v>
      </c>
      <c r="C26" s="113" t="s">
        <v>182</v>
      </c>
      <c r="D26" s="113" t="s">
        <v>182</v>
      </c>
      <c r="E26" s="114" t="s">
        <v>183</v>
      </c>
      <c r="F26" s="116">
        <f>"     "&amp;F25</f>
      </c>
      <c r="G26" s="113" t="s">
        <v>184</v>
      </c>
      <c r="H26" s="113" t="s">
        <v>143</v>
      </c>
      <c r="I26" s="113">
        <f>I25</f>
      </c>
      <c r="J26" s="113">
        <f>J25&amp;"     "</f>
      </c>
      <c r="K26" s="113" t="s">
        <v>81</v>
      </c>
      <c r="L26" s="113">
        <f>L25</f>
      </c>
      <c r="M26" s="113">
        <f>M25</f>
      </c>
      <c r="N26" s="113">
        <f>N25</f>
      </c>
      <c r="O26" s="113">
        <f>O25</f>
      </c>
      <c r="P26" s="113">
        <f>P25</f>
      </c>
      <c r="Q26" s="113">
        <f>Q25</f>
      </c>
      <c r="R26" s="113">
        <f>R25</f>
      </c>
      <c r="S26" s="113">
        <f>S25</f>
      </c>
      <c r="T26" s="113">
        <f>T25</f>
      </c>
      <c r="U26" s="113">
        <f>U25</f>
      </c>
      <c r="V26" s="113">
        <f>V25&amp;"     "</f>
      </c>
      <c r="W26" s="113">
        <f>W25&amp;"     "</f>
      </c>
      <c r="X26" s="113">
        <f>X25</f>
      </c>
      <c r="Y26" s="113" t="s">
        <v>181</v>
      </c>
    </row>
    <row r="27" ht="50.0" customHeight="true">
      <c r="A27" s="113" t="s">
        <v>22</v>
      </c>
      <c r="B27" s="113" t="s">
        <v>179</v>
      </c>
      <c r="C27" s="113" t="s">
        <v>185</v>
      </c>
      <c r="D27" s="113" t="s">
        <v>185</v>
      </c>
      <c r="E27" s="114" t="s">
        <v>186</v>
      </c>
      <c r="F27" s="116">
        <f>"     "&amp;F25</f>
      </c>
      <c r="G27" s="113" t="s">
        <v>187</v>
      </c>
      <c r="H27" s="113" t="s">
        <v>90</v>
      </c>
      <c r="I27" s="113">
        <f>I25</f>
      </c>
      <c r="J27" s="113">
        <f>J25&amp;"     "</f>
      </c>
      <c r="K27" s="113" t="s">
        <v>81</v>
      </c>
      <c r="L27" s="113">
        <f>L25</f>
      </c>
      <c r="M27" s="113">
        <f>M25</f>
      </c>
      <c r="N27" s="113">
        <f>N25</f>
      </c>
      <c r="O27" s="113">
        <f>O25</f>
      </c>
      <c r="P27" s="113">
        <f>P25</f>
      </c>
      <c r="Q27" s="113">
        <f>Q25</f>
      </c>
      <c r="R27" s="113">
        <f>R25</f>
      </c>
      <c r="S27" s="113">
        <f>S25</f>
      </c>
      <c r="T27" s="113">
        <f>T25</f>
      </c>
      <c r="U27" s="113">
        <f>U25</f>
      </c>
      <c r="V27" s="113">
        <f>V25&amp;"     "</f>
      </c>
      <c r="W27" s="113">
        <f>W25&amp;"     "</f>
      </c>
      <c r="X27" s="113">
        <f>X25</f>
      </c>
      <c r="Y27" s="113" t="s">
        <v>181</v>
      </c>
    </row>
    <row r="28" ht="50.0" customHeight="true">
      <c r="A28" s="113" t="s">
        <v>22</v>
      </c>
      <c r="B28" s="113" t="s">
        <v>179</v>
      </c>
      <c r="C28" s="113" t="s">
        <v>188</v>
      </c>
      <c r="D28" s="113" t="s">
        <v>188</v>
      </c>
      <c r="E28" s="114" t="s">
        <v>189</v>
      </c>
      <c r="F28" s="116">
        <f>"     "&amp;F25</f>
      </c>
      <c r="G28" s="113" t="s">
        <v>190</v>
      </c>
      <c r="H28" s="113" t="s">
        <v>99</v>
      </c>
      <c r="I28" s="113">
        <f>I25</f>
      </c>
      <c r="J28" s="113">
        <f>J25&amp;"     "</f>
      </c>
      <c r="K28" s="113" t="s">
        <v>81</v>
      </c>
      <c r="L28" s="113">
        <f>L25</f>
      </c>
      <c r="M28" s="113">
        <f>M25</f>
      </c>
      <c r="N28" s="113">
        <f>N25</f>
      </c>
      <c r="O28" s="113">
        <f>O25</f>
      </c>
      <c r="P28" s="113">
        <f>P25</f>
      </c>
      <c r="Q28" s="113">
        <f>Q25</f>
      </c>
      <c r="R28" s="113">
        <f>R25</f>
      </c>
      <c r="S28" s="113">
        <f>S25</f>
      </c>
      <c r="T28" s="113">
        <f>T25</f>
      </c>
      <c r="U28" s="113">
        <f>U25</f>
      </c>
      <c r="V28" s="113">
        <f>V25&amp;"     "</f>
      </c>
      <c r="W28" s="113">
        <f>W25&amp;"     "</f>
      </c>
      <c r="X28" s="113">
        <f>X25</f>
      </c>
      <c r="Y28" s="113" t="s">
        <v>181</v>
      </c>
    </row>
    <row r="29" ht="50.0" customHeight="true">
      <c r="A29" s="113" t="s">
        <v>191</v>
      </c>
      <c r="B29" s="113" t="s">
        <v>192</v>
      </c>
      <c r="C29" s="113" t="s">
        <v>193</v>
      </c>
      <c r="D29" s="113"/>
      <c r="E29" s="114" t="s">
        <v>162</v>
      </c>
      <c r="F29" s="113" t="s">
        <v>194</v>
      </c>
      <c r="G29" s="113" t="s">
        <v>194</v>
      </c>
      <c r="H29" s="113" t="s">
        <v>173</v>
      </c>
      <c r="I29" s="115" t="n">
        <v>880.9</v>
      </c>
      <c r="J29" s="115" t="s">
        <v>80</v>
      </c>
      <c r="K29" s="115" t="s">
        <v>81</v>
      </c>
      <c r="L29" s="115" t="n">
        <v>782.34</v>
      </c>
      <c r="M29" s="115" t="n">
        <v>3.0</v>
      </c>
      <c r="N29" s="115"/>
      <c r="O29" s="115"/>
      <c r="P29" s="115"/>
      <c r="Q29" s="115"/>
      <c r="R29" s="115"/>
      <c r="S29" s="115"/>
      <c r="T29" s="115"/>
      <c r="U29" s="115"/>
      <c r="V29" s="115" t="s">
        <v>82</v>
      </c>
      <c r="W29" s="115" t="s">
        <v>83</v>
      </c>
      <c r="X29" s="113">
        <f>IF(INDIRECT("W29")="Clássico","12%",IF(INDIRECT("W29")="Premium","17%","-"))</f>
      </c>
      <c r="Y29" s="113" t="s">
        <v>164</v>
      </c>
    </row>
    <row r="30" ht="50.0" customHeight="true">
      <c r="A30" s="113" t="s">
        <v>195</v>
      </c>
      <c r="B30" s="113" t="s">
        <v>196</v>
      </c>
      <c r="C30" s="113" t="s">
        <v>197</v>
      </c>
      <c r="D30" s="113"/>
      <c r="E30" s="114" t="s">
        <v>198</v>
      </c>
      <c r="F30" s="113" t="s">
        <v>199</v>
      </c>
      <c r="G30" s="113" t="s">
        <v>199</v>
      </c>
      <c r="H30" s="113" t="s">
        <v>115</v>
      </c>
      <c r="I30" s="115" t="n">
        <v>189.75</v>
      </c>
      <c r="J30" s="115" t="s">
        <v>80</v>
      </c>
      <c r="K30" s="115" t="s">
        <v>81</v>
      </c>
      <c r="L30" s="115" t="n">
        <v>75.89</v>
      </c>
      <c r="M30" s="115" t="n">
        <v>3.0</v>
      </c>
      <c r="N30" s="115"/>
      <c r="O30" s="115"/>
      <c r="P30" s="115"/>
      <c r="Q30" s="115"/>
      <c r="R30" s="115"/>
      <c r="S30" s="115"/>
      <c r="T30" s="115"/>
      <c r="U30" s="115"/>
      <c r="V30" s="115" t="s">
        <v>82</v>
      </c>
      <c r="W30" s="115" t="s">
        <v>92</v>
      </c>
      <c r="X30" s="113">
        <f>IF(INDIRECT("W30")="Clássico","12%",IF(INDIRECT("W30")="Premium","17%","-"))</f>
      </c>
      <c r="Y30" s="113" t="s">
        <v>200</v>
      </c>
    </row>
    <row r="31" ht="50.0" customHeight="true">
      <c r="A31" s="113" t="s">
        <v>201</v>
      </c>
      <c r="B31" s="113" t="s">
        <v>202</v>
      </c>
      <c r="C31" s="113" t="s">
        <v>203</v>
      </c>
      <c r="D31" s="113"/>
      <c r="E31" s="114" t="s">
        <v>77</v>
      </c>
      <c r="F31" s="113" t="s">
        <v>78</v>
      </c>
      <c r="G31" s="113" t="s">
        <v>78</v>
      </c>
      <c r="H31" s="113" t="s">
        <v>103</v>
      </c>
      <c r="I31" s="115" t="n">
        <v>112.9</v>
      </c>
      <c r="J31" s="115" t="s">
        <v>80</v>
      </c>
      <c r="K31" s="115" t="s">
        <v>81</v>
      </c>
      <c r="L31" s="115" t="n">
        <v>103.9</v>
      </c>
      <c r="M31" s="115" t="n">
        <v>3.0</v>
      </c>
      <c r="N31" s="115"/>
      <c r="O31" s="115"/>
      <c r="P31" s="115"/>
      <c r="Q31" s="115"/>
      <c r="R31" s="115"/>
      <c r="S31" s="115"/>
      <c r="T31" s="115"/>
      <c r="U31" s="115"/>
      <c r="V31" s="115" t="s">
        <v>82</v>
      </c>
      <c r="W31" s="115" t="s">
        <v>92</v>
      </c>
      <c r="X31" s="113">
        <f>IF(INDIRECT("W31")="Clássico","12%",IF(INDIRECT("W31")="Premium","17%","-"))</f>
      </c>
      <c r="Y31" s="113" t="s">
        <v>84</v>
      </c>
    </row>
    <row r="32" ht="50.0" customHeight="true">
      <c r="A32" s="113" t="s">
        <v>204</v>
      </c>
      <c r="B32" s="113" t="s">
        <v>205</v>
      </c>
      <c r="C32" s="113" t="s">
        <v>206</v>
      </c>
      <c r="D32" s="113"/>
      <c r="E32" s="114" t="s">
        <v>88</v>
      </c>
      <c r="F32" s="113" t="s">
        <v>207</v>
      </c>
      <c r="G32" s="113" t="s">
        <v>207</v>
      </c>
      <c r="H32" s="113" t="s">
        <v>103</v>
      </c>
      <c r="I32" s="115" t="n">
        <v>91.39</v>
      </c>
      <c r="J32" s="115" t="s">
        <v>80</v>
      </c>
      <c r="K32" s="115" t="s">
        <v>81</v>
      </c>
      <c r="L32" s="115" t="n">
        <v>131.58</v>
      </c>
      <c r="M32" s="115" t="n">
        <v>3.0</v>
      </c>
      <c r="N32" s="115"/>
      <c r="O32" s="115"/>
      <c r="P32" s="115"/>
      <c r="Q32" s="115"/>
      <c r="R32" s="115"/>
      <c r="S32" s="115"/>
      <c r="T32" s="115"/>
      <c r="U32" s="115"/>
      <c r="V32" s="115" t="s">
        <v>91</v>
      </c>
      <c r="W32" s="115" t="s">
        <v>92</v>
      </c>
      <c r="X32" s="113">
        <f>IF(INDIRECT("W32")="Clássico","12%",IF(INDIRECT("W32")="Premium","17%","-"))</f>
      </c>
      <c r="Y32" s="113" t="s">
        <v>93</v>
      </c>
    </row>
    <row r="33" ht="50.0" customHeight="true">
      <c r="A33" s="113" t="s">
        <v>208</v>
      </c>
      <c r="B33" s="113" t="s">
        <v>209</v>
      </c>
      <c r="C33" s="113" t="s">
        <v>210</v>
      </c>
      <c r="D33" s="113"/>
      <c r="E33" s="114" t="s">
        <v>125</v>
      </c>
      <c r="F33" s="113" t="s">
        <v>211</v>
      </c>
      <c r="G33" s="113" t="s">
        <v>127</v>
      </c>
      <c r="H33" s="113" t="s">
        <v>103</v>
      </c>
      <c r="I33" s="115" t="n">
        <v>170.88</v>
      </c>
      <c r="J33" s="115" t="s">
        <v>80</v>
      </c>
      <c r="K33" s="115" t="s">
        <v>81</v>
      </c>
      <c r="L33" s="115" t="n">
        <v>165.88</v>
      </c>
      <c r="M33" s="115" t="n">
        <v>3.0</v>
      </c>
      <c r="N33" s="115"/>
      <c r="O33" s="115"/>
      <c r="P33" s="115"/>
      <c r="Q33" s="115"/>
      <c r="R33" s="115"/>
      <c r="S33" s="115"/>
      <c r="T33" s="115"/>
      <c r="U33" s="115"/>
      <c r="V33" s="115" t="s">
        <v>82</v>
      </c>
      <c r="W33" s="115" t="s">
        <v>83</v>
      </c>
      <c r="X33" s="113">
        <f>IF(INDIRECT("W33")="Clássico","12%",IF(INDIRECT("W33")="Premium","17%","-"))</f>
      </c>
      <c r="Y33" s="113" t="s">
        <v>128</v>
      </c>
    </row>
    <row r="34" ht="50.0" customHeight="true">
      <c r="A34" s="113" t="s">
        <v>212</v>
      </c>
      <c r="B34" s="113" t="s">
        <v>213</v>
      </c>
      <c r="C34" s="113" t="s">
        <v>214</v>
      </c>
      <c r="D34" s="113"/>
      <c r="E34" s="114" t="s">
        <v>88</v>
      </c>
      <c r="F34" s="113" t="s">
        <v>215</v>
      </c>
      <c r="G34" s="113" t="s">
        <v>215</v>
      </c>
      <c r="H34" s="113" t="s">
        <v>157</v>
      </c>
      <c r="I34" s="115" t="n">
        <v>112.03</v>
      </c>
      <c r="J34" s="115" t="s">
        <v>80</v>
      </c>
      <c r="K34" s="115" t="s">
        <v>81</v>
      </c>
      <c r="L34" s="115" t="n">
        <v>137.99</v>
      </c>
      <c r="M34" s="115" t="n">
        <v>3.0</v>
      </c>
      <c r="N34" s="115"/>
      <c r="O34" s="115"/>
      <c r="P34" s="115"/>
      <c r="Q34" s="115"/>
      <c r="R34" s="115"/>
      <c r="S34" s="115"/>
      <c r="T34" s="115"/>
      <c r="U34" s="115"/>
      <c r="V34" s="115" t="s">
        <v>82</v>
      </c>
      <c r="W34" s="115" t="s">
        <v>92</v>
      </c>
      <c r="X34" s="113">
        <f>IF(INDIRECT("W34")="Clássico","12%",IF(INDIRECT("W34")="Premium","17%","-"))</f>
      </c>
      <c r="Y34" s="113" t="s">
        <v>93</v>
      </c>
    </row>
    <row r="35" ht="50.0" customHeight="true">
      <c r="A35" s="113" t="s">
        <v>216</v>
      </c>
      <c r="B35" s="113" t="s">
        <v>217</v>
      </c>
      <c r="C35" s="113" t="s">
        <v>218</v>
      </c>
      <c r="D35" s="113"/>
      <c r="E35" s="114" t="s">
        <v>219</v>
      </c>
      <c r="F35" s="113" t="s">
        <v>220</v>
      </c>
      <c r="G35" s="113" t="s">
        <v>220</v>
      </c>
      <c r="H35" s="113" t="s">
        <v>103</v>
      </c>
      <c r="I35" s="115" t="n">
        <v>250.51</v>
      </c>
      <c r="J35" s="115" t="s">
        <v>80</v>
      </c>
      <c r="K35" s="115" t="s">
        <v>81</v>
      </c>
      <c r="L35" s="115" t="n">
        <v>189.81</v>
      </c>
      <c r="M35" s="115" t="n">
        <v>3.0</v>
      </c>
      <c r="N35" s="115"/>
      <c r="O35" s="115"/>
      <c r="P35" s="115"/>
      <c r="Q35" s="115"/>
      <c r="R35" s="115"/>
      <c r="S35" s="115"/>
      <c r="T35" s="115"/>
      <c r="U35" s="115"/>
      <c r="V35" s="115" t="s">
        <v>82</v>
      </c>
      <c r="W35" s="115" t="s">
        <v>83</v>
      </c>
      <c r="X35" s="113">
        <f>IF(INDIRECT("W35")="Clássico","12%",IF(INDIRECT("W35")="Premium","17%","-"))</f>
      </c>
      <c r="Y35" s="113" t="s">
        <v>221</v>
      </c>
    </row>
    <row r="36" ht="50.0" customHeight="true">
      <c r="A36" s="113" t="s">
        <v>222</v>
      </c>
      <c r="B36" s="113" t="s">
        <v>223</v>
      </c>
      <c r="C36" s="113" t="s">
        <v>224</v>
      </c>
      <c r="D36" s="113"/>
      <c r="E36" s="114" t="s">
        <v>225</v>
      </c>
      <c r="F36" s="113" t="s">
        <v>226</v>
      </c>
      <c r="G36" s="113" t="s">
        <v>227</v>
      </c>
      <c r="H36" s="113" t="s">
        <v>228</v>
      </c>
      <c r="I36" s="115" t="n">
        <v>311.27</v>
      </c>
      <c r="J36" s="115" t="s">
        <v>80</v>
      </c>
      <c r="K36" s="115" t="s">
        <v>81</v>
      </c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 t="s">
        <v>82</v>
      </c>
      <c r="W36" s="115" t="s">
        <v>92</v>
      </c>
      <c r="X36" s="113">
        <f>IF(INDIRECT("W36")="Clássico","12%",IF(INDIRECT("W36")="Premium","17%","-"))</f>
      </c>
      <c r="Y36" s="113" t="s">
        <v>229</v>
      </c>
    </row>
    <row r="37" ht="50.0" customHeight="true">
      <c r="A37" s="113" t="s">
        <v>230</v>
      </c>
      <c r="B37" s="113" t="s">
        <v>231</v>
      </c>
      <c r="C37" s="113" t="s">
        <v>232</v>
      </c>
      <c r="D37" s="113"/>
      <c r="E37" s="114" t="s">
        <v>177</v>
      </c>
      <c r="F37" s="113" t="s">
        <v>233</v>
      </c>
      <c r="G37" s="113" t="s">
        <v>233</v>
      </c>
      <c r="H37" s="113" t="s">
        <v>234</v>
      </c>
      <c r="I37" s="115" t="n">
        <v>170.76</v>
      </c>
      <c r="J37" s="115" t="s">
        <v>80</v>
      </c>
      <c r="K37" s="115" t="s">
        <v>81</v>
      </c>
      <c r="L37" s="115" t="n">
        <v>161.96</v>
      </c>
      <c r="M37" s="115" t="n">
        <v>3.0</v>
      </c>
      <c r="N37" s="115"/>
      <c r="O37" s="115"/>
      <c r="P37" s="115"/>
      <c r="Q37" s="115"/>
      <c r="R37" s="115"/>
      <c r="S37" s="115"/>
      <c r="T37" s="115"/>
      <c r="U37" s="115"/>
      <c r="V37" s="115" t="s">
        <v>91</v>
      </c>
      <c r="W37" s="115" t="s">
        <v>92</v>
      </c>
      <c r="X37" s="113">
        <f>IF(INDIRECT("W37")="Clássico","12%",IF(INDIRECT("W37")="Premium","17%","-"))</f>
      </c>
      <c r="Y37" s="113" t="s">
        <v>100</v>
      </c>
    </row>
    <row r="38" ht="50.0" customHeight="true">
      <c r="A38" s="113" t="s">
        <v>235</v>
      </c>
      <c r="B38" s="113" t="s">
        <v>236</v>
      </c>
      <c r="C38" s="113" t="s">
        <v>237</v>
      </c>
      <c r="D38" s="113"/>
      <c r="E38" s="114" t="s">
        <v>238</v>
      </c>
      <c r="F38" s="113" t="s">
        <v>239</v>
      </c>
      <c r="G38" s="113" t="s">
        <v>127</v>
      </c>
      <c r="H38" s="113" t="s">
        <v>103</v>
      </c>
      <c r="I38" s="115" t="n">
        <v>155.57</v>
      </c>
      <c r="J38" s="115" t="s">
        <v>80</v>
      </c>
      <c r="K38" s="115" t="s">
        <v>81</v>
      </c>
      <c r="L38" s="115" t="n">
        <v>157.01</v>
      </c>
      <c r="M38" s="115" t="n">
        <v>3.0</v>
      </c>
      <c r="N38" s="115"/>
      <c r="O38" s="115"/>
      <c r="P38" s="115"/>
      <c r="Q38" s="115"/>
      <c r="R38" s="115"/>
      <c r="S38" s="115"/>
      <c r="T38" s="115"/>
      <c r="U38" s="115"/>
      <c r="V38" s="115" t="s">
        <v>82</v>
      </c>
      <c r="W38" s="115" t="s">
        <v>83</v>
      </c>
      <c r="X38" s="113">
        <f>IF(INDIRECT("W38")="Clássico","12%",IF(INDIRECT("W38")="Premium","17%","-"))</f>
      </c>
      <c r="Y38" s="113" t="s">
        <v>128</v>
      </c>
    </row>
    <row r="39" ht="50.0" customHeight="true">
      <c r="A39" s="113" t="s">
        <v>240</v>
      </c>
      <c r="B39" s="113" t="s">
        <v>241</v>
      </c>
      <c r="C39" s="113" t="s">
        <v>242</v>
      </c>
      <c r="D39" s="113"/>
      <c r="E39" s="114" t="s">
        <v>243</v>
      </c>
      <c r="F39" s="113" t="s">
        <v>244</v>
      </c>
      <c r="G39" s="113" t="s">
        <v>244</v>
      </c>
      <c r="H39" s="113" t="s">
        <v>132</v>
      </c>
      <c r="I39" s="115" t="n">
        <v>100.63</v>
      </c>
      <c r="J39" s="115" t="s">
        <v>80</v>
      </c>
      <c r="K39" s="115" t="s">
        <v>81</v>
      </c>
      <c r="L39" s="115" t="n">
        <v>55.49</v>
      </c>
      <c r="M39" s="115" t="n">
        <v>3.0</v>
      </c>
      <c r="N39" s="115"/>
      <c r="O39" s="115"/>
      <c r="P39" s="115"/>
      <c r="Q39" s="115"/>
      <c r="R39" s="115"/>
      <c r="S39" s="115"/>
      <c r="T39" s="115"/>
      <c r="U39" s="115"/>
      <c r="V39" s="115" t="s">
        <v>82</v>
      </c>
      <c r="W39" s="115" t="s">
        <v>92</v>
      </c>
      <c r="X39" s="113">
        <f>IF(INDIRECT("W39")="Clássico","12%",IF(INDIRECT("W39")="Premium","17%","-"))</f>
      </c>
      <c r="Y39" s="113" t="s">
        <v>245</v>
      </c>
    </row>
    <row r="40" ht="50.0" customHeight="true">
      <c r="A40" s="113" t="s">
        <v>246</v>
      </c>
      <c r="B40" s="113" t="s">
        <v>247</v>
      </c>
      <c r="C40" s="113" t="s">
        <v>248</v>
      </c>
      <c r="D40" s="113"/>
      <c r="E40" s="114" t="s">
        <v>249</v>
      </c>
      <c r="F40" s="113" t="s">
        <v>250</v>
      </c>
      <c r="G40" s="113" t="s">
        <v>250</v>
      </c>
      <c r="H40" s="113" t="s">
        <v>103</v>
      </c>
      <c r="I40" s="115" t="n">
        <v>137.85</v>
      </c>
      <c r="J40" s="115" t="s">
        <v>80</v>
      </c>
      <c r="K40" s="115" t="s">
        <v>81</v>
      </c>
      <c r="L40" s="115" t="n">
        <v>145.0</v>
      </c>
      <c r="M40" s="115" t="n">
        <v>3.0</v>
      </c>
      <c r="N40" s="115"/>
      <c r="O40" s="115"/>
      <c r="P40" s="115"/>
      <c r="Q40" s="115"/>
      <c r="R40" s="115"/>
      <c r="S40" s="115"/>
      <c r="T40" s="115"/>
      <c r="U40" s="115"/>
      <c r="V40" s="115" t="s">
        <v>82</v>
      </c>
      <c r="W40" s="115" t="s">
        <v>92</v>
      </c>
      <c r="X40" s="113">
        <f>IF(INDIRECT("W40")="Clássico","12%",IF(INDIRECT("W40")="Premium","17%","-"))</f>
      </c>
      <c r="Y40" s="113" t="s">
        <v>251</v>
      </c>
    </row>
    <row r="41" ht="50.0" customHeight="true">
      <c r="A41" s="113" t="s">
        <v>252</v>
      </c>
      <c r="B41" s="113" t="s">
        <v>253</v>
      </c>
      <c r="C41" s="113" t="s">
        <v>254</v>
      </c>
      <c r="D41" s="113"/>
      <c r="E41" s="114" t="s">
        <v>177</v>
      </c>
      <c r="F41" s="113" t="s">
        <v>255</v>
      </c>
      <c r="G41" s="113" t="s">
        <v>255</v>
      </c>
      <c r="H41" s="113" t="s">
        <v>103</v>
      </c>
      <c r="I41" s="115" t="n">
        <v>74.9</v>
      </c>
      <c r="J41" s="115" t="s">
        <v>80</v>
      </c>
      <c r="K41" s="115" t="s">
        <v>81</v>
      </c>
      <c r="L41" s="115" t="n">
        <v>180.95</v>
      </c>
      <c r="M41" s="115" t="n">
        <v>3.0</v>
      </c>
      <c r="N41" s="115"/>
      <c r="O41" s="115"/>
      <c r="P41" s="115"/>
      <c r="Q41" s="115"/>
      <c r="R41" s="115"/>
      <c r="S41" s="115"/>
      <c r="T41" s="115"/>
      <c r="U41" s="115"/>
      <c r="V41" s="115" t="s">
        <v>91</v>
      </c>
      <c r="W41" s="115" t="s">
        <v>92</v>
      </c>
      <c r="X41" s="113">
        <f>IF(INDIRECT("W41")="Clássico","12%",IF(INDIRECT("W41")="Premium","17%","-"))</f>
      </c>
      <c r="Y41" s="113" t="s">
        <v>100</v>
      </c>
    </row>
    <row r="42" ht="50.0" customHeight="true">
      <c r="A42" s="113" t="s">
        <v>256</v>
      </c>
      <c r="B42" s="113" t="s">
        <v>257</v>
      </c>
      <c r="C42" s="113" t="s">
        <v>258</v>
      </c>
      <c r="D42" s="113"/>
      <c r="E42" s="114" t="s">
        <v>259</v>
      </c>
      <c r="F42" s="113" t="s">
        <v>260</v>
      </c>
      <c r="G42" s="113" t="s">
        <v>260</v>
      </c>
      <c r="H42" s="113" t="s">
        <v>103</v>
      </c>
      <c r="I42" s="115" t="n">
        <v>110.0</v>
      </c>
      <c r="J42" s="115" t="s">
        <v>80</v>
      </c>
      <c r="K42" s="115" t="s">
        <v>81</v>
      </c>
      <c r="L42" s="115" t="n">
        <v>92.34</v>
      </c>
      <c r="M42" s="115" t="n">
        <v>3.0</v>
      </c>
      <c r="N42" s="115"/>
      <c r="O42" s="115"/>
      <c r="P42" s="115"/>
      <c r="Q42" s="115"/>
      <c r="R42" s="115"/>
      <c r="S42" s="115"/>
      <c r="T42" s="115"/>
      <c r="U42" s="115"/>
      <c r="V42" s="115" t="s">
        <v>82</v>
      </c>
      <c r="W42" s="115" t="s">
        <v>83</v>
      </c>
      <c r="X42" s="113">
        <f>IF(INDIRECT("W42")="Clássico","12%",IF(INDIRECT("W42")="Premium","17%","-"))</f>
      </c>
      <c r="Y42" s="113" t="s">
        <v>93</v>
      </c>
    </row>
    <row r="43" ht="50.0" customHeight="true">
      <c r="A43" s="113" t="s">
        <v>261</v>
      </c>
      <c r="B43" s="113" t="s">
        <v>262</v>
      </c>
      <c r="C43" s="113" t="s">
        <v>263</v>
      </c>
      <c r="D43" s="113"/>
      <c r="E43" s="114" t="s">
        <v>264</v>
      </c>
      <c r="F43" s="113" t="s">
        <v>265</v>
      </c>
      <c r="G43" s="113" t="s">
        <v>127</v>
      </c>
      <c r="H43" s="113" t="s">
        <v>173</v>
      </c>
      <c r="I43" s="115" t="n">
        <v>232.79</v>
      </c>
      <c r="J43" s="115" t="s">
        <v>80</v>
      </c>
      <c r="K43" s="115" t="s">
        <v>81</v>
      </c>
      <c r="L43" s="115" t="n">
        <v>231.59</v>
      </c>
      <c r="M43" s="115" t="n">
        <v>3.0</v>
      </c>
      <c r="N43" s="115"/>
      <c r="O43" s="115"/>
      <c r="P43" s="115"/>
      <c r="Q43" s="115"/>
      <c r="R43" s="115"/>
      <c r="S43" s="115"/>
      <c r="T43" s="115"/>
      <c r="U43" s="115"/>
      <c r="V43" s="115" t="s">
        <v>82</v>
      </c>
      <c r="W43" s="115" t="s">
        <v>83</v>
      </c>
      <c r="X43" s="113">
        <f>IF(INDIRECT("W43")="Clássico","12%",IF(INDIRECT("W43")="Premium","17%","-"))</f>
      </c>
      <c r="Y43" s="113" t="s">
        <v>266</v>
      </c>
    </row>
    <row r="44" ht="50.0" customHeight="true">
      <c r="A44" s="113" t="s">
        <v>267</v>
      </c>
      <c r="B44" s="113" t="s">
        <v>268</v>
      </c>
      <c r="C44" s="113" t="s">
        <v>269</v>
      </c>
      <c r="D44" s="113"/>
      <c r="E44" s="114" t="s">
        <v>270</v>
      </c>
      <c r="F44" s="113" t="s">
        <v>271</v>
      </c>
      <c r="G44" s="113" t="s">
        <v>271</v>
      </c>
      <c r="H44" s="113" t="s">
        <v>103</v>
      </c>
      <c r="I44" s="115" t="n">
        <v>130.25</v>
      </c>
      <c r="J44" s="115" t="s">
        <v>80</v>
      </c>
      <c r="K44" s="115" t="s">
        <v>81</v>
      </c>
      <c r="L44" s="115" t="n">
        <v>138.03</v>
      </c>
      <c r="M44" s="115" t="n">
        <v>3.0</v>
      </c>
      <c r="N44" s="115"/>
      <c r="O44" s="115"/>
      <c r="P44" s="115"/>
      <c r="Q44" s="115"/>
      <c r="R44" s="115"/>
      <c r="S44" s="115"/>
      <c r="T44" s="115"/>
      <c r="U44" s="115"/>
      <c r="V44" s="115" t="s">
        <v>82</v>
      </c>
      <c r="W44" s="115" t="s">
        <v>92</v>
      </c>
      <c r="X44" s="113">
        <f>IF(INDIRECT("W44")="Clássico","12%",IF(INDIRECT("W44")="Premium","17%","-"))</f>
      </c>
      <c r="Y44" s="113" t="s">
        <v>272</v>
      </c>
    </row>
    <row r="45" ht="50.0" customHeight="true">
      <c r="A45" s="113" t="s">
        <v>273</v>
      </c>
      <c r="B45" s="113" t="s">
        <v>274</v>
      </c>
      <c r="C45" s="113" t="s">
        <v>275</v>
      </c>
      <c r="D45" s="113"/>
      <c r="E45" s="114" t="s">
        <v>77</v>
      </c>
      <c r="F45" s="113" t="s">
        <v>276</v>
      </c>
      <c r="G45" s="113" t="s">
        <v>276</v>
      </c>
      <c r="H45" s="113" t="s">
        <v>157</v>
      </c>
      <c r="I45" s="115" t="n">
        <v>113.55</v>
      </c>
      <c r="J45" s="115" t="s">
        <v>80</v>
      </c>
      <c r="K45" s="115" t="s">
        <v>81</v>
      </c>
      <c r="L45" s="115" t="n">
        <v>103.9</v>
      </c>
      <c r="M45" s="115" t="n">
        <v>3.0</v>
      </c>
      <c r="N45" s="115"/>
      <c r="O45" s="115"/>
      <c r="P45" s="115"/>
      <c r="Q45" s="115"/>
      <c r="R45" s="115"/>
      <c r="S45" s="115"/>
      <c r="T45" s="115"/>
      <c r="U45" s="115"/>
      <c r="V45" s="115" t="s">
        <v>82</v>
      </c>
      <c r="W45" s="115" t="s">
        <v>92</v>
      </c>
      <c r="X45" s="113">
        <f>IF(INDIRECT("W45")="Clássico","12%",IF(INDIRECT("W45")="Premium","17%","-"))</f>
      </c>
      <c r="Y45" s="113" t="s">
        <v>84</v>
      </c>
    </row>
    <row r="46" ht="50.0" customHeight="true">
      <c r="A46" s="113" t="s">
        <v>277</v>
      </c>
      <c r="B46" s="113" t="s">
        <v>278</v>
      </c>
      <c r="C46" s="113" t="s">
        <v>279</v>
      </c>
      <c r="D46" s="113"/>
      <c r="E46" s="114" t="s">
        <v>280</v>
      </c>
      <c r="F46" s="113" t="s">
        <v>281</v>
      </c>
      <c r="G46" s="113" t="s">
        <v>281</v>
      </c>
      <c r="H46" s="113" t="s">
        <v>103</v>
      </c>
      <c r="I46" s="115" t="n">
        <v>478.36</v>
      </c>
      <c r="J46" s="115" t="s">
        <v>80</v>
      </c>
      <c r="K46" s="115" t="s">
        <v>81</v>
      </c>
      <c r="L46" s="115" t="n">
        <v>417.79</v>
      </c>
      <c r="M46" s="115" t="n">
        <v>3.0</v>
      </c>
      <c r="N46" s="115"/>
      <c r="O46" s="115"/>
      <c r="P46" s="115"/>
      <c r="Q46" s="115"/>
      <c r="R46" s="115"/>
      <c r="S46" s="115"/>
      <c r="T46" s="115"/>
      <c r="U46" s="115"/>
      <c r="V46" s="115" t="s">
        <v>82</v>
      </c>
      <c r="W46" s="115" t="s">
        <v>83</v>
      </c>
      <c r="X46" s="113">
        <f>IF(INDIRECT("W46")="Clássico","12%",IF(INDIRECT("W46")="Premium","17%","-"))</f>
      </c>
      <c r="Y46" s="113" t="s">
        <v>93</v>
      </c>
    </row>
    <row r="47" ht="50.0" customHeight="true">
      <c r="A47" s="113" t="s">
        <v>282</v>
      </c>
      <c r="B47" s="113" t="s">
        <v>283</v>
      </c>
      <c r="C47" s="113" t="s">
        <v>284</v>
      </c>
      <c r="D47" s="113"/>
      <c r="E47" s="114" t="s">
        <v>285</v>
      </c>
      <c r="F47" s="113" t="s">
        <v>286</v>
      </c>
      <c r="G47" s="113" t="s">
        <v>286</v>
      </c>
      <c r="H47" s="113" t="s">
        <v>157</v>
      </c>
      <c r="I47" s="115" t="n">
        <v>157.6</v>
      </c>
      <c r="J47" s="115" t="s">
        <v>80</v>
      </c>
      <c r="K47" s="115" t="s">
        <v>81</v>
      </c>
      <c r="L47" s="115" t="n">
        <v>160.7</v>
      </c>
      <c r="M47" s="115" t="n">
        <v>3.0</v>
      </c>
      <c r="N47" s="115"/>
      <c r="O47" s="115"/>
      <c r="P47" s="115"/>
      <c r="Q47" s="115"/>
      <c r="R47" s="115"/>
      <c r="S47" s="115"/>
      <c r="T47" s="115"/>
      <c r="U47" s="115"/>
      <c r="V47" s="115" t="s">
        <v>82</v>
      </c>
      <c r="W47" s="115" t="s">
        <v>83</v>
      </c>
      <c r="X47" s="113">
        <f>IF(INDIRECT("W47")="Clássico","12%",IF(INDIRECT("W47")="Premium","17%","-"))</f>
      </c>
      <c r="Y47" s="113" t="s">
        <v>287</v>
      </c>
    </row>
    <row r="48" ht="50.0" customHeight="true">
      <c r="A48" s="113" t="s">
        <v>288</v>
      </c>
      <c r="B48" s="113" t="s">
        <v>289</v>
      </c>
      <c r="C48" s="113" t="s">
        <v>290</v>
      </c>
      <c r="D48" s="113"/>
      <c r="E48" s="114" t="s">
        <v>162</v>
      </c>
      <c r="F48" s="113" t="s">
        <v>291</v>
      </c>
      <c r="G48" s="113" t="s">
        <v>291</v>
      </c>
      <c r="H48" s="113" t="s">
        <v>110</v>
      </c>
      <c r="I48" s="115" t="n">
        <v>717.6</v>
      </c>
      <c r="J48" s="115" t="s">
        <v>80</v>
      </c>
      <c r="K48" s="115" t="s">
        <v>81</v>
      </c>
      <c r="L48" s="115" t="n">
        <v>780.45</v>
      </c>
      <c r="M48" s="115" t="n">
        <v>3.0</v>
      </c>
      <c r="N48" s="115"/>
      <c r="O48" s="115"/>
      <c r="P48" s="115"/>
      <c r="Q48" s="115"/>
      <c r="R48" s="115"/>
      <c r="S48" s="115"/>
      <c r="T48" s="115"/>
      <c r="U48" s="115"/>
      <c r="V48" s="115" t="s">
        <v>82</v>
      </c>
      <c r="W48" s="115" t="s">
        <v>92</v>
      </c>
      <c r="X48" s="113">
        <f>IF(INDIRECT("W48")="Clássico","12%",IF(INDIRECT("W48")="Premium","17%","-"))</f>
      </c>
      <c r="Y48" s="113" t="s">
        <v>164</v>
      </c>
    </row>
    <row r="49" ht="50.0" customHeight="true">
      <c r="A49" s="113" t="s">
        <v>292</v>
      </c>
      <c r="B49" s="113" t="s">
        <v>293</v>
      </c>
      <c r="C49" s="113" t="s">
        <v>294</v>
      </c>
      <c r="D49" s="113"/>
      <c r="E49" s="114" t="s">
        <v>295</v>
      </c>
      <c r="F49" s="113" t="s">
        <v>296</v>
      </c>
      <c r="G49" s="113" t="s">
        <v>296</v>
      </c>
      <c r="H49" s="113" t="s">
        <v>103</v>
      </c>
      <c r="I49" s="115" t="n">
        <v>45.9</v>
      </c>
      <c r="J49" s="115" t="s">
        <v>80</v>
      </c>
      <c r="K49" s="115" t="s">
        <v>81</v>
      </c>
      <c r="L49" s="115" t="n">
        <v>53.1</v>
      </c>
      <c r="M49" s="115" t="n">
        <v>3.0</v>
      </c>
      <c r="N49" s="115"/>
      <c r="O49" s="115"/>
      <c r="P49" s="115"/>
      <c r="Q49" s="115"/>
      <c r="R49" s="115"/>
      <c r="S49" s="115"/>
      <c r="T49" s="115"/>
      <c r="U49" s="115"/>
      <c r="V49" s="115" t="s">
        <v>91</v>
      </c>
      <c r="W49" s="115" t="s">
        <v>92</v>
      </c>
      <c r="X49" s="113">
        <f>IF(INDIRECT("W49")="Clássico","12%",IF(INDIRECT("W49")="Premium","17%","-"))</f>
      </c>
      <c r="Y49" s="113" t="s">
        <v>297</v>
      </c>
    </row>
    <row r="50" ht="50.0" customHeight="true">
      <c r="A50" s="113" t="s">
        <v>22</v>
      </c>
      <c r="B50" s="113" t="s">
        <v>298</v>
      </c>
      <c r="C50" s="113"/>
      <c r="D50" s="113"/>
      <c r="E50" s="113" t="s">
        <v>22</v>
      </c>
      <c r="F50" s="113" t="s">
        <v>299</v>
      </c>
      <c r="G50" s="113" t="s">
        <v>103</v>
      </c>
      <c r="H50" s="113" t="s">
        <v>173</v>
      </c>
      <c r="I50" s="115" t="n">
        <v>630.26</v>
      </c>
      <c r="J50" s="115" t="s">
        <v>80</v>
      </c>
      <c r="K50" s="113" t="s">
        <v>81</v>
      </c>
      <c r="L50" s="115" t="n">
        <v>459.55</v>
      </c>
      <c r="M50" s="115" t="n">
        <v>3.0</v>
      </c>
      <c r="N50" s="115"/>
      <c r="O50" s="115"/>
      <c r="P50" s="115"/>
      <c r="Q50" s="115"/>
      <c r="R50" s="115"/>
      <c r="S50" s="115"/>
      <c r="T50" s="115"/>
      <c r="U50" s="115"/>
      <c r="V50" s="115" t="s">
        <v>82</v>
      </c>
      <c r="W50" s="115" t="s">
        <v>92</v>
      </c>
      <c r="X50" s="113">
        <f>IF(INDIRECT("W50")="Clássico","12%",IF(INDIRECT("W50")="Premium","17%","-"))</f>
      </c>
      <c r="Y50" s="113" t="s">
        <v>300</v>
      </c>
    </row>
    <row r="51" ht="50.0" customHeight="true">
      <c r="A51" s="113" t="s">
        <v>22</v>
      </c>
      <c r="B51" s="113" t="s">
        <v>298</v>
      </c>
      <c r="C51" s="113" t="s">
        <v>301</v>
      </c>
      <c r="D51" s="113" t="s">
        <v>301</v>
      </c>
      <c r="E51" s="114" t="s">
        <v>302</v>
      </c>
      <c r="F51" s="116">
        <f>"     "&amp;F50</f>
      </c>
      <c r="G51" s="113" t="s">
        <v>303</v>
      </c>
      <c r="H51" s="113" t="s">
        <v>304</v>
      </c>
      <c r="I51" s="113">
        <f>I50</f>
      </c>
      <c r="J51" s="113">
        <f>J50&amp;"     "</f>
      </c>
      <c r="K51" s="113" t="s">
        <v>81</v>
      </c>
      <c r="L51" s="113">
        <f>L50</f>
      </c>
      <c r="M51" s="113">
        <f>M50</f>
      </c>
      <c r="N51" s="113">
        <f>N50</f>
      </c>
      <c r="O51" s="113">
        <f>O50</f>
      </c>
      <c r="P51" s="113">
        <f>P50</f>
      </c>
      <c r="Q51" s="113">
        <f>Q50</f>
      </c>
      <c r="R51" s="113">
        <f>R50</f>
      </c>
      <c r="S51" s="113">
        <f>S50</f>
      </c>
      <c r="T51" s="113">
        <f>T50</f>
      </c>
      <c r="U51" s="113">
        <f>U50</f>
      </c>
      <c r="V51" s="113">
        <f>V50&amp;"     "</f>
      </c>
      <c r="W51" s="113">
        <f>W50&amp;"     "</f>
      </c>
      <c r="X51" s="113">
        <f>X50</f>
      </c>
      <c r="Y51" s="113" t="s">
        <v>300</v>
      </c>
    </row>
    <row r="52" ht="50.0" customHeight="true">
      <c r="A52" s="113" t="s">
        <v>22</v>
      </c>
      <c r="B52" s="113" t="s">
        <v>298</v>
      </c>
      <c r="C52" s="113" t="s">
        <v>305</v>
      </c>
      <c r="D52" s="113" t="s">
        <v>305</v>
      </c>
      <c r="E52" s="114" t="s">
        <v>306</v>
      </c>
      <c r="F52" s="116">
        <f>"     "&amp;F50</f>
      </c>
      <c r="G52" s="113" t="s">
        <v>307</v>
      </c>
      <c r="H52" s="113" t="s">
        <v>103</v>
      </c>
      <c r="I52" s="113">
        <f>I50</f>
      </c>
      <c r="J52" s="113">
        <f>J50&amp;"     "</f>
      </c>
      <c r="K52" s="113" t="s">
        <v>81</v>
      </c>
      <c r="L52" s="113">
        <f>L50</f>
      </c>
      <c r="M52" s="113">
        <f>M50</f>
      </c>
      <c r="N52" s="113">
        <f>N50</f>
      </c>
      <c r="O52" s="113">
        <f>O50</f>
      </c>
      <c r="P52" s="113">
        <f>P50</f>
      </c>
      <c r="Q52" s="113">
        <f>Q50</f>
      </c>
      <c r="R52" s="113">
        <f>R50</f>
      </c>
      <c r="S52" s="113">
        <f>S50</f>
      </c>
      <c r="T52" s="113">
        <f>T50</f>
      </c>
      <c r="U52" s="113">
        <f>U50</f>
      </c>
      <c r="V52" s="113">
        <f>V50&amp;"     "</f>
      </c>
      <c r="W52" s="113">
        <f>W50&amp;"     "</f>
      </c>
      <c r="X52" s="113">
        <f>X50</f>
      </c>
      <c r="Y52" s="113" t="s">
        <v>300</v>
      </c>
    </row>
    <row r="53" ht="50.0" customHeight="true">
      <c r="A53" s="113" t="s">
        <v>22</v>
      </c>
      <c r="B53" s="113" t="s">
        <v>298</v>
      </c>
      <c r="C53" s="113" t="s">
        <v>308</v>
      </c>
      <c r="D53" s="113" t="s">
        <v>308</v>
      </c>
      <c r="E53" s="114" t="s">
        <v>309</v>
      </c>
      <c r="F53" s="116">
        <f>"     "&amp;F50</f>
      </c>
      <c r="G53" s="113" t="s">
        <v>310</v>
      </c>
      <c r="H53" s="113" t="s">
        <v>103</v>
      </c>
      <c r="I53" s="113">
        <f>I50</f>
      </c>
      <c r="J53" s="113">
        <f>J50&amp;"     "</f>
      </c>
      <c r="K53" s="113" t="s">
        <v>81</v>
      </c>
      <c r="L53" s="113">
        <f>L50</f>
      </c>
      <c r="M53" s="113">
        <f>M50</f>
      </c>
      <c r="N53" s="113">
        <f>N50</f>
      </c>
      <c r="O53" s="113">
        <f>O50</f>
      </c>
      <c r="P53" s="113">
        <f>P50</f>
      </c>
      <c r="Q53" s="113">
        <f>Q50</f>
      </c>
      <c r="R53" s="113">
        <f>R50</f>
      </c>
      <c r="S53" s="113">
        <f>S50</f>
      </c>
      <c r="T53" s="113">
        <f>T50</f>
      </c>
      <c r="U53" s="113">
        <f>U50</f>
      </c>
      <c r="V53" s="113">
        <f>V50&amp;"     "</f>
      </c>
      <c r="W53" s="113">
        <f>W50&amp;"     "</f>
      </c>
      <c r="X53" s="113">
        <f>X50</f>
      </c>
      <c r="Y53" s="113" t="s">
        <v>300</v>
      </c>
    </row>
    <row r="54" ht="50.0" customHeight="true">
      <c r="A54" s="113" t="s">
        <v>22</v>
      </c>
      <c r="B54" s="113" t="s">
        <v>298</v>
      </c>
      <c r="C54" s="113" t="s">
        <v>311</v>
      </c>
      <c r="D54" s="113" t="s">
        <v>311</v>
      </c>
      <c r="E54" s="114" t="s">
        <v>312</v>
      </c>
      <c r="F54" s="116">
        <f>"     "&amp;F50</f>
      </c>
      <c r="G54" s="113" t="s">
        <v>313</v>
      </c>
      <c r="H54" s="113" t="s">
        <v>99</v>
      </c>
      <c r="I54" s="113">
        <f>I50</f>
      </c>
      <c r="J54" s="113">
        <f>J50&amp;"     "</f>
      </c>
      <c r="K54" s="113" t="s">
        <v>81</v>
      </c>
      <c r="L54" s="113">
        <f>L50</f>
      </c>
      <c r="M54" s="113">
        <f>M50</f>
      </c>
      <c r="N54" s="113">
        <f>N50</f>
      </c>
      <c r="O54" s="113">
        <f>O50</f>
      </c>
      <c r="P54" s="113">
        <f>P50</f>
      </c>
      <c r="Q54" s="113">
        <f>Q50</f>
      </c>
      <c r="R54" s="113">
        <f>R50</f>
      </c>
      <c r="S54" s="113">
        <f>S50</f>
      </c>
      <c r="T54" s="113">
        <f>T50</f>
      </c>
      <c r="U54" s="113">
        <f>U50</f>
      </c>
      <c r="V54" s="113">
        <f>V50&amp;"     "</f>
      </c>
      <c r="W54" s="113">
        <f>W50&amp;"     "</f>
      </c>
      <c r="X54" s="113">
        <f>X50</f>
      </c>
      <c r="Y54" s="113" t="s">
        <v>300</v>
      </c>
    </row>
    <row r="55" ht="50.0" customHeight="true">
      <c r="A55" s="113" t="s">
        <v>22</v>
      </c>
      <c r="B55" s="113" t="s">
        <v>298</v>
      </c>
      <c r="C55" s="113" t="s">
        <v>314</v>
      </c>
      <c r="D55" s="113" t="s">
        <v>314</v>
      </c>
      <c r="E55" s="114" t="s">
        <v>315</v>
      </c>
      <c r="F55" s="116">
        <f>"     "&amp;F50</f>
      </c>
      <c r="G55" s="113" t="s">
        <v>316</v>
      </c>
      <c r="H55" s="113" t="s">
        <v>103</v>
      </c>
      <c r="I55" s="113">
        <f>I50</f>
      </c>
      <c r="J55" s="113">
        <f>J50&amp;"     "</f>
      </c>
      <c r="K55" s="113" t="s">
        <v>81</v>
      </c>
      <c r="L55" s="113">
        <f>L50</f>
      </c>
      <c r="M55" s="113">
        <f>M50</f>
      </c>
      <c r="N55" s="113">
        <f>N50</f>
      </c>
      <c r="O55" s="113">
        <f>O50</f>
      </c>
      <c r="P55" s="113">
        <f>P50</f>
      </c>
      <c r="Q55" s="113">
        <f>Q50</f>
      </c>
      <c r="R55" s="113">
        <f>R50</f>
      </c>
      <c r="S55" s="113">
        <f>S50</f>
      </c>
      <c r="T55" s="113">
        <f>T50</f>
      </c>
      <c r="U55" s="113">
        <f>U50</f>
      </c>
      <c r="V55" s="113">
        <f>V50&amp;"     "</f>
      </c>
      <c r="W55" s="113">
        <f>W50&amp;"     "</f>
      </c>
      <c r="X55" s="113">
        <f>X50</f>
      </c>
      <c r="Y55" s="113" t="s">
        <v>300</v>
      </c>
    </row>
    <row r="56" ht="50.0" customHeight="true">
      <c r="A56" s="113" t="s">
        <v>22</v>
      </c>
      <c r="B56" s="113" t="s">
        <v>298</v>
      </c>
      <c r="C56" s="113" t="s">
        <v>317</v>
      </c>
      <c r="D56" s="113" t="s">
        <v>317</v>
      </c>
      <c r="E56" s="114" t="s">
        <v>318</v>
      </c>
      <c r="F56" s="116">
        <f>"     "&amp;F50</f>
      </c>
      <c r="G56" s="113" t="s">
        <v>319</v>
      </c>
      <c r="H56" s="113" t="s">
        <v>103</v>
      </c>
      <c r="I56" s="113">
        <f>I50</f>
      </c>
      <c r="J56" s="113">
        <f>J50&amp;"     "</f>
      </c>
      <c r="K56" s="113" t="s">
        <v>81</v>
      </c>
      <c r="L56" s="113">
        <f>L50</f>
      </c>
      <c r="M56" s="113">
        <f>M50</f>
      </c>
      <c r="N56" s="113">
        <f>N50</f>
      </c>
      <c r="O56" s="113">
        <f>O50</f>
      </c>
      <c r="P56" s="113">
        <f>P50</f>
      </c>
      <c r="Q56" s="113">
        <f>Q50</f>
      </c>
      <c r="R56" s="113">
        <f>R50</f>
      </c>
      <c r="S56" s="113">
        <f>S50</f>
      </c>
      <c r="T56" s="113">
        <f>T50</f>
      </c>
      <c r="U56" s="113">
        <f>U50</f>
      </c>
      <c r="V56" s="113">
        <f>V50&amp;"     "</f>
      </c>
      <c r="W56" s="113">
        <f>W50&amp;"     "</f>
      </c>
      <c r="X56" s="113">
        <f>X50</f>
      </c>
      <c r="Y56" s="113" t="s">
        <v>300</v>
      </c>
    </row>
    <row r="57" ht="50.0" customHeight="true">
      <c r="A57" s="113" t="s">
        <v>22</v>
      </c>
      <c r="B57" s="113" t="s">
        <v>298</v>
      </c>
      <c r="C57" s="113" t="s">
        <v>320</v>
      </c>
      <c r="D57" s="113" t="s">
        <v>320</v>
      </c>
      <c r="E57" s="114" t="s">
        <v>321</v>
      </c>
      <c r="F57" s="116">
        <f>"     "&amp;F50</f>
      </c>
      <c r="G57" s="113" t="s">
        <v>322</v>
      </c>
      <c r="H57" s="113" t="s">
        <v>132</v>
      </c>
      <c r="I57" s="113">
        <f>I50</f>
      </c>
      <c r="J57" s="113">
        <f>J50&amp;"     "</f>
      </c>
      <c r="K57" s="113" t="s">
        <v>81</v>
      </c>
      <c r="L57" s="113">
        <f>L50</f>
      </c>
      <c r="M57" s="113">
        <f>M50</f>
      </c>
      <c r="N57" s="113">
        <f>N50</f>
      </c>
      <c r="O57" s="113">
        <f>O50</f>
      </c>
      <c r="P57" s="113">
        <f>P50</f>
      </c>
      <c r="Q57" s="113">
        <f>Q50</f>
      </c>
      <c r="R57" s="113">
        <f>R50</f>
      </c>
      <c r="S57" s="113">
        <f>S50</f>
      </c>
      <c r="T57" s="113">
        <f>T50</f>
      </c>
      <c r="U57" s="113">
        <f>U50</f>
      </c>
      <c r="V57" s="113">
        <f>V50&amp;"     "</f>
      </c>
      <c r="W57" s="113">
        <f>W50&amp;"     "</f>
      </c>
      <c r="X57" s="113">
        <f>X50</f>
      </c>
      <c r="Y57" s="113" t="s">
        <v>300</v>
      </c>
    </row>
    <row r="58" ht="50.0" customHeight="true">
      <c r="A58" s="113" t="s">
        <v>22</v>
      </c>
      <c r="B58" s="113" t="s">
        <v>298</v>
      </c>
      <c r="C58" s="113" t="s">
        <v>323</v>
      </c>
      <c r="D58" s="113" t="s">
        <v>323</v>
      </c>
      <c r="E58" s="114" t="s">
        <v>324</v>
      </c>
      <c r="F58" s="116">
        <f>"     "&amp;F50</f>
      </c>
      <c r="G58" s="113" t="s">
        <v>325</v>
      </c>
      <c r="H58" s="113" t="s">
        <v>103</v>
      </c>
      <c r="I58" s="113">
        <f>I50</f>
      </c>
      <c r="J58" s="113">
        <f>J50&amp;"     "</f>
      </c>
      <c r="K58" s="113" t="s">
        <v>81</v>
      </c>
      <c r="L58" s="113">
        <f>L50</f>
      </c>
      <c r="M58" s="113">
        <f>M50</f>
      </c>
      <c r="N58" s="113">
        <f>N50</f>
      </c>
      <c r="O58" s="113">
        <f>O50</f>
      </c>
      <c r="P58" s="113">
        <f>P50</f>
      </c>
      <c r="Q58" s="113">
        <f>Q50</f>
      </c>
      <c r="R58" s="113">
        <f>R50</f>
      </c>
      <c r="S58" s="113">
        <f>S50</f>
      </c>
      <c r="T58" s="113">
        <f>T50</f>
      </c>
      <c r="U58" s="113">
        <f>U50</f>
      </c>
      <c r="V58" s="113">
        <f>V50&amp;"     "</f>
      </c>
      <c r="W58" s="113">
        <f>W50&amp;"     "</f>
      </c>
      <c r="X58" s="113">
        <f>X50</f>
      </c>
      <c r="Y58" s="113" t="s">
        <v>300</v>
      </c>
    </row>
    <row r="59" ht="50.0" customHeight="true">
      <c r="A59" s="113" t="s">
        <v>22</v>
      </c>
      <c r="B59" s="113" t="s">
        <v>298</v>
      </c>
      <c r="C59" s="113" t="s">
        <v>326</v>
      </c>
      <c r="D59" s="113" t="s">
        <v>326</v>
      </c>
      <c r="E59" s="114" t="s">
        <v>327</v>
      </c>
      <c r="F59" s="116">
        <f>"     "&amp;F50</f>
      </c>
      <c r="G59" s="113" t="s">
        <v>328</v>
      </c>
      <c r="H59" s="113" t="s">
        <v>103</v>
      </c>
      <c r="I59" s="113">
        <f>I50</f>
      </c>
      <c r="J59" s="113">
        <f>J50&amp;"     "</f>
      </c>
      <c r="K59" s="113" t="s">
        <v>81</v>
      </c>
      <c r="L59" s="113">
        <f>L50</f>
      </c>
      <c r="M59" s="113">
        <f>M50</f>
      </c>
      <c r="N59" s="113">
        <f>N50</f>
      </c>
      <c r="O59" s="113">
        <f>O50</f>
      </c>
      <c r="P59" s="113">
        <f>P50</f>
      </c>
      <c r="Q59" s="113">
        <f>Q50</f>
      </c>
      <c r="R59" s="113">
        <f>R50</f>
      </c>
      <c r="S59" s="113">
        <f>S50</f>
      </c>
      <c r="T59" s="113">
        <f>T50</f>
      </c>
      <c r="U59" s="113">
        <f>U50</f>
      </c>
      <c r="V59" s="113">
        <f>V50&amp;"     "</f>
      </c>
      <c r="W59" s="113">
        <f>W50&amp;"     "</f>
      </c>
      <c r="X59" s="113">
        <f>X50</f>
      </c>
      <c r="Y59" s="113" t="s">
        <v>300</v>
      </c>
    </row>
    <row r="60" ht="50.0" customHeight="true">
      <c r="A60" s="113" t="s">
        <v>22</v>
      </c>
      <c r="B60" s="113" t="s">
        <v>298</v>
      </c>
      <c r="C60" s="113" t="s">
        <v>329</v>
      </c>
      <c r="D60" s="113" t="s">
        <v>329</v>
      </c>
      <c r="E60" s="114" t="s">
        <v>330</v>
      </c>
      <c r="F60" s="116">
        <f>"     "&amp;F50</f>
      </c>
      <c r="G60" s="113" t="s">
        <v>331</v>
      </c>
      <c r="H60" s="113" t="s">
        <v>103</v>
      </c>
      <c r="I60" s="113">
        <f>I50</f>
      </c>
      <c r="J60" s="113">
        <f>J50&amp;"     "</f>
      </c>
      <c r="K60" s="113" t="s">
        <v>81</v>
      </c>
      <c r="L60" s="113">
        <f>L50</f>
      </c>
      <c r="M60" s="113">
        <f>M50</f>
      </c>
      <c r="N60" s="113">
        <f>N50</f>
      </c>
      <c r="O60" s="113">
        <f>O50</f>
      </c>
      <c r="P60" s="113">
        <f>P50</f>
      </c>
      <c r="Q60" s="113">
        <f>Q50</f>
      </c>
      <c r="R60" s="113">
        <f>R50</f>
      </c>
      <c r="S60" s="113">
        <f>S50</f>
      </c>
      <c r="T60" s="113">
        <f>T50</f>
      </c>
      <c r="U60" s="113">
        <f>U50</f>
      </c>
      <c r="V60" s="113">
        <f>V50&amp;"     "</f>
      </c>
      <c r="W60" s="113">
        <f>W50&amp;"     "</f>
      </c>
      <c r="X60" s="113">
        <f>X50</f>
      </c>
      <c r="Y60" s="113" t="s">
        <v>300</v>
      </c>
    </row>
    <row r="61" ht="50.0" customHeight="true">
      <c r="A61" s="113" t="s">
        <v>22</v>
      </c>
      <c r="B61" s="113" t="s">
        <v>298</v>
      </c>
      <c r="C61" s="113" t="s">
        <v>332</v>
      </c>
      <c r="D61" s="113" t="s">
        <v>332</v>
      </c>
      <c r="E61" s="114" t="s">
        <v>333</v>
      </c>
      <c r="F61" s="116">
        <f>"     "&amp;F50</f>
      </c>
      <c r="G61" s="113" t="s">
        <v>334</v>
      </c>
      <c r="H61" s="113" t="s">
        <v>103</v>
      </c>
      <c r="I61" s="113">
        <f>I50</f>
      </c>
      <c r="J61" s="113">
        <f>J50&amp;"     "</f>
      </c>
      <c r="K61" s="113" t="s">
        <v>81</v>
      </c>
      <c r="L61" s="113">
        <f>L50</f>
      </c>
      <c r="M61" s="113">
        <f>M50</f>
      </c>
      <c r="N61" s="113">
        <f>N50</f>
      </c>
      <c r="O61" s="113">
        <f>O50</f>
      </c>
      <c r="P61" s="113">
        <f>P50</f>
      </c>
      <c r="Q61" s="113">
        <f>Q50</f>
      </c>
      <c r="R61" s="113">
        <f>R50</f>
      </c>
      <c r="S61" s="113">
        <f>S50</f>
      </c>
      <c r="T61" s="113">
        <f>T50</f>
      </c>
      <c r="U61" s="113">
        <f>U50</f>
      </c>
      <c r="V61" s="113">
        <f>V50&amp;"     "</f>
      </c>
      <c r="W61" s="113">
        <f>W50&amp;"     "</f>
      </c>
      <c r="X61" s="113">
        <f>X50</f>
      </c>
      <c r="Y61" s="113" t="s">
        <v>300</v>
      </c>
    </row>
    <row r="62" ht="50.0" customHeight="true">
      <c r="A62" s="113" t="s">
        <v>22</v>
      </c>
      <c r="B62" s="113" t="s">
        <v>298</v>
      </c>
      <c r="C62" s="113" t="s">
        <v>335</v>
      </c>
      <c r="D62" s="113" t="s">
        <v>335</v>
      </c>
      <c r="E62" s="114" t="s">
        <v>336</v>
      </c>
      <c r="F62" s="116">
        <f>"     "&amp;F50</f>
      </c>
      <c r="G62" s="113" t="s">
        <v>337</v>
      </c>
      <c r="H62" s="113" t="s">
        <v>103</v>
      </c>
      <c r="I62" s="113">
        <f>I50</f>
      </c>
      <c r="J62" s="113">
        <f>J50&amp;"     "</f>
      </c>
      <c r="K62" s="113" t="s">
        <v>81</v>
      </c>
      <c r="L62" s="113">
        <f>L50</f>
      </c>
      <c r="M62" s="113">
        <f>M50</f>
      </c>
      <c r="N62" s="113">
        <f>N50</f>
      </c>
      <c r="O62" s="113">
        <f>O50</f>
      </c>
      <c r="P62" s="113">
        <f>P50</f>
      </c>
      <c r="Q62" s="113">
        <f>Q50</f>
      </c>
      <c r="R62" s="113">
        <f>R50</f>
      </c>
      <c r="S62" s="113">
        <f>S50</f>
      </c>
      <c r="T62" s="113">
        <f>T50</f>
      </c>
      <c r="U62" s="113">
        <f>U50</f>
      </c>
      <c r="V62" s="113">
        <f>V50&amp;"     "</f>
      </c>
      <c r="W62" s="113">
        <f>W50&amp;"     "</f>
      </c>
      <c r="X62" s="113">
        <f>X50</f>
      </c>
      <c r="Y62" s="113" t="s">
        <v>300</v>
      </c>
    </row>
    <row r="63" ht="50.0" customHeight="true">
      <c r="A63" s="113" t="s">
        <v>338</v>
      </c>
      <c r="B63" s="113" t="s">
        <v>339</v>
      </c>
      <c r="C63" s="113" t="s">
        <v>340</v>
      </c>
      <c r="D63" s="113"/>
      <c r="E63" s="114" t="s">
        <v>341</v>
      </c>
      <c r="F63" s="113" t="s">
        <v>342</v>
      </c>
      <c r="G63" s="113" t="s">
        <v>342</v>
      </c>
      <c r="H63" s="113" t="s">
        <v>173</v>
      </c>
      <c r="I63" s="115" t="n">
        <v>77.09</v>
      </c>
      <c r="J63" s="115" t="s">
        <v>80</v>
      </c>
      <c r="K63" s="115" t="s">
        <v>81</v>
      </c>
      <c r="L63" s="115" t="n">
        <v>55.13</v>
      </c>
      <c r="M63" s="115" t="n">
        <v>3.0</v>
      </c>
      <c r="N63" s="115"/>
      <c r="O63" s="115"/>
      <c r="P63" s="115"/>
      <c r="Q63" s="115"/>
      <c r="R63" s="115"/>
      <c r="S63" s="115"/>
      <c r="T63" s="115"/>
      <c r="U63" s="115"/>
      <c r="V63" s="115" t="s">
        <v>91</v>
      </c>
      <c r="W63" s="115" t="s">
        <v>92</v>
      </c>
      <c r="X63" s="113">
        <f>IF(INDIRECT("W63")="Clássico","12%",IF(INDIRECT("W63")="Premium","17%","-"))</f>
      </c>
      <c r="Y63" s="113" t="s">
        <v>343</v>
      </c>
    </row>
    <row r="64" ht="50.0" customHeight="true">
      <c r="A64" s="113" t="s">
        <v>344</v>
      </c>
      <c r="B64" s="113" t="s">
        <v>345</v>
      </c>
      <c r="C64" s="113" t="s">
        <v>346</v>
      </c>
      <c r="D64" s="113"/>
      <c r="E64" s="114" t="s">
        <v>243</v>
      </c>
      <c r="F64" s="113" t="s">
        <v>347</v>
      </c>
      <c r="G64" s="113" t="s">
        <v>347</v>
      </c>
      <c r="H64" s="113" t="s">
        <v>173</v>
      </c>
      <c r="I64" s="115" t="n">
        <v>61.53</v>
      </c>
      <c r="J64" s="115" t="s">
        <v>80</v>
      </c>
      <c r="K64" s="115" t="s">
        <v>81</v>
      </c>
      <c r="L64" s="115" t="n">
        <v>54.48</v>
      </c>
      <c r="M64" s="115" t="n">
        <v>3.0</v>
      </c>
      <c r="N64" s="115"/>
      <c r="O64" s="115"/>
      <c r="P64" s="115"/>
      <c r="Q64" s="115"/>
      <c r="R64" s="115"/>
      <c r="S64" s="115"/>
      <c r="T64" s="115"/>
      <c r="U64" s="115"/>
      <c r="V64" s="115" t="s">
        <v>91</v>
      </c>
      <c r="W64" s="115" t="s">
        <v>92</v>
      </c>
      <c r="X64" s="113">
        <f>IF(INDIRECT("W64")="Clássico","12%",IF(INDIRECT("W64")="Premium","17%","-"))</f>
      </c>
      <c r="Y64" s="113" t="s">
        <v>245</v>
      </c>
    </row>
    <row r="65" ht="50.0" customHeight="true">
      <c r="A65" s="113" t="s">
        <v>348</v>
      </c>
      <c r="B65" s="113" t="s">
        <v>349</v>
      </c>
      <c r="C65" s="113" t="s">
        <v>350</v>
      </c>
      <c r="D65" s="113"/>
      <c r="E65" s="114" t="s">
        <v>177</v>
      </c>
      <c r="F65" s="113" t="s">
        <v>351</v>
      </c>
      <c r="G65" s="113" t="s">
        <v>351</v>
      </c>
      <c r="H65" s="113" t="s">
        <v>157</v>
      </c>
      <c r="I65" s="115" t="n">
        <v>73.9</v>
      </c>
      <c r="J65" s="115" t="s">
        <v>80</v>
      </c>
      <c r="K65" s="115" t="s">
        <v>81</v>
      </c>
      <c r="L65" s="115" t="n">
        <v>67.99</v>
      </c>
      <c r="M65" s="115" t="n">
        <v>3.0</v>
      </c>
      <c r="N65" s="115"/>
      <c r="O65" s="115"/>
      <c r="P65" s="115"/>
      <c r="Q65" s="115"/>
      <c r="R65" s="115"/>
      <c r="S65" s="115"/>
      <c r="T65" s="115"/>
      <c r="U65" s="115"/>
      <c r="V65" s="115" t="s">
        <v>91</v>
      </c>
      <c r="W65" s="115" t="s">
        <v>92</v>
      </c>
      <c r="X65" s="113">
        <f>IF(INDIRECT("W65")="Clássico","12%",IF(INDIRECT("W65")="Premium","17%","-"))</f>
      </c>
      <c r="Y65" s="113" t="s">
        <v>100</v>
      </c>
    </row>
    <row r="66" ht="50.0" customHeight="true">
      <c r="A66" s="113" t="s">
        <v>352</v>
      </c>
      <c r="B66" s="113" t="s">
        <v>353</v>
      </c>
      <c r="C66" s="113" t="s">
        <v>354</v>
      </c>
      <c r="D66" s="113"/>
      <c r="E66" s="114" t="s">
        <v>285</v>
      </c>
      <c r="F66" s="113" t="s">
        <v>355</v>
      </c>
      <c r="G66" s="113" t="s">
        <v>355</v>
      </c>
      <c r="H66" s="113" t="s">
        <v>356</v>
      </c>
      <c r="I66" s="115" t="n">
        <v>137.85</v>
      </c>
      <c r="J66" s="115" t="s">
        <v>80</v>
      </c>
      <c r="K66" s="115" t="s">
        <v>81</v>
      </c>
      <c r="L66" s="115" t="n">
        <v>137.91</v>
      </c>
      <c r="M66" s="115" t="n">
        <v>3.0</v>
      </c>
      <c r="N66" s="115"/>
      <c r="O66" s="115"/>
      <c r="P66" s="115"/>
      <c r="Q66" s="115"/>
      <c r="R66" s="115"/>
      <c r="S66" s="115"/>
      <c r="T66" s="115"/>
      <c r="U66" s="115"/>
      <c r="V66" s="115" t="s">
        <v>82</v>
      </c>
      <c r="W66" s="115" t="s">
        <v>92</v>
      </c>
      <c r="X66" s="113">
        <f>IF(INDIRECT("W66")="Clássico","12%",IF(INDIRECT("W66")="Premium","17%","-"))</f>
      </c>
      <c r="Y66" s="113" t="s">
        <v>287</v>
      </c>
    </row>
    <row r="67" ht="50.0" customHeight="true">
      <c r="A67" s="113" t="s">
        <v>357</v>
      </c>
      <c r="B67" s="113" t="s">
        <v>358</v>
      </c>
      <c r="C67" s="113" t="s">
        <v>359</v>
      </c>
      <c r="D67" s="113"/>
      <c r="E67" s="114" t="s">
        <v>141</v>
      </c>
      <c r="F67" s="113" t="s">
        <v>360</v>
      </c>
      <c r="G67" s="113" t="s">
        <v>360</v>
      </c>
      <c r="H67" s="113" t="s">
        <v>361</v>
      </c>
      <c r="I67" s="115" t="n">
        <v>91.01</v>
      </c>
      <c r="J67" s="115" t="s">
        <v>80</v>
      </c>
      <c r="K67" s="115" t="s">
        <v>81</v>
      </c>
      <c r="L67" s="115" t="n">
        <v>79.68</v>
      </c>
      <c r="M67" s="115" t="n">
        <v>3.0</v>
      </c>
      <c r="N67" s="115"/>
      <c r="O67" s="115"/>
      <c r="P67" s="115"/>
      <c r="Q67" s="115"/>
      <c r="R67" s="115"/>
      <c r="S67" s="115"/>
      <c r="T67" s="115"/>
      <c r="U67" s="115"/>
      <c r="V67" s="115" t="s">
        <v>91</v>
      </c>
      <c r="W67" s="115" t="s">
        <v>83</v>
      </c>
      <c r="X67" s="113">
        <f>IF(INDIRECT("W67")="Clássico","12%",IF(INDIRECT("W67")="Premium","17%","-"))</f>
      </c>
      <c r="Y67" s="113" t="s">
        <v>144</v>
      </c>
    </row>
    <row r="68" ht="50.0" customHeight="true">
      <c r="A68" s="113" t="s">
        <v>362</v>
      </c>
      <c r="B68" s="113" t="s">
        <v>363</v>
      </c>
      <c r="C68" s="113" t="s">
        <v>364</v>
      </c>
      <c r="D68" s="113"/>
      <c r="E68" s="114" t="s">
        <v>365</v>
      </c>
      <c r="F68" s="113" t="s">
        <v>366</v>
      </c>
      <c r="G68" s="113" t="s">
        <v>127</v>
      </c>
      <c r="H68" s="113" t="s">
        <v>103</v>
      </c>
      <c r="I68" s="115" t="n">
        <v>692.29</v>
      </c>
      <c r="J68" s="115" t="s">
        <v>80</v>
      </c>
      <c r="K68" s="115" t="s">
        <v>81</v>
      </c>
      <c r="L68" s="115" t="n">
        <v>515.13</v>
      </c>
      <c r="M68" s="115" t="n">
        <v>3.0</v>
      </c>
      <c r="N68" s="115"/>
      <c r="O68" s="115"/>
      <c r="P68" s="115"/>
      <c r="Q68" s="115"/>
      <c r="R68" s="115"/>
      <c r="S68" s="115"/>
      <c r="T68" s="115"/>
      <c r="U68" s="115"/>
      <c r="V68" s="115" t="s">
        <v>82</v>
      </c>
      <c r="W68" s="115" t="s">
        <v>83</v>
      </c>
      <c r="X68" s="113">
        <f>IF(INDIRECT("W68")="Clássico","12%",IF(INDIRECT("W68")="Premium","17%","-"))</f>
      </c>
      <c r="Y68" s="113" t="s">
        <v>367</v>
      </c>
    </row>
    <row r="69" ht="50.0" customHeight="true">
      <c r="A69" s="113" t="s">
        <v>22</v>
      </c>
      <c r="B69" s="113" t="s">
        <v>368</v>
      </c>
      <c r="C69" s="113"/>
      <c r="D69" s="113"/>
      <c r="E69" s="113" t="s">
        <v>22</v>
      </c>
      <c r="F69" s="113" t="s">
        <v>369</v>
      </c>
      <c r="G69" s="113" t="s">
        <v>103</v>
      </c>
      <c r="H69" s="113" t="s">
        <v>115</v>
      </c>
      <c r="I69" s="115" t="n">
        <v>455.58</v>
      </c>
      <c r="J69" s="115" t="s">
        <v>80</v>
      </c>
      <c r="K69" s="113" t="s">
        <v>81</v>
      </c>
      <c r="L69" s="115" t="n">
        <v>457.02</v>
      </c>
      <c r="M69" s="115" t="n">
        <v>3.0</v>
      </c>
      <c r="N69" s="115"/>
      <c r="O69" s="115"/>
      <c r="P69" s="115"/>
      <c r="Q69" s="115"/>
      <c r="R69" s="115"/>
      <c r="S69" s="115"/>
      <c r="T69" s="115"/>
      <c r="U69" s="115"/>
      <c r="V69" s="115" t="s">
        <v>82</v>
      </c>
      <c r="W69" s="115" t="s">
        <v>92</v>
      </c>
      <c r="X69" s="113">
        <f>IF(INDIRECT("W69")="Clássico","12%",IF(INDIRECT("W69")="Premium","17%","-"))</f>
      </c>
      <c r="Y69" s="113" t="s">
        <v>300</v>
      </c>
    </row>
    <row r="70" ht="50.0" customHeight="true">
      <c r="A70" s="113" t="s">
        <v>22</v>
      </c>
      <c r="B70" s="113" t="s">
        <v>368</v>
      </c>
      <c r="C70" s="113" t="s">
        <v>370</v>
      </c>
      <c r="D70" s="113" t="s">
        <v>370</v>
      </c>
      <c r="E70" s="114" t="s">
        <v>312</v>
      </c>
      <c r="F70" s="116">
        <f>"     "&amp;F69</f>
      </c>
      <c r="G70" s="113" t="s">
        <v>313</v>
      </c>
      <c r="H70" s="113" t="s">
        <v>304</v>
      </c>
      <c r="I70" s="113">
        <f>I69</f>
      </c>
      <c r="J70" s="113">
        <f>J69&amp;"     "</f>
      </c>
      <c r="K70" s="113" t="s">
        <v>81</v>
      </c>
      <c r="L70" s="113">
        <f>L69</f>
      </c>
      <c r="M70" s="113">
        <f>M69</f>
      </c>
      <c r="N70" s="113">
        <f>N69</f>
      </c>
      <c r="O70" s="113">
        <f>O69</f>
      </c>
      <c r="P70" s="113">
        <f>P69</f>
      </c>
      <c r="Q70" s="113">
        <f>Q69</f>
      </c>
      <c r="R70" s="113">
        <f>R69</f>
      </c>
      <c r="S70" s="113">
        <f>S69</f>
      </c>
      <c r="T70" s="113">
        <f>T69</f>
      </c>
      <c r="U70" s="113">
        <f>U69</f>
      </c>
      <c r="V70" s="113">
        <f>V69&amp;"     "</f>
      </c>
      <c r="W70" s="113">
        <f>W69&amp;"     "</f>
      </c>
      <c r="X70" s="113">
        <f>X69</f>
      </c>
      <c r="Y70" s="113" t="s">
        <v>300</v>
      </c>
    </row>
    <row r="71" ht="50.0" customHeight="true">
      <c r="A71" s="113" t="s">
        <v>22</v>
      </c>
      <c r="B71" s="113" t="s">
        <v>368</v>
      </c>
      <c r="C71" s="113" t="s">
        <v>371</v>
      </c>
      <c r="D71" s="113" t="s">
        <v>371</v>
      </c>
      <c r="E71" s="114" t="s">
        <v>318</v>
      </c>
      <c r="F71" s="116">
        <f>"     "&amp;F69</f>
      </c>
      <c r="G71" s="113" t="s">
        <v>319</v>
      </c>
      <c r="H71" s="113" t="s">
        <v>103</v>
      </c>
      <c r="I71" s="113">
        <f>I69</f>
      </c>
      <c r="J71" s="113">
        <f>J69&amp;"     "</f>
      </c>
      <c r="K71" s="113" t="s">
        <v>81</v>
      </c>
      <c r="L71" s="113">
        <f>L69</f>
      </c>
      <c r="M71" s="113">
        <f>M69</f>
      </c>
      <c r="N71" s="113">
        <f>N69</f>
      </c>
      <c r="O71" s="113">
        <f>O69</f>
      </c>
      <c r="P71" s="113">
        <f>P69</f>
      </c>
      <c r="Q71" s="113">
        <f>Q69</f>
      </c>
      <c r="R71" s="113">
        <f>R69</f>
      </c>
      <c r="S71" s="113">
        <f>S69</f>
      </c>
      <c r="T71" s="113">
        <f>T69</f>
      </c>
      <c r="U71" s="113">
        <f>U69</f>
      </c>
      <c r="V71" s="113">
        <f>V69&amp;"     "</f>
      </c>
      <c r="W71" s="113">
        <f>W69&amp;"     "</f>
      </c>
      <c r="X71" s="113">
        <f>X69</f>
      </c>
      <c r="Y71" s="113" t="s">
        <v>300</v>
      </c>
    </row>
    <row r="72" ht="50.0" customHeight="true">
      <c r="A72" s="113" t="s">
        <v>22</v>
      </c>
      <c r="B72" s="113" t="s">
        <v>368</v>
      </c>
      <c r="C72" s="113" t="s">
        <v>372</v>
      </c>
      <c r="D72" s="113" t="s">
        <v>372</v>
      </c>
      <c r="E72" s="114" t="s">
        <v>306</v>
      </c>
      <c r="F72" s="116">
        <f>"     "&amp;F69</f>
      </c>
      <c r="G72" s="113" t="s">
        <v>307</v>
      </c>
      <c r="H72" s="113" t="s">
        <v>103</v>
      </c>
      <c r="I72" s="113">
        <f>I69</f>
      </c>
      <c r="J72" s="113">
        <f>J69&amp;"     "</f>
      </c>
      <c r="K72" s="113" t="s">
        <v>81</v>
      </c>
      <c r="L72" s="113">
        <f>L69</f>
      </c>
      <c r="M72" s="113">
        <f>M69</f>
      </c>
      <c r="N72" s="113">
        <f>N69</f>
      </c>
      <c r="O72" s="113">
        <f>O69</f>
      </c>
      <c r="P72" s="113">
        <f>P69</f>
      </c>
      <c r="Q72" s="113">
        <f>Q69</f>
      </c>
      <c r="R72" s="113">
        <f>R69</f>
      </c>
      <c r="S72" s="113">
        <f>S69</f>
      </c>
      <c r="T72" s="113">
        <f>T69</f>
      </c>
      <c r="U72" s="113">
        <f>U69</f>
      </c>
      <c r="V72" s="113">
        <f>V69&amp;"     "</f>
      </c>
      <c r="W72" s="113">
        <f>W69&amp;"     "</f>
      </c>
      <c r="X72" s="113">
        <f>X69</f>
      </c>
      <c r="Y72" s="113" t="s">
        <v>300</v>
      </c>
    </row>
    <row r="73" ht="50.0" customHeight="true">
      <c r="A73" s="113" t="s">
        <v>22</v>
      </c>
      <c r="B73" s="113" t="s">
        <v>368</v>
      </c>
      <c r="C73" s="113" t="s">
        <v>373</v>
      </c>
      <c r="D73" s="113" t="s">
        <v>373</v>
      </c>
      <c r="E73" s="114" t="s">
        <v>321</v>
      </c>
      <c r="F73" s="116">
        <f>"     "&amp;F69</f>
      </c>
      <c r="G73" s="113" t="s">
        <v>322</v>
      </c>
      <c r="H73" s="113" t="s">
        <v>143</v>
      </c>
      <c r="I73" s="113">
        <f>I69</f>
      </c>
      <c r="J73" s="113">
        <f>J69&amp;"     "</f>
      </c>
      <c r="K73" s="113" t="s">
        <v>81</v>
      </c>
      <c r="L73" s="113">
        <f>L69</f>
      </c>
      <c r="M73" s="113">
        <f>M69</f>
      </c>
      <c r="N73" s="113">
        <f>N69</f>
      </c>
      <c r="O73" s="113">
        <f>O69</f>
      </c>
      <c r="P73" s="113">
        <f>P69</f>
      </c>
      <c r="Q73" s="113">
        <f>Q69</f>
      </c>
      <c r="R73" s="113">
        <f>R69</f>
      </c>
      <c r="S73" s="113">
        <f>S69</f>
      </c>
      <c r="T73" s="113">
        <f>T69</f>
      </c>
      <c r="U73" s="113">
        <f>U69</f>
      </c>
      <c r="V73" s="113">
        <f>V69&amp;"     "</f>
      </c>
      <c r="W73" s="113">
        <f>W69&amp;"     "</f>
      </c>
      <c r="X73" s="113">
        <f>X69</f>
      </c>
      <c r="Y73" s="113" t="s">
        <v>300</v>
      </c>
    </row>
    <row r="74" ht="50.0" customHeight="true">
      <c r="A74" s="113" t="s">
        <v>22</v>
      </c>
      <c r="B74" s="113" t="s">
        <v>368</v>
      </c>
      <c r="C74" s="113" t="s">
        <v>374</v>
      </c>
      <c r="D74" s="113" t="s">
        <v>374</v>
      </c>
      <c r="E74" s="114" t="s">
        <v>309</v>
      </c>
      <c r="F74" s="116">
        <f>"     "&amp;F69</f>
      </c>
      <c r="G74" s="113" t="s">
        <v>375</v>
      </c>
      <c r="H74" s="113" t="s">
        <v>103</v>
      </c>
      <c r="I74" s="113">
        <f>I69</f>
      </c>
      <c r="J74" s="113">
        <f>J69&amp;"     "</f>
      </c>
      <c r="K74" s="113" t="s">
        <v>81</v>
      </c>
      <c r="L74" s="113">
        <f>L69</f>
      </c>
      <c r="M74" s="113">
        <f>M69</f>
      </c>
      <c r="N74" s="113">
        <f>N69</f>
      </c>
      <c r="O74" s="113">
        <f>O69</f>
      </c>
      <c r="P74" s="113">
        <f>P69</f>
      </c>
      <c r="Q74" s="113">
        <f>Q69</f>
      </c>
      <c r="R74" s="113">
        <f>R69</f>
      </c>
      <c r="S74" s="113">
        <f>S69</f>
      </c>
      <c r="T74" s="113">
        <f>T69</f>
      </c>
      <c r="U74" s="113">
        <f>U69</f>
      </c>
      <c r="V74" s="113">
        <f>V69&amp;"     "</f>
      </c>
      <c r="W74" s="113">
        <f>W69&amp;"     "</f>
      </c>
      <c r="X74" s="113">
        <f>X69</f>
      </c>
      <c r="Y74" s="113" t="s">
        <v>300</v>
      </c>
    </row>
    <row r="75" ht="50.0" customHeight="true">
      <c r="A75" s="113" t="s">
        <v>22</v>
      </c>
      <c r="B75" s="113" t="s">
        <v>368</v>
      </c>
      <c r="C75" s="113" t="s">
        <v>376</v>
      </c>
      <c r="D75" s="113" t="s">
        <v>376</v>
      </c>
      <c r="E75" s="114" t="s">
        <v>315</v>
      </c>
      <c r="F75" s="116">
        <f>"     "&amp;F69</f>
      </c>
      <c r="G75" s="113" t="s">
        <v>377</v>
      </c>
      <c r="H75" s="113" t="s">
        <v>103</v>
      </c>
      <c r="I75" s="113">
        <f>I69</f>
      </c>
      <c r="J75" s="113">
        <f>J69&amp;"     "</f>
      </c>
      <c r="K75" s="113" t="s">
        <v>81</v>
      </c>
      <c r="L75" s="113">
        <f>L69</f>
      </c>
      <c r="M75" s="113">
        <f>M69</f>
      </c>
      <c r="N75" s="113">
        <f>N69</f>
      </c>
      <c r="O75" s="113">
        <f>O69</f>
      </c>
      <c r="P75" s="113">
        <f>P69</f>
      </c>
      <c r="Q75" s="113">
        <f>Q69</f>
      </c>
      <c r="R75" s="113">
        <f>R69</f>
      </c>
      <c r="S75" s="113">
        <f>S69</f>
      </c>
      <c r="T75" s="113">
        <f>T69</f>
      </c>
      <c r="U75" s="113">
        <f>U69</f>
      </c>
      <c r="V75" s="113">
        <f>V69&amp;"     "</f>
      </c>
      <c r="W75" s="113">
        <f>W69&amp;"     "</f>
      </c>
      <c r="X75" s="113">
        <f>X69</f>
      </c>
      <c r="Y75" s="113" t="s">
        <v>300</v>
      </c>
    </row>
    <row r="76" ht="50.0" customHeight="true">
      <c r="A76" s="113" t="s">
        <v>22</v>
      </c>
      <c r="B76" s="113" t="s">
        <v>368</v>
      </c>
      <c r="C76" s="113" t="s">
        <v>378</v>
      </c>
      <c r="D76" s="113" t="s">
        <v>378</v>
      </c>
      <c r="E76" s="114" t="s">
        <v>302</v>
      </c>
      <c r="F76" s="116">
        <f>"     "&amp;F69</f>
      </c>
      <c r="G76" s="113" t="s">
        <v>303</v>
      </c>
      <c r="H76" s="113" t="s">
        <v>103</v>
      </c>
      <c r="I76" s="113">
        <f>I69</f>
      </c>
      <c r="J76" s="113">
        <f>J69&amp;"     "</f>
      </c>
      <c r="K76" s="113" t="s">
        <v>81</v>
      </c>
      <c r="L76" s="113">
        <f>L69</f>
      </c>
      <c r="M76" s="113">
        <f>M69</f>
      </c>
      <c r="N76" s="113">
        <f>N69</f>
      </c>
      <c r="O76" s="113">
        <f>O69</f>
      </c>
      <c r="P76" s="113">
        <f>P69</f>
      </c>
      <c r="Q76" s="113">
        <f>Q69</f>
      </c>
      <c r="R76" s="113">
        <f>R69</f>
      </c>
      <c r="S76" s="113">
        <f>S69</f>
      </c>
      <c r="T76" s="113">
        <f>T69</f>
      </c>
      <c r="U76" s="113">
        <f>U69</f>
      </c>
      <c r="V76" s="113">
        <f>V69&amp;"     "</f>
      </c>
      <c r="W76" s="113">
        <f>W69&amp;"     "</f>
      </c>
      <c r="X76" s="113">
        <f>X69</f>
      </c>
      <c r="Y76" s="113" t="s">
        <v>300</v>
      </c>
    </row>
    <row r="77" ht="50.0" customHeight="true">
      <c r="A77" s="113" t="s">
        <v>22</v>
      </c>
      <c r="B77" s="113" t="s">
        <v>368</v>
      </c>
      <c r="C77" s="113" t="s">
        <v>379</v>
      </c>
      <c r="D77" s="113" t="s">
        <v>379</v>
      </c>
      <c r="E77" s="114" t="s">
        <v>324</v>
      </c>
      <c r="F77" s="116">
        <f>"     "&amp;F69</f>
      </c>
      <c r="G77" s="113" t="s">
        <v>325</v>
      </c>
      <c r="H77" s="113" t="s">
        <v>103</v>
      </c>
      <c r="I77" s="113">
        <f>I69</f>
      </c>
      <c r="J77" s="113">
        <f>J69&amp;"     "</f>
      </c>
      <c r="K77" s="113" t="s">
        <v>81</v>
      </c>
      <c r="L77" s="113">
        <f>L69</f>
      </c>
      <c r="M77" s="113">
        <f>M69</f>
      </c>
      <c r="N77" s="113">
        <f>N69</f>
      </c>
      <c r="O77" s="113">
        <f>O69</f>
      </c>
      <c r="P77" s="113">
        <f>P69</f>
      </c>
      <c r="Q77" s="113">
        <f>Q69</f>
      </c>
      <c r="R77" s="113">
        <f>R69</f>
      </c>
      <c r="S77" s="113">
        <f>S69</f>
      </c>
      <c r="T77" s="113">
        <f>T69</f>
      </c>
      <c r="U77" s="113">
        <f>U69</f>
      </c>
      <c r="V77" s="113">
        <f>V69&amp;"     "</f>
      </c>
      <c r="W77" s="113">
        <f>W69&amp;"     "</f>
      </c>
      <c r="X77" s="113">
        <f>X69</f>
      </c>
      <c r="Y77" s="113" t="s">
        <v>300</v>
      </c>
    </row>
    <row r="78" ht="50.0" customHeight="true">
      <c r="A78" s="113" t="s">
        <v>22</v>
      </c>
      <c r="B78" s="113" t="s">
        <v>368</v>
      </c>
      <c r="C78" s="113" t="s">
        <v>380</v>
      </c>
      <c r="D78" s="113" t="s">
        <v>380</v>
      </c>
      <c r="E78" s="114" t="s">
        <v>327</v>
      </c>
      <c r="F78" s="116">
        <f>"     "&amp;F69</f>
      </c>
      <c r="G78" s="113" t="s">
        <v>328</v>
      </c>
      <c r="H78" s="113" t="s">
        <v>103</v>
      </c>
      <c r="I78" s="113">
        <f>I69</f>
      </c>
      <c r="J78" s="113">
        <f>J69&amp;"     "</f>
      </c>
      <c r="K78" s="113" t="s">
        <v>81</v>
      </c>
      <c r="L78" s="113">
        <f>L69</f>
      </c>
      <c r="M78" s="113">
        <f>M69</f>
      </c>
      <c r="N78" s="113">
        <f>N69</f>
      </c>
      <c r="O78" s="113">
        <f>O69</f>
      </c>
      <c r="P78" s="113">
        <f>P69</f>
      </c>
      <c r="Q78" s="113">
        <f>Q69</f>
      </c>
      <c r="R78" s="113">
        <f>R69</f>
      </c>
      <c r="S78" s="113">
        <f>S69</f>
      </c>
      <c r="T78" s="113">
        <f>T69</f>
      </c>
      <c r="U78" s="113">
        <f>U69</f>
      </c>
      <c r="V78" s="113">
        <f>V69&amp;"     "</f>
      </c>
      <c r="W78" s="113">
        <f>W69&amp;"     "</f>
      </c>
      <c r="X78" s="113">
        <f>X69</f>
      </c>
      <c r="Y78" s="113" t="s">
        <v>300</v>
      </c>
    </row>
    <row r="79" ht="50.0" customHeight="true">
      <c r="A79" s="113" t="s">
        <v>22</v>
      </c>
      <c r="B79" s="113" t="s">
        <v>368</v>
      </c>
      <c r="C79" s="113" t="s">
        <v>381</v>
      </c>
      <c r="D79" s="113" t="s">
        <v>381</v>
      </c>
      <c r="E79" s="114" t="s">
        <v>330</v>
      </c>
      <c r="F79" s="116">
        <f>"     "&amp;F69</f>
      </c>
      <c r="G79" s="113" t="s">
        <v>331</v>
      </c>
      <c r="H79" s="113" t="s">
        <v>103</v>
      </c>
      <c r="I79" s="113">
        <f>I69</f>
      </c>
      <c r="J79" s="113">
        <f>J69&amp;"     "</f>
      </c>
      <c r="K79" s="113" t="s">
        <v>81</v>
      </c>
      <c r="L79" s="113">
        <f>L69</f>
      </c>
      <c r="M79" s="113">
        <f>M69</f>
      </c>
      <c r="N79" s="113">
        <f>N69</f>
      </c>
      <c r="O79" s="113">
        <f>O69</f>
      </c>
      <c r="P79" s="113">
        <f>P69</f>
      </c>
      <c r="Q79" s="113">
        <f>Q69</f>
      </c>
      <c r="R79" s="113">
        <f>R69</f>
      </c>
      <c r="S79" s="113">
        <f>S69</f>
      </c>
      <c r="T79" s="113">
        <f>T69</f>
      </c>
      <c r="U79" s="113">
        <f>U69</f>
      </c>
      <c r="V79" s="113">
        <f>V69&amp;"     "</f>
      </c>
      <c r="W79" s="113">
        <f>W69&amp;"     "</f>
      </c>
      <c r="X79" s="113">
        <f>X69</f>
      </c>
      <c r="Y79" s="113" t="s">
        <v>300</v>
      </c>
    </row>
    <row r="80" ht="50.0" customHeight="true">
      <c r="A80" s="113" t="s">
        <v>22</v>
      </c>
      <c r="B80" s="113" t="s">
        <v>368</v>
      </c>
      <c r="C80" s="113" t="s">
        <v>382</v>
      </c>
      <c r="D80" s="113" t="s">
        <v>382</v>
      </c>
      <c r="E80" s="114" t="s">
        <v>333</v>
      </c>
      <c r="F80" s="116">
        <f>"     "&amp;F69</f>
      </c>
      <c r="G80" s="113" t="s">
        <v>334</v>
      </c>
      <c r="H80" s="113" t="s">
        <v>103</v>
      </c>
      <c r="I80" s="113">
        <f>I69</f>
      </c>
      <c r="J80" s="113">
        <f>J69&amp;"     "</f>
      </c>
      <c r="K80" s="113" t="s">
        <v>81</v>
      </c>
      <c r="L80" s="113">
        <f>L69</f>
      </c>
      <c r="M80" s="113">
        <f>M69</f>
      </c>
      <c r="N80" s="113">
        <f>N69</f>
      </c>
      <c r="O80" s="113">
        <f>O69</f>
      </c>
      <c r="P80" s="113">
        <f>P69</f>
      </c>
      <c r="Q80" s="113">
        <f>Q69</f>
      </c>
      <c r="R80" s="113">
        <f>R69</f>
      </c>
      <c r="S80" s="113">
        <f>S69</f>
      </c>
      <c r="T80" s="113">
        <f>T69</f>
      </c>
      <c r="U80" s="113">
        <f>U69</f>
      </c>
      <c r="V80" s="113">
        <f>V69&amp;"     "</f>
      </c>
      <c r="W80" s="113">
        <f>W69&amp;"     "</f>
      </c>
      <c r="X80" s="113">
        <f>X69</f>
      </c>
      <c r="Y80" s="113" t="s">
        <v>300</v>
      </c>
    </row>
    <row r="81" ht="50.0" customHeight="true">
      <c r="A81" s="113" t="s">
        <v>22</v>
      </c>
      <c r="B81" s="113" t="s">
        <v>368</v>
      </c>
      <c r="C81" s="113" t="s">
        <v>383</v>
      </c>
      <c r="D81" s="113" t="s">
        <v>383</v>
      </c>
      <c r="E81" s="114" t="s">
        <v>336</v>
      </c>
      <c r="F81" s="116">
        <f>"     "&amp;F69</f>
      </c>
      <c r="G81" s="113" t="s">
        <v>337</v>
      </c>
      <c r="H81" s="113" t="s">
        <v>103</v>
      </c>
      <c r="I81" s="113">
        <f>I69</f>
      </c>
      <c r="J81" s="113">
        <f>J69&amp;"     "</f>
      </c>
      <c r="K81" s="113" t="s">
        <v>81</v>
      </c>
      <c r="L81" s="113">
        <f>L69</f>
      </c>
      <c r="M81" s="113">
        <f>M69</f>
      </c>
      <c r="N81" s="113">
        <f>N69</f>
      </c>
      <c r="O81" s="113">
        <f>O69</f>
      </c>
      <c r="P81" s="113">
        <f>P69</f>
      </c>
      <c r="Q81" s="113">
        <f>Q69</f>
      </c>
      <c r="R81" s="113">
        <f>R69</f>
      </c>
      <c r="S81" s="113">
        <f>S69</f>
      </c>
      <c r="T81" s="113">
        <f>T69</f>
      </c>
      <c r="U81" s="113">
        <f>U69</f>
      </c>
      <c r="V81" s="113">
        <f>V69&amp;"     "</f>
      </c>
      <c r="W81" s="113">
        <f>W69&amp;"     "</f>
      </c>
      <c r="X81" s="113">
        <f>X69</f>
      </c>
      <c r="Y81" s="113" t="s">
        <v>300</v>
      </c>
    </row>
    <row r="82" ht="50.0" customHeight="true">
      <c r="A82" s="113" t="s">
        <v>267</v>
      </c>
      <c r="B82" s="113" t="s">
        <v>384</v>
      </c>
      <c r="C82" s="113" t="s">
        <v>385</v>
      </c>
      <c r="D82" s="113"/>
      <c r="E82" s="114" t="s">
        <v>270</v>
      </c>
      <c r="F82" s="113" t="s">
        <v>271</v>
      </c>
      <c r="G82" s="113" t="s">
        <v>271</v>
      </c>
      <c r="H82" s="113" t="s">
        <v>103</v>
      </c>
      <c r="I82" s="115" t="n">
        <v>120.13</v>
      </c>
      <c r="J82" s="115" t="s">
        <v>80</v>
      </c>
      <c r="K82" s="115" t="s">
        <v>81</v>
      </c>
      <c r="L82" s="115" t="n">
        <v>138.03</v>
      </c>
      <c r="M82" s="115" t="n">
        <v>3.0</v>
      </c>
      <c r="N82" s="115"/>
      <c r="O82" s="115"/>
      <c r="P82" s="115"/>
      <c r="Q82" s="115"/>
      <c r="R82" s="115"/>
      <c r="S82" s="115"/>
      <c r="T82" s="115"/>
      <c r="U82" s="115"/>
      <c r="V82" s="115" t="s">
        <v>82</v>
      </c>
      <c r="W82" s="115" t="s">
        <v>92</v>
      </c>
      <c r="X82" s="113">
        <f>IF(INDIRECT("W82")="Clássico","12%",IF(INDIRECT("W82")="Premium","17%","-"))</f>
      </c>
      <c r="Y82" s="113" t="s">
        <v>272</v>
      </c>
    </row>
    <row r="83" ht="50.0" customHeight="true">
      <c r="A83" s="113" t="s">
        <v>386</v>
      </c>
      <c r="B83" s="113" t="s">
        <v>387</v>
      </c>
      <c r="C83" s="113" t="s">
        <v>388</v>
      </c>
      <c r="D83" s="113"/>
      <c r="E83" s="114" t="s">
        <v>88</v>
      </c>
      <c r="F83" s="113" t="s">
        <v>389</v>
      </c>
      <c r="G83" s="113" t="s">
        <v>389</v>
      </c>
      <c r="H83" s="113" t="s">
        <v>103</v>
      </c>
      <c r="I83" s="115" t="n">
        <v>111.39</v>
      </c>
      <c r="J83" s="115" t="s">
        <v>80</v>
      </c>
      <c r="K83" s="115" t="s">
        <v>81</v>
      </c>
      <c r="L83" s="115" t="n">
        <v>136.65</v>
      </c>
      <c r="M83" s="115" t="n">
        <v>3.0</v>
      </c>
      <c r="N83" s="115"/>
      <c r="O83" s="115"/>
      <c r="P83" s="115"/>
      <c r="Q83" s="115"/>
      <c r="R83" s="115"/>
      <c r="S83" s="115"/>
      <c r="T83" s="115"/>
      <c r="U83" s="115"/>
      <c r="V83" s="115" t="s">
        <v>82</v>
      </c>
      <c r="W83" s="115" t="s">
        <v>92</v>
      </c>
      <c r="X83" s="113">
        <f>IF(INDIRECT("W83")="Clássico","12%",IF(INDIRECT("W83")="Premium","17%","-"))</f>
      </c>
      <c r="Y83" s="113" t="s">
        <v>93</v>
      </c>
    </row>
    <row r="84" ht="50.0" customHeight="true">
      <c r="A84" s="113" t="s">
        <v>273</v>
      </c>
      <c r="B84" s="113" t="s">
        <v>390</v>
      </c>
      <c r="C84" s="113" t="s">
        <v>391</v>
      </c>
      <c r="D84" s="113"/>
      <c r="E84" s="114" t="s">
        <v>77</v>
      </c>
      <c r="F84" s="113" t="s">
        <v>276</v>
      </c>
      <c r="G84" s="113" t="s">
        <v>276</v>
      </c>
      <c r="H84" s="113" t="s">
        <v>103</v>
      </c>
      <c r="I84" s="115" t="n">
        <v>115.06</v>
      </c>
      <c r="J84" s="115" t="s">
        <v>80</v>
      </c>
      <c r="K84" s="115" t="s">
        <v>81</v>
      </c>
      <c r="L84" s="115" t="n">
        <v>103.9</v>
      </c>
      <c r="M84" s="115" t="n">
        <v>3.0</v>
      </c>
      <c r="N84" s="115"/>
      <c r="O84" s="115"/>
      <c r="P84" s="115"/>
      <c r="Q84" s="115"/>
      <c r="R84" s="115"/>
      <c r="S84" s="115"/>
      <c r="T84" s="115"/>
      <c r="U84" s="115"/>
      <c r="V84" s="115" t="s">
        <v>82</v>
      </c>
      <c r="W84" s="115" t="s">
        <v>92</v>
      </c>
      <c r="X84" s="113">
        <f>IF(INDIRECT("W84")="Clássico","12%",IF(INDIRECT("W84")="Premium","17%","-"))</f>
      </c>
      <c r="Y84" s="113" t="s">
        <v>84</v>
      </c>
    </row>
    <row r="85" ht="50.0" customHeight="true">
      <c r="A85" s="113" t="s">
        <v>392</v>
      </c>
      <c r="B85" s="113" t="s">
        <v>393</v>
      </c>
      <c r="C85" s="113" t="s">
        <v>394</v>
      </c>
      <c r="D85" s="113"/>
      <c r="E85" s="114" t="s">
        <v>395</v>
      </c>
      <c r="F85" s="113" t="s">
        <v>396</v>
      </c>
      <c r="G85" s="113" t="s">
        <v>396</v>
      </c>
      <c r="H85" s="113" t="s">
        <v>103</v>
      </c>
      <c r="I85" s="115" t="n">
        <v>55.06</v>
      </c>
      <c r="J85" s="115" t="s">
        <v>80</v>
      </c>
      <c r="K85" s="115" t="s">
        <v>81</v>
      </c>
      <c r="L85" s="115" t="n">
        <v>164.5</v>
      </c>
      <c r="M85" s="115" t="n">
        <v>3.0</v>
      </c>
      <c r="N85" s="115"/>
      <c r="O85" s="115"/>
      <c r="P85" s="115"/>
      <c r="Q85" s="115"/>
      <c r="R85" s="115"/>
      <c r="S85" s="115"/>
      <c r="T85" s="115"/>
      <c r="U85" s="115"/>
      <c r="V85" s="115" t="s">
        <v>91</v>
      </c>
      <c r="W85" s="115" t="s">
        <v>92</v>
      </c>
      <c r="X85" s="113">
        <f>IF(INDIRECT("W85")="Clássico","12%",IF(INDIRECT("W85")="Premium","17%","-"))</f>
      </c>
      <c r="Y85" s="113" t="s">
        <v>397</v>
      </c>
    </row>
    <row r="86" ht="50.0" customHeight="true">
      <c r="A86" s="113" t="s">
        <v>22</v>
      </c>
      <c r="B86" s="113" t="s">
        <v>398</v>
      </c>
      <c r="C86" s="113"/>
      <c r="D86" s="113"/>
      <c r="E86" s="113" t="s">
        <v>130</v>
      </c>
      <c r="F86" s="113" t="s">
        <v>399</v>
      </c>
      <c r="G86" s="113" t="s">
        <v>103</v>
      </c>
      <c r="H86" s="113" t="s">
        <v>90</v>
      </c>
      <c r="I86" s="115" t="n">
        <v>132.79</v>
      </c>
      <c r="J86" s="115" t="s">
        <v>80</v>
      </c>
      <c r="K86" s="113" t="s">
        <v>81</v>
      </c>
      <c r="L86" s="115" t="n">
        <v>129.05</v>
      </c>
      <c r="M86" s="115" t="n">
        <v>3.0</v>
      </c>
      <c r="N86" s="115"/>
      <c r="O86" s="115"/>
      <c r="P86" s="115"/>
      <c r="Q86" s="115"/>
      <c r="R86" s="115"/>
      <c r="S86" s="115"/>
      <c r="T86" s="115"/>
      <c r="U86" s="115"/>
      <c r="V86" s="115" t="s">
        <v>82</v>
      </c>
      <c r="W86" s="115" t="s">
        <v>83</v>
      </c>
      <c r="X86" s="113">
        <f>IF(INDIRECT("W86")="Clássico","11.5%",IF(INDIRECT("W86")="Premium","16.5%","-"))</f>
      </c>
      <c r="Y86" s="113" t="s">
        <v>400</v>
      </c>
    </row>
    <row r="87" ht="50.0" customHeight="true">
      <c r="A87" s="113" t="s">
        <v>22</v>
      </c>
      <c r="B87" s="113" t="s">
        <v>398</v>
      </c>
      <c r="C87" s="113" t="s">
        <v>401</v>
      </c>
      <c r="D87" s="113" t="s">
        <v>401</v>
      </c>
      <c r="E87" s="114" t="s">
        <v>106</v>
      </c>
      <c r="F87" s="116">
        <f>"     "&amp;F86</f>
      </c>
      <c r="G87" s="113" t="s">
        <v>135</v>
      </c>
      <c r="H87" s="113" t="s">
        <v>90</v>
      </c>
      <c r="I87" s="113">
        <f>I86</f>
      </c>
      <c r="J87" s="113">
        <f>J86&amp;"     "</f>
      </c>
      <c r="K87" s="113" t="s">
        <v>81</v>
      </c>
      <c r="L87" s="113">
        <f>L86</f>
      </c>
      <c r="M87" s="113">
        <f>M86</f>
      </c>
      <c r="N87" s="113">
        <f>N86</f>
      </c>
      <c r="O87" s="113">
        <f>O86</f>
      </c>
      <c r="P87" s="113">
        <f>P86</f>
      </c>
      <c r="Q87" s="113">
        <f>Q86</f>
      </c>
      <c r="R87" s="113">
        <f>R86</f>
      </c>
      <c r="S87" s="113">
        <f>S86</f>
      </c>
      <c r="T87" s="113">
        <f>T86</f>
      </c>
      <c r="U87" s="113">
        <f>U86</f>
      </c>
      <c r="V87" s="113">
        <f>V86&amp;"     "</f>
      </c>
      <c r="W87" s="113">
        <f>W86&amp;"     "</f>
      </c>
      <c r="X87" s="113">
        <f>X86</f>
      </c>
      <c r="Y87" s="113" t="s">
        <v>400</v>
      </c>
    </row>
    <row r="88" ht="50.0" customHeight="true">
      <c r="A88" s="113" t="s">
        <v>22</v>
      </c>
      <c r="B88" s="113" t="s">
        <v>398</v>
      </c>
      <c r="C88" s="113" t="s">
        <v>402</v>
      </c>
      <c r="D88" s="113" t="s">
        <v>402</v>
      </c>
      <c r="E88" s="114" t="s">
        <v>109</v>
      </c>
      <c r="F88" s="116">
        <f>"     "&amp;F86</f>
      </c>
      <c r="G88" s="113" t="s">
        <v>137</v>
      </c>
      <c r="H88" s="113" t="s">
        <v>103</v>
      </c>
      <c r="I88" s="113">
        <f>I86</f>
      </c>
      <c r="J88" s="113">
        <f>J86&amp;"     "</f>
      </c>
      <c r="K88" s="113" t="s">
        <v>81</v>
      </c>
      <c r="L88" s="113">
        <f>L86</f>
      </c>
      <c r="M88" s="113">
        <f>M86</f>
      </c>
      <c r="N88" s="113">
        <f>N86</f>
      </c>
      <c r="O88" s="113">
        <f>O86</f>
      </c>
      <c r="P88" s="113">
        <f>P86</f>
      </c>
      <c r="Q88" s="113">
        <f>Q86</f>
      </c>
      <c r="R88" s="113">
        <f>R86</f>
      </c>
      <c r="S88" s="113">
        <f>S86</f>
      </c>
      <c r="T88" s="113">
        <f>T86</f>
      </c>
      <c r="U88" s="113">
        <f>U86</f>
      </c>
      <c r="V88" s="113">
        <f>V86&amp;"     "</f>
      </c>
      <c r="W88" s="113">
        <f>W86&amp;"     "</f>
      </c>
      <c r="X88" s="113">
        <f>X86</f>
      </c>
      <c r="Y88" s="113" t="s">
        <v>400</v>
      </c>
    </row>
    <row r="89" ht="50.0" customHeight="true">
      <c r="A89" s="113" t="s">
        <v>22</v>
      </c>
      <c r="B89" s="113" t="s">
        <v>403</v>
      </c>
      <c r="C89" s="113"/>
      <c r="D89" s="113"/>
      <c r="E89" s="113" t="s">
        <v>404</v>
      </c>
      <c r="F89" s="113" t="s">
        <v>405</v>
      </c>
      <c r="G89" s="113" t="s">
        <v>103</v>
      </c>
      <c r="H89" s="113" t="s">
        <v>103</v>
      </c>
      <c r="I89" s="115" t="n">
        <v>168.23</v>
      </c>
      <c r="J89" s="115" t="s">
        <v>80</v>
      </c>
      <c r="K89" s="113" t="s">
        <v>81</v>
      </c>
      <c r="L89" s="115" t="n">
        <v>163.23</v>
      </c>
      <c r="M89" s="115" t="n">
        <v>3.0</v>
      </c>
      <c r="N89" s="115"/>
      <c r="O89" s="115"/>
      <c r="P89" s="115"/>
      <c r="Q89" s="115"/>
      <c r="R89" s="115"/>
      <c r="S89" s="115"/>
      <c r="T89" s="115"/>
      <c r="U89" s="115"/>
      <c r="V89" s="115" t="s">
        <v>82</v>
      </c>
      <c r="W89" s="115" t="s">
        <v>92</v>
      </c>
      <c r="X89" s="113">
        <f>IF(INDIRECT("W89")="Clássico","11.5%",IF(INDIRECT("W89")="Premium","16.5%","-"))</f>
      </c>
      <c r="Y89" s="113" t="s">
        <v>400</v>
      </c>
    </row>
    <row r="90" ht="50.0" customHeight="true">
      <c r="A90" s="113" t="s">
        <v>22</v>
      </c>
      <c r="B90" s="113" t="s">
        <v>403</v>
      </c>
      <c r="C90" s="113" t="s">
        <v>406</v>
      </c>
      <c r="D90" s="113" t="s">
        <v>406</v>
      </c>
      <c r="E90" s="114" t="s">
        <v>106</v>
      </c>
      <c r="F90" s="116">
        <f>"     "&amp;F89</f>
      </c>
      <c r="G90" s="113" t="s">
        <v>135</v>
      </c>
      <c r="H90" s="113" t="s">
        <v>103</v>
      </c>
      <c r="I90" s="113">
        <f>I89</f>
      </c>
      <c r="J90" s="113">
        <f>J89&amp;"     "</f>
      </c>
      <c r="K90" s="113" t="s">
        <v>81</v>
      </c>
      <c r="L90" s="113">
        <f>L89</f>
      </c>
      <c r="M90" s="113">
        <f>M89</f>
      </c>
      <c r="N90" s="113">
        <f>N89</f>
      </c>
      <c r="O90" s="113">
        <f>O89</f>
      </c>
      <c r="P90" s="113">
        <f>P89</f>
      </c>
      <c r="Q90" s="113">
        <f>Q89</f>
      </c>
      <c r="R90" s="113">
        <f>R89</f>
      </c>
      <c r="S90" s="113">
        <f>S89</f>
      </c>
      <c r="T90" s="113">
        <f>T89</f>
      </c>
      <c r="U90" s="113">
        <f>U89</f>
      </c>
      <c r="V90" s="113">
        <f>V89&amp;"     "</f>
      </c>
      <c r="W90" s="113">
        <f>W89&amp;"     "</f>
      </c>
      <c r="X90" s="113">
        <f>X89</f>
      </c>
      <c r="Y90" s="113" t="s">
        <v>400</v>
      </c>
    </row>
    <row r="91" ht="50.0" customHeight="true">
      <c r="A91" s="113" t="s">
        <v>22</v>
      </c>
      <c r="B91" s="113" t="s">
        <v>403</v>
      </c>
      <c r="C91" s="113" t="s">
        <v>407</v>
      </c>
      <c r="D91" s="113" t="s">
        <v>407</v>
      </c>
      <c r="E91" s="114" t="s">
        <v>109</v>
      </c>
      <c r="F91" s="116">
        <f>"     "&amp;F89</f>
      </c>
      <c r="G91" s="113" t="s">
        <v>137</v>
      </c>
      <c r="H91" s="113" t="s">
        <v>103</v>
      </c>
      <c r="I91" s="113">
        <f>I89</f>
      </c>
      <c r="J91" s="113">
        <f>J89&amp;"     "</f>
      </c>
      <c r="K91" s="113" t="s">
        <v>81</v>
      </c>
      <c r="L91" s="113">
        <f>L89</f>
      </c>
      <c r="M91" s="113">
        <f>M89</f>
      </c>
      <c r="N91" s="113">
        <f>N89</f>
      </c>
      <c r="O91" s="113">
        <f>O89</f>
      </c>
      <c r="P91" s="113">
        <f>P89</f>
      </c>
      <c r="Q91" s="113">
        <f>Q89</f>
      </c>
      <c r="R91" s="113">
        <f>R89</f>
      </c>
      <c r="S91" s="113">
        <f>S89</f>
      </c>
      <c r="T91" s="113">
        <f>T89</f>
      </c>
      <c r="U91" s="113">
        <f>U89</f>
      </c>
      <c r="V91" s="113">
        <f>V89&amp;"     "</f>
      </c>
      <c r="W91" s="113">
        <f>W89&amp;"     "</f>
      </c>
      <c r="X91" s="113">
        <f>X89</f>
      </c>
      <c r="Y91" s="113" t="s">
        <v>400</v>
      </c>
    </row>
    <row r="92" ht="50.0" customHeight="true">
      <c r="A92" s="113" t="s">
        <v>408</v>
      </c>
      <c r="B92" s="113" t="s">
        <v>409</v>
      </c>
      <c r="C92" s="113" t="s">
        <v>410</v>
      </c>
      <c r="D92" s="113"/>
      <c r="E92" s="114" t="s">
        <v>411</v>
      </c>
      <c r="F92" s="113" t="s">
        <v>412</v>
      </c>
      <c r="G92" s="113" t="s">
        <v>413</v>
      </c>
      <c r="H92" s="113" t="s">
        <v>173</v>
      </c>
      <c r="I92" s="115" t="n">
        <v>332.9</v>
      </c>
      <c r="J92" s="115" t="s">
        <v>80</v>
      </c>
      <c r="K92" s="115" t="s">
        <v>81</v>
      </c>
      <c r="L92" s="115" t="n">
        <v>330.31</v>
      </c>
      <c r="M92" s="115" t="n">
        <v>3.0</v>
      </c>
      <c r="N92" s="115"/>
      <c r="O92" s="115"/>
      <c r="P92" s="115"/>
      <c r="Q92" s="115"/>
      <c r="R92" s="115"/>
      <c r="S92" s="115"/>
      <c r="T92" s="115"/>
      <c r="U92" s="115"/>
      <c r="V92" s="115" t="s">
        <v>82</v>
      </c>
      <c r="W92" s="115" t="s">
        <v>92</v>
      </c>
      <c r="X92" s="113">
        <f>IF(INDIRECT("W92")="Clássico","12%",IF(INDIRECT("W92")="Premium","17%","-"))</f>
      </c>
      <c r="Y92" s="113" t="s">
        <v>414</v>
      </c>
    </row>
    <row r="93" ht="50.0" customHeight="true">
      <c r="A93" s="113" t="s">
        <v>415</v>
      </c>
      <c r="B93" s="113" t="s">
        <v>416</v>
      </c>
      <c r="C93" s="113" t="s">
        <v>417</v>
      </c>
      <c r="D93" s="113"/>
      <c r="E93" s="114" t="s">
        <v>270</v>
      </c>
      <c r="F93" s="113" t="s">
        <v>418</v>
      </c>
      <c r="G93" s="113" t="s">
        <v>184</v>
      </c>
      <c r="H93" s="113" t="s">
        <v>103</v>
      </c>
      <c r="I93" s="115" t="n">
        <v>127.72</v>
      </c>
      <c r="J93" s="115" t="s">
        <v>80</v>
      </c>
      <c r="K93" s="115" t="s">
        <v>81</v>
      </c>
      <c r="L93" s="115" t="n">
        <v>161.96</v>
      </c>
      <c r="M93" s="115" t="n">
        <v>3.0</v>
      </c>
      <c r="N93" s="115"/>
      <c r="O93" s="115"/>
      <c r="P93" s="115"/>
      <c r="Q93" s="115"/>
      <c r="R93" s="115"/>
      <c r="S93" s="115"/>
      <c r="T93" s="115"/>
      <c r="U93" s="115"/>
      <c r="V93" s="115" t="s">
        <v>82</v>
      </c>
      <c r="W93" s="115" t="s">
        <v>83</v>
      </c>
      <c r="X93" s="113">
        <f>IF(INDIRECT("W93")="Clássico","12%",IF(INDIRECT("W93")="Premium","17%","-"))</f>
      </c>
      <c r="Y93" s="113" t="s">
        <v>367</v>
      </c>
    </row>
    <row r="94" ht="50.0" customHeight="true">
      <c r="A94" s="113" t="s">
        <v>419</v>
      </c>
      <c r="B94" s="113" t="s">
        <v>420</v>
      </c>
      <c r="C94" s="113" t="s">
        <v>421</v>
      </c>
      <c r="D94" s="113"/>
      <c r="E94" s="114" t="s">
        <v>280</v>
      </c>
      <c r="F94" s="113" t="s">
        <v>422</v>
      </c>
      <c r="G94" s="113" t="s">
        <v>127</v>
      </c>
      <c r="H94" s="113" t="s">
        <v>103</v>
      </c>
      <c r="I94" s="115" t="n">
        <v>310.9</v>
      </c>
      <c r="J94" s="115" t="s">
        <v>80</v>
      </c>
      <c r="K94" s="115" t="s">
        <v>81</v>
      </c>
      <c r="L94" s="115" t="n">
        <v>456.9</v>
      </c>
      <c r="M94" s="115" t="n">
        <v>3.0</v>
      </c>
      <c r="N94" s="115"/>
      <c r="O94" s="115"/>
      <c r="P94" s="115"/>
      <c r="Q94" s="115"/>
      <c r="R94" s="115"/>
      <c r="S94" s="115"/>
      <c r="T94" s="115"/>
      <c r="U94" s="115"/>
      <c r="V94" s="115" t="s">
        <v>82</v>
      </c>
      <c r="W94" s="115" t="s">
        <v>83</v>
      </c>
      <c r="X94" s="113">
        <f>IF(INDIRECT("W94")="Clássico","12%",IF(INDIRECT("W94")="Premium","17%","-"))</f>
      </c>
      <c r="Y94" s="113" t="s">
        <v>423</v>
      </c>
    </row>
    <row r="95" ht="50.0" customHeight="true">
      <c r="A95" s="113" t="s">
        <v>424</v>
      </c>
      <c r="B95" s="113" t="s">
        <v>425</v>
      </c>
      <c r="C95" s="113" t="s">
        <v>426</v>
      </c>
      <c r="D95" s="113"/>
      <c r="E95" s="114" t="s">
        <v>97</v>
      </c>
      <c r="F95" s="113" t="s">
        <v>427</v>
      </c>
      <c r="G95" s="113" t="s">
        <v>427</v>
      </c>
      <c r="H95" s="113" t="s">
        <v>103</v>
      </c>
      <c r="I95" s="115" t="n">
        <v>83.42</v>
      </c>
      <c r="J95" s="115" t="s">
        <v>80</v>
      </c>
      <c r="K95" s="115" t="s">
        <v>81</v>
      </c>
      <c r="L95" s="115" t="n">
        <v>80.95</v>
      </c>
      <c r="M95" s="115" t="n">
        <v>3.0</v>
      </c>
      <c r="N95" s="115"/>
      <c r="O95" s="115"/>
      <c r="P95" s="115"/>
      <c r="Q95" s="115"/>
      <c r="R95" s="115"/>
      <c r="S95" s="115"/>
      <c r="T95" s="115"/>
      <c r="U95" s="115"/>
      <c r="V95" s="115" t="s">
        <v>91</v>
      </c>
      <c r="W95" s="115" t="s">
        <v>83</v>
      </c>
      <c r="X95" s="113">
        <f>IF(INDIRECT("W95")="Clássico","12%",IF(INDIRECT("W95")="Premium","17%","-"))</f>
      </c>
      <c r="Y95" s="113" t="s">
        <v>100</v>
      </c>
    </row>
    <row r="96" ht="50.0" customHeight="true">
      <c r="A96" s="113" t="s">
        <v>428</v>
      </c>
      <c r="B96" s="113" t="s">
        <v>429</v>
      </c>
      <c r="C96" s="113" t="s">
        <v>430</v>
      </c>
      <c r="D96" s="113"/>
      <c r="E96" s="114" t="s">
        <v>431</v>
      </c>
      <c r="F96" s="113" t="s">
        <v>432</v>
      </c>
      <c r="G96" s="113" t="s">
        <v>432</v>
      </c>
      <c r="H96" s="113" t="s">
        <v>361</v>
      </c>
      <c r="I96" s="115" t="n">
        <v>504.94</v>
      </c>
      <c r="J96" s="115" t="s">
        <v>80</v>
      </c>
      <c r="K96" s="115" t="s">
        <v>81</v>
      </c>
      <c r="L96" s="115" t="n">
        <v>541.72</v>
      </c>
      <c r="M96" s="115" t="n">
        <v>3.0</v>
      </c>
      <c r="N96" s="115"/>
      <c r="O96" s="115"/>
      <c r="P96" s="115"/>
      <c r="Q96" s="115"/>
      <c r="R96" s="115"/>
      <c r="S96" s="115"/>
      <c r="T96" s="115"/>
      <c r="U96" s="115"/>
      <c r="V96" s="115" t="s">
        <v>82</v>
      </c>
      <c r="W96" s="115" t="s">
        <v>83</v>
      </c>
      <c r="X96" s="113">
        <f>IF(INDIRECT("W96")="Clássico","12%",IF(INDIRECT("W96")="Premium","17%","-"))</f>
      </c>
      <c r="Y96" s="113" t="s">
        <v>414</v>
      </c>
    </row>
    <row r="97" ht="50.0" customHeight="true">
      <c r="A97" s="113" t="s">
        <v>433</v>
      </c>
      <c r="B97" s="113" t="s">
        <v>434</v>
      </c>
      <c r="C97" s="113" t="s">
        <v>435</v>
      </c>
      <c r="D97" s="113"/>
      <c r="E97" s="114" t="s">
        <v>436</v>
      </c>
      <c r="F97" s="113" t="s">
        <v>437</v>
      </c>
      <c r="G97" s="113" t="s">
        <v>437</v>
      </c>
      <c r="H97" s="113" t="s">
        <v>157</v>
      </c>
      <c r="I97" s="115" t="n">
        <v>199.88</v>
      </c>
      <c r="J97" s="115" t="s">
        <v>80</v>
      </c>
      <c r="K97" s="115" t="s">
        <v>81</v>
      </c>
      <c r="L97" s="115" t="n">
        <v>237.91</v>
      </c>
      <c r="M97" s="115" t="n">
        <v>3.0</v>
      </c>
      <c r="N97" s="115"/>
      <c r="O97" s="115"/>
      <c r="P97" s="115"/>
      <c r="Q97" s="115"/>
      <c r="R97" s="115"/>
      <c r="S97" s="115"/>
      <c r="T97" s="115"/>
      <c r="U97" s="115"/>
      <c r="V97" s="115" t="s">
        <v>82</v>
      </c>
      <c r="W97" s="115" t="s">
        <v>92</v>
      </c>
      <c r="X97" s="113">
        <f>IF(INDIRECT("W97")="Clássico","12%",IF(INDIRECT("W97")="Premium","17%","-"))</f>
      </c>
      <c r="Y97" s="113" t="s">
        <v>367</v>
      </c>
    </row>
    <row r="98" ht="50.0" customHeight="true">
      <c r="A98" s="113" t="s">
        <v>22</v>
      </c>
      <c r="B98" s="113" t="s">
        <v>438</v>
      </c>
      <c r="C98" s="113"/>
      <c r="D98" s="113"/>
      <c r="E98" s="113" t="s">
        <v>22</v>
      </c>
      <c r="F98" s="113" t="s">
        <v>439</v>
      </c>
      <c r="G98" s="113" t="s">
        <v>103</v>
      </c>
      <c r="H98" s="113" t="s">
        <v>103</v>
      </c>
      <c r="I98" s="115" t="n">
        <v>192.28</v>
      </c>
      <c r="J98" s="115" t="s">
        <v>80</v>
      </c>
      <c r="K98" s="113" t="s">
        <v>81</v>
      </c>
      <c r="L98" s="115" t="n">
        <v>187.28</v>
      </c>
      <c r="M98" s="115" t="n">
        <v>3.0</v>
      </c>
      <c r="N98" s="115"/>
      <c r="O98" s="115"/>
      <c r="P98" s="115"/>
      <c r="Q98" s="115"/>
      <c r="R98" s="115"/>
      <c r="S98" s="115"/>
      <c r="T98" s="115"/>
      <c r="U98" s="115"/>
      <c r="V98" s="115" t="s">
        <v>82</v>
      </c>
      <c r="W98" s="115" t="s">
        <v>83</v>
      </c>
      <c r="X98" s="113">
        <f>IF(INDIRECT("W98")="Clássico","11.5%",IF(INDIRECT("W98")="Premium","16.5%","-"))</f>
      </c>
      <c r="Y98" s="113" t="s">
        <v>400</v>
      </c>
    </row>
    <row r="99" ht="50.0" customHeight="true">
      <c r="A99" s="113" t="s">
        <v>22</v>
      </c>
      <c r="B99" s="113" t="s">
        <v>438</v>
      </c>
      <c r="C99" s="113" t="s">
        <v>440</v>
      </c>
      <c r="D99" s="113" t="s">
        <v>440</v>
      </c>
      <c r="E99" s="114" t="s">
        <v>106</v>
      </c>
      <c r="F99" s="116">
        <f>"     "&amp;F98</f>
      </c>
      <c r="G99" s="113" t="s">
        <v>441</v>
      </c>
      <c r="H99" s="113" t="s">
        <v>103</v>
      </c>
      <c r="I99" s="113">
        <f>I98</f>
      </c>
      <c r="J99" s="113">
        <f>J98&amp;"     "</f>
      </c>
      <c r="K99" s="113" t="s">
        <v>81</v>
      </c>
      <c r="L99" s="113">
        <f>L98</f>
      </c>
      <c r="M99" s="113">
        <f>M98</f>
      </c>
      <c r="N99" s="113">
        <f>N98</f>
      </c>
      <c r="O99" s="113">
        <f>O98</f>
      </c>
      <c r="P99" s="113">
        <f>P98</f>
      </c>
      <c r="Q99" s="113">
        <f>Q98</f>
      </c>
      <c r="R99" s="113">
        <f>R98</f>
      </c>
      <c r="S99" s="113">
        <f>S98</f>
      </c>
      <c r="T99" s="113">
        <f>T98</f>
      </c>
      <c r="U99" s="113">
        <f>U98</f>
      </c>
      <c r="V99" s="113">
        <f>V98&amp;"     "</f>
      </c>
      <c r="W99" s="113">
        <f>W98&amp;"     "</f>
      </c>
      <c r="X99" s="113">
        <f>X98</f>
      </c>
      <c r="Y99" s="113" t="s">
        <v>400</v>
      </c>
    </row>
    <row r="100" ht="50.0" customHeight="true">
      <c r="A100" s="113" t="s">
        <v>22</v>
      </c>
      <c r="B100" s="113" t="s">
        <v>438</v>
      </c>
      <c r="C100" s="113" t="s">
        <v>442</v>
      </c>
      <c r="D100" s="113" t="s">
        <v>442</v>
      </c>
      <c r="E100" s="114" t="s">
        <v>109</v>
      </c>
      <c r="F100" s="116">
        <f>"     "&amp;F98</f>
      </c>
      <c r="G100" s="113" t="s">
        <v>443</v>
      </c>
      <c r="H100" s="113" t="s">
        <v>103</v>
      </c>
      <c r="I100" s="113">
        <f>I98</f>
      </c>
      <c r="J100" s="113">
        <f>J98&amp;"     "</f>
      </c>
      <c r="K100" s="113" t="s">
        <v>81</v>
      </c>
      <c r="L100" s="113">
        <f>L98</f>
      </c>
      <c r="M100" s="113">
        <f>M98</f>
      </c>
      <c r="N100" s="113">
        <f>N98</f>
      </c>
      <c r="O100" s="113">
        <f>O98</f>
      </c>
      <c r="P100" s="113">
        <f>P98</f>
      </c>
      <c r="Q100" s="113">
        <f>Q98</f>
      </c>
      <c r="R100" s="113">
        <f>R98</f>
      </c>
      <c r="S100" s="113">
        <f>S98</f>
      </c>
      <c r="T100" s="113">
        <f>T98</f>
      </c>
      <c r="U100" s="113">
        <f>U98</f>
      </c>
      <c r="V100" s="113">
        <f>V98&amp;"     "</f>
      </c>
      <c r="W100" s="113">
        <f>W98&amp;"     "</f>
      </c>
      <c r="X100" s="113">
        <f>X98</f>
      </c>
      <c r="Y100" s="113" t="s">
        <v>400</v>
      </c>
    </row>
    <row r="101" ht="50.0" customHeight="true">
      <c r="A101" s="113" t="s">
        <v>444</v>
      </c>
      <c r="B101" s="113" t="s">
        <v>445</v>
      </c>
      <c r="C101" s="113" t="s">
        <v>446</v>
      </c>
      <c r="D101" s="113"/>
      <c r="E101" s="114" t="s">
        <v>97</v>
      </c>
      <c r="F101" s="113" t="s">
        <v>447</v>
      </c>
      <c r="G101" s="113" t="s">
        <v>447</v>
      </c>
      <c r="H101" s="113" t="s">
        <v>356</v>
      </c>
      <c r="I101" s="115" t="n">
        <v>97.34</v>
      </c>
      <c r="J101" s="115" t="s">
        <v>80</v>
      </c>
      <c r="K101" s="115" t="s">
        <v>81</v>
      </c>
      <c r="L101" s="115" t="n">
        <v>72.09</v>
      </c>
      <c r="M101" s="115" t="n">
        <v>3.0</v>
      </c>
      <c r="N101" s="115"/>
      <c r="O101" s="115"/>
      <c r="P101" s="115"/>
      <c r="Q101" s="115"/>
      <c r="R101" s="115"/>
      <c r="S101" s="115"/>
      <c r="T101" s="115"/>
      <c r="U101" s="115"/>
      <c r="V101" s="115" t="s">
        <v>91</v>
      </c>
      <c r="W101" s="115" t="s">
        <v>92</v>
      </c>
      <c r="X101" s="113">
        <f>IF(INDIRECT("W101")="Clássico","12%",IF(INDIRECT("W101")="Premium","17%","-"))</f>
      </c>
      <c r="Y101" s="113" t="s">
        <v>144</v>
      </c>
    </row>
    <row r="102" ht="50.0" customHeight="true">
      <c r="A102" s="113" t="s">
        <v>22</v>
      </c>
      <c r="B102" s="113" t="s">
        <v>448</v>
      </c>
      <c r="C102" s="113"/>
      <c r="D102" s="113"/>
      <c r="E102" s="113" t="s">
        <v>22</v>
      </c>
      <c r="F102" s="113" t="s">
        <v>449</v>
      </c>
      <c r="G102" s="113" t="s">
        <v>103</v>
      </c>
      <c r="H102" s="113" t="s">
        <v>110</v>
      </c>
      <c r="I102" s="115" t="n">
        <v>256.9</v>
      </c>
      <c r="J102" s="115" t="s">
        <v>80</v>
      </c>
      <c r="K102" s="113" t="s">
        <v>81</v>
      </c>
      <c r="L102" s="115" t="n">
        <v>88.99</v>
      </c>
      <c r="M102" s="115" t="n">
        <v>3.0</v>
      </c>
      <c r="N102" s="115"/>
      <c r="O102" s="115"/>
      <c r="P102" s="115"/>
      <c r="Q102" s="115"/>
      <c r="R102" s="115"/>
      <c r="S102" s="115"/>
      <c r="T102" s="115"/>
      <c r="U102" s="115"/>
      <c r="V102" s="115" t="s">
        <v>82</v>
      </c>
      <c r="W102" s="115" t="s">
        <v>83</v>
      </c>
      <c r="X102" s="113">
        <f>IF(INDIRECT("W102")="Clássico","12%",IF(INDIRECT("W102")="Premium","17%","-"))</f>
      </c>
      <c r="Y102" s="113" t="s">
        <v>450</v>
      </c>
    </row>
    <row r="103" ht="50.0" customHeight="true">
      <c r="A103" s="113" t="s">
        <v>22</v>
      </c>
      <c r="B103" s="113" t="s">
        <v>448</v>
      </c>
      <c r="C103" s="113" t="s">
        <v>451</v>
      </c>
      <c r="D103" s="113" t="s">
        <v>451</v>
      </c>
      <c r="E103" s="114" t="s">
        <v>452</v>
      </c>
      <c r="F103" s="116">
        <f>"     "&amp;F102</f>
      </c>
      <c r="G103" s="113" t="s">
        <v>453</v>
      </c>
      <c r="H103" s="113" t="s">
        <v>110</v>
      </c>
      <c r="I103" s="113">
        <f>I102</f>
      </c>
      <c r="J103" s="113">
        <f>J102&amp;"     "</f>
      </c>
      <c r="K103" s="113" t="s">
        <v>81</v>
      </c>
      <c r="L103" s="113">
        <f>L102</f>
      </c>
      <c r="M103" s="113">
        <f>M102</f>
      </c>
      <c r="N103" s="113">
        <f>N102</f>
      </c>
      <c r="O103" s="113">
        <f>O102</f>
      </c>
      <c r="P103" s="113">
        <f>P102</f>
      </c>
      <c r="Q103" s="113">
        <f>Q102</f>
      </c>
      <c r="R103" s="113">
        <f>R102</f>
      </c>
      <c r="S103" s="113">
        <f>S102</f>
      </c>
      <c r="T103" s="113">
        <f>T102</f>
      </c>
      <c r="U103" s="113">
        <f>U102</f>
      </c>
      <c r="V103" s="113">
        <f>V102&amp;"     "</f>
      </c>
      <c r="W103" s="113">
        <f>W102&amp;"     "</f>
      </c>
      <c r="X103" s="113">
        <f>X102</f>
      </c>
      <c r="Y103" s="113" t="s">
        <v>450</v>
      </c>
    </row>
    <row r="104" ht="50.0" customHeight="true">
      <c r="A104" s="113" t="s">
        <v>22</v>
      </c>
      <c r="B104" s="113" t="s">
        <v>448</v>
      </c>
      <c r="C104" s="113" t="s">
        <v>454</v>
      </c>
      <c r="D104" s="113" t="s">
        <v>454</v>
      </c>
      <c r="E104" s="114" t="s">
        <v>455</v>
      </c>
      <c r="F104" s="116">
        <f>"     "&amp;F102</f>
      </c>
      <c r="G104" s="113" t="s">
        <v>456</v>
      </c>
      <c r="H104" s="113" t="s">
        <v>103</v>
      </c>
      <c r="I104" s="113">
        <f>I102</f>
      </c>
      <c r="J104" s="113">
        <f>J102&amp;"     "</f>
      </c>
      <c r="K104" s="113" t="s">
        <v>81</v>
      </c>
      <c r="L104" s="113">
        <f>L102</f>
      </c>
      <c r="M104" s="113">
        <f>M102</f>
      </c>
      <c r="N104" s="113">
        <f>N102</f>
      </c>
      <c r="O104" s="113">
        <f>O102</f>
      </c>
      <c r="P104" s="113">
        <f>P102</f>
      </c>
      <c r="Q104" s="113">
        <f>Q102</f>
      </c>
      <c r="R104" s="113">
        <f>R102</f>
      </c>
      <c r="S104" s="113">
        <f>S102</f>
      </c>
      <c r="T104" s="113">
        <f>T102</f>
      </c>
      <c r="U104" s="113">
        <f>U102</f>
      </c>
      <c r="V104" s="113">
        <f>V102&amp;"     "</f>
      </c>
      <c r="W104" s="113">
        <f>W102&amp;"     "</f>
      </c>
      <c r="X104" s="113">
        <f>X102</f>
      </c>
      <c r="Y104" s="113" t="s">
        <v>450</v>
      </c>
    </row>
    <row r="105" ht="50.0" customHeight="true">
      <c r="A105" s="113" t="s">
        <v>457</v>
      </c>
      <c r="B105" s="113" t="s">
        <v>458</v>
      </c>
      <c r="C105" s="113" t="s">
        <v>459</v>
      </c>
      <c r="D105" s="113"/>
      <c r="E105" s="114" t="s">
        <v>97</v>
      </c>
      <c r="F105" s="113" t="s">
        <v>460</v>
      </c>
      <c r="G105" s="113" t="s">
        <v>460</v>
      </c>
      <c r="H105" s="113" t="s">
        <v>103</v>
      </c>
      <c r="I105" s="115" t="n">
        <v>102.41</v>
      </c>
      <c r="J105" s="115" t="s">
        <v>80</v>
      </c>
      <c r="K105" s="115" t="s">
        <v>81</v>
      </c>
      <c r="L105" s="115" t="n">
        <v>85.51</v>
      </c>
      <c r="M105" s="115" t="n">
        <v>3.0</v>
      </c>
      <c r="N105" s="115"/>
      <c r="O105" s="115"/>
      <c r="P105" s="115"/>
      <c r="Q105" s="115"/>
      <c r="R105" s="115"/>
      <c r="S105" s="115"/>
      <c r="T105" s="115"/>
      <c r="U105" s="115"/>
      <c r="V105" s="115" t="s">
        <v>82</v>
      </c>
      <c r="W105" s="115" t="s">
        <v>83</v>
      </c>
      <c r="X105" s="113">
        <f>IF(INDIRECT("W105")="Clássico","12%",IF(INDIRECT("W105")="Premium","17%","-"))</f>
      </c>
      <c r="Y105" s="113" t="s">
        <v>100</v>
      </c>
    </row>
    <row r="106" ht="50.0" customHeight="true">
      <c r="A106" s="113" t="s">
        <v>22</v>
      </c>
      <c r="B106" s="113" t="s">
        <v>461</v>
      </c>
      <c r="C106" s="113"/>
      <c r="D106" s="113"/>
      <c r="E106" s="113" t="s">
        <v>22</v>
      </c>
      <c r="F106" s="113" t="s">
        <v>462</v>
      </c>
      <c r="G106" s="113" t="s">
        <v>103</v>
      </c>
      <c r="H106" s="113" t="s">
        <v>103</v>
      </c>
      <c r="I106" s="115" t="n">
        <v>202.41</v>
      </c>
      <c r="J106" s="115" t="s">
        <v>80</v>
      </c>
      <c r="K106" s="113" t="s">
        <v>81</v>
      </c>
      <c r="L106" s="115" t="n">
        <v>223.48</v>
      </c>
      <c r="M106" s="115" t="n">
        <v>3.0</v>
      </c>
      <c r="N106" s="115"/>
      <c r="O106" s="115"/>
      <c r="P106" s="115"/>
      <c r="Q106" s="115"/>
      <c r="R106" s="115"/>
      <c r="S106" s="115"/>
      <c r="T106" s="115"/>
      <c r="U106" s="115"/>
      <c r="V106" s="115" t="s">
        <v>82</v>
      </c>
      <c r="W106" s="115" t="s">
        <v>92</v>
      </c>
      <c r="X106" s="113">
        <f>IF(INDIRECT("W106")="Clássico","12%",IF(INDIRECT("W106")="Premium","17%","-"))</f>
      </c>
      <c r="Y106" s="113" t="s">
        <v>22</v>
      </c>
    </row>
    <row r="107" ht="50.0" customHeight="true">
      <c r="A107" s="113" t="s">
        <v>22</v>
      </c>
      <c r="B107" s="113" t="s">
        <v>461</v>
      </c>
      <c r="C107" s="113" t="s">
        <v>463</v>
      </c>
      <c r="D107" s="113" t="s">
        <v>463</v>
      </c>
      <c r="E107" s="114" t="s">
        <v>464</v>
      </c>
      <c r="F107" s="116">
        <f>"     "&amp;F106</f>
      </c>
      <c r="G107" s="113" t="s">
        <v>127</v>
      </c>
      <c r="H107" s="113" t="s">
        <v>103</v>
      </c>
      <c r="I107" s="113">
        <f>I106</f>
      </c>
      <c r="J107" s="113">
        <f>J106&amp;"     "</f>
      </c>
      <c r="K107" s="113" t="s">
        <v>81</v>
      </c>
      <c r="L107" s="113">
        <f>L106</f>
      </c>
      <c r="M107" s="113">
        <f>M106</f>
      </c>
      <c r="N107" s="113">
        <f>N106</f>
      </c>
      <c r="O107" s="113">
        <f>O106</f>
      </c>
      <c r="P107" s="113">
        <f>P106</f>
      </c>
      <c r="Q107" s="113">
        <f>Q106</f>
      </c>
      <c r="R107" s="113">
        <f>R106</f>
      </c>
      <c r="S107" s="113">
        <f>S106</f>
      </c>
      <c r="T107" s="113">
        <f>T106</f>
      </c>
      <c r="U107" s="113">
        <f>U106</f>
      </c>
      <c r="V107" s="113">
        <f>V106&amp;"     "</f>
      </c>
      <c r="W107" s="113">
        <f>W106&amp;"     "</f>
      </c>
      <c r="X107" s="113">
        <f>X106</f>
      </c>
      <c r="Y107" s="113" t="s">
        <v>22</v>
      </c>
    </row>
    <row r="108" ht="50.0" customHeight="true">
      <c r="A108" s="113" t="s">
        <v>22</v>
      </c>
      <c r="B108" s="113" t="s">
        <v>461</v>
      </c>
      <c r="C108" s="113" t="s">
        <v>465</v>
      </c>
      <c r="D108" s="113" t="s">
        <v>465</v>
      </c>
      <c r="E108" s="114" t="s">
        <v>466</v>
      </c>
      <c r="F108" s="116">
        <f>"     "&amp;F106</f>
      </c>
      <c r="G108" s="113" t="s">
        <v>467</v>
      </c>
      <c r="H108" s="113" t="s">
        <v>103</v>
      </c>
      <c r="I108" s="113">
        <f>I106</f>
      </c>
      <c r="J108" s="113">
        <f>J106&amp;"     "</f>
      </c>
      <c r="K108" s="113" t="s">
        <v>81</v>
      </c>
      <c r="L108" s="113">
        <f>L106</f>
      </c>
      <c r="M108" s="113">
        <f>M106</f>
      </c>
      <c r="N108" s="113">
        <f>N106</f>
      </c>
      <c r="O108" s="113">
        <f>O106</f>
      </c>
      <c r="P108" s="113">
        <f>P106</f>
      </c>
      <c r="Q108" s="113">
        <f>Q106</f>
      </c>
      <c r="R108" s="113">
        <f>R106</f>
      </c>
      <c r="S108" s="113">
        <f>S106</f>
      </c>
      <c r="T108" s="113">
        <f>T106</f>
      </c>
      <c r="U108" s="113">
        <f>U106</f>
      </c>
      <c r="V108" s="113">
        <f>V106&amp;"     "</f>
      </c>
      <c r="W108" s="113">
        <f>W106&amp;"     "</f>
      </c>
      <c r="X108" s="113">
        <f>X106</f>
      </c>
      <c r="Y108" s="113" t="s">
        <v>22</v>
      </c>
    </row>
    <row r="109" ht="50.0" customHeight="true">
      <c r="A109" s="113" t="s">
        <v>468</v>
      </c>
      <c r="B109" s="113" t="s">
        <v>469</v>
      </c>
      <c r="C109" s="113" t="s">
        <v>470</v>
      </c>
      <c r="D109" s="113"/>
      <c r="E109" s="114" t="s">
        <v>280</v>
      </c>
      <c r="F109" s="113" t="s">
        <v>471</v>
      </c>
      <c r="G109" s="113" t="s">
        <v>127</v>
      </c>
      <c r="H109" s="113" t="s">
        <v>472</v>
      </c>
      <c r="I109" s="115" t="n">
        <v>378.36</v>
      </c>
      <c r="J109" s="115" t="s">
        <v>80</v>
      </c>
      <c r="K109" s="115" t="s">
        <v>81</v>
      </c>
      <c r="L109" s="115" t="n">
        <v>370.94</v>
      </c>
      <c r="M109" s="115" t="n">
        <v>3.0</v>
      </c>
      <c r="N109" s="115"/>
      <c r="O109" s="115"/>
      <c r="P109" s="115"/>
      <c r="Q109" s="115"/>
      <c r="R109" s="115"/>
      <c r="S109" s="115"/>
      <c r="T109" s="115"/>
      <c r="U109" s="115"/>
      <c r="V109" s="115" t="s">
        <v>82</v>
      </c>
      <c r="W109" s="115" t="s">
        <v>92</v>
      </c>
      <c r="X109" s="113">
        <f>IF(INDIRECT("W109")="Clássico","12%",IF(INDIRECT("W109")="Premium","17%","-"))</f>
      </c>
      <c r="Y109" s="113" t="s">
        <v>423</v>
      </c>
    </row>
    <row r="110" ht="50.0" customHeight="true">
      <c r="A110" s="113" t="s">
        <v>473</v>
      </c>
      <c r="B110" s="113" t="s">
        <v>474</v>
      </c>
      <c r="C110" s="113" t="s">
        <v>475</v>
      </c>
      <c r="D110" s="113"/>
      <c r="E110" s="114" t="s">
        <v>155</v>
      </c>
      <c r="F110" s="113" t="s">
        <v>476</v>
      </c>
      <c r="G110" s="113" t="s">
        <v>127</v>
      </c>
      <c r="H110" s="113" t="s">
        <v>103</v>
      </c>
      <c r="I110" s="115" t="n">
        <v>249.9</v>
      </c>
      <c r="J110" s="115" t="s">
        <v>80</v>
      </c>
      <c r="K110" s="115" t="s">
        <v>81</v>
      </c>
      <c r="L110" s="115" t="n">
        <v>294.88</v>
      </c>
      <c r="M110" s="115" t="n">
        <v>3.0</v>
      </c>
      <c r="N110" s="115"/>
      <c r="O110" s="115"/>
      <c r="P110" s="115"/>
      <c r="Q110" s="115"/>
      <c r="R110" s="115"/>
      <c r="S110" s="115"/>
      <c r="T110" s="115"/>
      <c r="U110" s="115"/>
      <c r="V110" s="115" t="s">
        <v>82</v>
      </c>
      <c r="W110" s="115" t="s">
        <v>83</v>
      </c>
      <c r="X110" s="113">
        <f>IF(INDIRECT("W110")="Clássico","12%",IF(INDIRECT("W110")="Premium","17%","-"))</f>
      </c>
      <c r="Y110" s="113" t="s">
        <v>158</v>
      </c>
    </row>
    <row r="111" ht="50.0" customHeight="true">
      <c r="A111" s="113" t="s">
        <v>477</v>
      </c>
      <c r="B111" s="113" t="s">
        <v>478</v>
      </c>
      <c r="C111" s="113" t="s">
        <v>479</v>
      </c>
      <c r="D111" s="113"/>
      <c r="E111" s="114" t="s">
        <v>480</v>
      </c>
      <c r="F111" s="113" t="s">
        <v>481</v>
      </c>
      <c r="G111" s="113" t="s">
        <v>481</v>
      </c>
      <c r="H111" s="113" t="s">
        <v>234</v>
      </c>
      <c r="I111" s="115" t="n">
        <v>155.57</v>
      </c>
      <c r="J111" s="115" t="s">
        <v>80</v>
      </c>
      <c r="K111" s="115" t="s">
        <v>81</v>
      </c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 t="s">
        <v>82</v>
      </c>
      <c r="W111" s="115" t="s">
        <v>92</v>
      </c>
      <c r="X111" s="113">
        <f>IF(INDIRECT("W111")="Clássico","12%",IF(INDIRECT("W111")="Premium","17%","-"))</f>
      </c>
      <c r="Y111" s="113" t="s">
        <v>482</v>
      </c>
    </row>
    <row r="112" ht="50.0" customHeight="true">
      <c r="A112" s="113" t="s">
        <v>483</v>
      </c>
      <c r="B112" s="113" t="s">
        <v>484</v>
      </c>
      <c r="C112" s="113" t="s">
        <v>485</v>
      </c>
      <c r="D112" s="113"/>
      <c r="E112" s="114" t="s">
        <v>486</v>
      </c>
      <c r="F112" s="113" t="s">
        <v>487</v>
      </c>
      <c r="G112" s="113" t="s">
        <v>487</v>
      </c>
      <c r="H112" s="113" t="s">
        <v>99</v>
      </c>
      <c r="I112" s="115" t="n">
        <v>577.1</v>
      </c>
      <c r="J112" s="115" t="s">
        <v>80</v>
      </c>
      <c r="K112" s="115" t="s">
        <v>81</v>
      </c>
      <c r="L112" s="115" t="n">
        <v>656.91</v>
      </c>
      <c r="M112" s="115" t="n">
        <v>3.0</v>
      </c>
      <c r="N112" s="115"/>
      <c r="O112" s="115"/>
      <c r="P112" s="115"/>
      <c r="Q112" s="115"/>
      <c r="R112" s="115"/>
      <c r="S112" s="115"/>
      <c r="T112" s="115"/>
      <c r="U112" s="115"/>
      <c r="V112" s="115" t="s">
        <v>82</v>
      </c>
      <c r="W112" s="115" t="s">
        <v>92</v>
      </c>
      <c r="X112" s="113">
        <f>IF(INDIRECT("W112")="Clássico","12%",IF(INDIRECT("W112")="Premium","17%","-"))</f>
      </c>
      <c r="Y112" s="113" t="s">
        <v>488</v>
      </c>
    </row>
    <row r="113" ht="50.0" customHeight="true">
      <c r="A113" s="113" t="s">
        <v>489</v>
      </c>
      <c r="B113" s="113" t="s">
        <v>490</v>
      </c>
      <c r="C113" s="113" t="s">
        <v>491</v>
      </c>
      <c r="D113" s="113"/>
      <c r="E113" s="114" t="s">
        <v>285</v>
      </c>
      <c r="F113" s="113" t="s">
        <v>492</v>
      </c>
      <c r="G113" s="113" t="s">
        <v>493</v>
      </c>
      <c r="H113" s="113" t="s">
        <v>132</v>
      </c>
      <c r="I113" s="115" t="n">
        <v>336.59</v>
      </c>
      <c r="J113" s="115" t="s">
        <v>80</v>
      </c>
      <c r="K113" s="115" t="s">
        <v>81</v>
      </c>
      <c r="L113" s="115" t="n">
        <v>331.56</v>
      </c>
      <c r="M113" s="115" t="n">
        <v>3.0</v>
      </c>
      <c r="N113" s="115"/>
      <c r="O113" s="115"/>
      <c r="P113" s="115"/>
      <c r="Q113" s="115"/>
      <c r="R113" s="115"/>
      <c r="S113" s="115"/>
      <c r="T113" s="115"/>
      <c r="U113" s="115"/>
      <c r="V113" s="115" t="s">
        <v>82</v>
      </c>
      <c r="W113" s="115" t="s">
        <v>83</v>
      </c>
      <c r="X113" s="113">
        <f>IF(INDIRECT("W113")="Clássico","12%",IF(INDIRECT("W113")="Premium","17%","-"))</f>
      </c>
      <c r="Y113" s="113" t="s">
        <v>229</v>
      </c>
    </row>
    <row r="114" ht="50.0" customHeight="true">
      <c r="A114" s="113" t="s">
        <v>22</v>
      </c>
      <c r="B114" s="113" t="s">
        <v>494</v>
      </c>
      <c r="C114" s="113"/>
      <c r="D114" s="113"/>
      <c r="E114" s="113" t="s">
        <v>404</v>
      </c>
      <c r="F114" s="113" t="s">
        <v>495</v>
      </c>
      <c r="G114" s="113" t="s">
        <v>103</v>
      </c>
      <c r="H114" s="113" t="s">
        <v>132</v>
      </c>
      <c r="I114" s="115" t="n">
        <v>113.9</v>
      </c>
      <c r="J114" s="115" t="s">
        <v>80</v>
      </c>
      <c r="K114" s="113" t="s">
        <v>81</v>
      </c>
      <c r="L114" s="115" t="n">
        <v>108.9</v>
      </c>
      <c r="M114" s="115" t="n">
        <v>3.0</v>
      </c>
      <c r="N114" s="115"/>
      <c r="O114" s="115"/>
      <c r="P114" s="115"/>
      <c r="Q114" s="115"/>
      <c r="R114" s="115"/>
      <c r="S114" s="115"/>
      <c r="T114" s="115"/>
      <c r="U114" s="115"/>
      <c r="V114" s="115" t="s">
        <v>82</v>
      </c>
      <c r="W114" s="115" t="s">
        <v>92</v>
      </c>
      <c r="X114" s="113">
        <f>IF(INDIRECT("W114")="Clássico","11.5%",IF(INDIRECT("W114")="Premium","16.5%","-"))</f>
      </c>
      <c r="Y114" s="113" t="s">
        <v>400</v>
      </c>
    </row>
    <row r="115" ht="50.0" customHeight="true">
      <c r="A115" s="113" t="s">
        <v>22</v>
      </c>
      <c r="B115" s="113" t="s">
        <v>494</v>
      </c>
      <c r="C115" s="113" t="s">
        <v>496</v>
      </c>
      <c r="D115" s="113" t="s">
        <v>496</v>
      </c>
      <c r="E115" s="114" t="s">
        <v>106</v>
      </c>
      <c r="F115" s="116">
        <f>"     "&amp;F114</f>
      </c>
      <c r="G115" s="113" t="s">
        <v>135</v>
      </c>
      <c r="H115" s="113" t="s">
        <v>132</v>
      </c>
      <c r="I115" s="113">
        <f>I114</f>
      </c>
      <c r="J115" s="113">
        <f>J114&amp;"     "</f>
      </c>
      <c r="K115" s="113" t="s">
        <v>81</v>
      </c>
      <c r="L115" s="113">
        <f>L114</f>
      </c>
      <c r="M115" s="113">
        <f>M114</f>
      </c>
      <c r="N115" s="113">
        <f>N114</f>
      </c>
      <c r="O115" s="113">
        <f>O114</f>
      </c>
      <c r="P115" s="113">
        <f>P114</f>
      </c>
      <c r="Q115" s="113">
        <f>Q114</f>
      </c>
      <c r="R115" s="113">
        <f>R114</f>
      </c>
      <c r="S115" s="113">
        <f>S114</f>
      </c>
      <c r="T115" s="113">
        <f>T114</f>
      </c>
      <c r="U115" s="113">
        <f>U114</f>
      </c>
      <c r="V115" s="113">
        <f>V114&amp;"     "</f>
      </c>
      <c r="W115" s="113">
        <f>W114&amp;"     "</f>
      </c>
      <c r="X115" s="113">
        <f>X114</f>
      </c>
      <c r="Y115" s="113" t="s">
        <v>400</v>
      </c>
    </row>
    <row r="116" ht="50.0" customHeight="true">
      <c r="A116" s="113" t="s">
        <v>22</v>
      </c>
      <c r="B116" s="113" t="s">
        <v>494</v>
      </c>
      <c r="C116" s="113" t="s">
        <v>497</v>
      </c>
      <c r="D116" s="113" t="s">
        <v>497</v>
      </c>
      <c r="E116" s="114" t="s">
        <v>109</v>
      </c>
      <c r="F116" s="116">
        <f>"     "&amp;F114</f>
      </c>
      <c r="G116" s="113" t="s">
        <v>137</v>
      </c>
      <c r="H116" s="113" t="s">
        <v>103</v>
      </c>
      <c r="I116" s="113">
        <f>I114</f>
      </c>
      <c r="J116" s="113">
        <f>J114&amp;"     "</f>
      </c>
      <c r="K116" s="113" t="s">
        <v>81</v>
      </c>
      <c r="L116" s="113">
        <f>L114</f>
      </c>
      <c r="M116" s="113">
        <f>M114</f>
      </c>
      <c r="N116" s="113">
        <f>N114</f>
      </c>
      <c r="O116" s="113">
        <f>O114</f>
      </c>
      <c r="P116" s="113">
        <f>P114</f>
      </c>
      <c r="Q116" s="113">
        <f>Q114</f>
      </c>
      <c r="R116" s="113">
        <f>R114</f>
      </c>
      <c r="S116" s="113">
        <f>S114</f>
      </c>
      <c r="T116" s="113">
        <f>T114</f>
      </c>
      <c r="U116" s="113">
        <f>U114</f>
      </c>
      <c r="V116" s="113">
        <f>V114&amp;"     "</f>
      </c>
      <c r="W116" s="113">
        <f>W114&amp;"     "</f>
      </c>
      <c r="X116" s="113">
        <f>X114</f>
      </c>
      <c r="Y116" s="113" t="s">
        <v>400</v>
      </c>
    </row>
    <row r="117" ht="50.0" customHeight="true">
      <c r="A117" s="113" t="s">
        <v>498</v>
      </c>
      <c r="B117" s="113" t="s">
        <v>499</v>
      </c>
      <c r="C117" s="113" t="s">
        <v>500</v>
      </c>
      <c r="D117" s="113"/>
      <c r="E117" s="114" t="s">
        <v>141</v>
      </c>
      <c r="F117" s="113" t="s">
        <v>501</v>
      </c>
      <c r="G117" s="113" t="s">
        <v>501</v>
      </c>
      <c r="H117" s="113" t="s">
        <v>103</v>
      </c>
      <c r="I117" s="115" t="n">
        <v>105.9</v>
      </c>
      <c r="J117" s="115" t="s">
        <v>80</v>
      </c>
      <c r="K117" s="115" t="s">
        <v>81</v>
      </c>
      <c r="L117" s="115" t="n">
        <v>123.99</v>
      </c>
      <c r="M117" s="115" t="n">
        <v>3.0</v>
      </c>
      <c r="N117" s="115"/>
      <c r="O117" s="115"/>
      <c r="P117" s="115"/>
      <c r="Q117" s="115"/>
      <c r="R117" s="115"/>
      <c r="S117" s="115"/>
      <c r="T117" s="115"/>
      <c r="U117" s="115"/>
      <c r="V117" s="115" t="s">
        <v>82</v>
      </c>
      <c r="W117" s="115" t="s">
        <v>83</v>
      </c>
      <c r="X117" s="113">
        <f>IF(INDIRECT("W117")="Clássico","12%",IF(INDIRECT("W117")="Premium","17%","-"))</f>
      </c>
      <c r="Y117" s="113" t="s">
        <v>144</v>
      </c>
    </row>
    <row r="118" ht="50.0" customHeight="true">
      <c r="A118" s="113" t="s">
        <v>502</v>
      </c>
      <c r="B118" s="113" t="s">
        <v>503</v>
      </c>
      <c r="C118" s="113" t="s">
        <v>504</v>
      </c>
      <c r="D118" s="113"/>
      <c r="E118" s="114" t="s">
        <v>505</v>
      </c>
      <c r="F118" s="113" t="s">
        <v>506</v>
      </c>
      <c r="G118" s="113" t="s">
        <v>506</v>
      </c>
      <c r="H118" s="113" t="s">
        <v>103</v>
      </c>
      <c r="I118" s="115" t="n">
        <v>278.22</v>
      </c>
      <c r="J118" s="115" t="s">
        <v>80</v>
      </c>
      <c r="K118" s="115" t="s">
        <v>81</v>
      </c>
      <c r="L118" s="115" t="n">
        <v>273.22</v>
      </c>
      <c r="M118" s="115" t="n">
        <v>3.0</v>
      </c>
      <c r="N118" s="115"/>
      <c r="O118" s="115"/>
      <c r="P118" s="115"/>
      <c r="Q118" s="115"/>
      <c r="R118" s="115"/>
      <c r="S118" s="115"/>
      <c r="T118" s="115"/>
      <c r="U118" s="115"/>
      <c r="V118" s="115" t="s">
        <v>82</v>
      </c>
      <c r="W118" s="115" t="s">
        <v>92</v>
      </c>
      <c r="X118" s="113">
        <f>IF(INDIRECT("W118")="Clássico","12%",IF(INDIRECT("W118")="Premium","17%","-"))</f>
      </c>
      <c r="Y118" s="113" t="s">
        <v>181</v>
      </c>
    </row>
    <row r="119" ht="50.0" customHeight="true">
      <c r="A119" s="113" t="s">
        <v>507</v>
      </c>
      <c r="B119" s="113" t="s">
        <v>508</v>
      </c>
      <c r="C119" s="113" t="s">
        <v>509</v>
      </c>
      <c r="D119" s="113"/>
      <c r="E119" s="114" t="s">
        <v>510</v>
      </c>
      <c r="F119" s="113" t="s">
        <v>511</v>
      </c>
      <c r="G119" s="113" t="s">
        <v>511</v>
      </c>
      <c r="H119" s="113" t="s">
        <v>103</v>
      </c>
      <c r="I119" s="115" t="n">
        <v>374.56</v>
      </c>
      <c r="J119" s="115" t="s">
        <v>80</v>
      </c>
      <c r="K119" s="115" t="s">
        <v>81</v>
      </c>
      <c r="L119" s="115" t="n">
        <v>369.56</v>
      </c>
      <c r="M119" s="115" t="n">
        <v>3.0</v>
      </c>
      <c r="N119" s="115"/>
      <c r="O119" s="115"/>
      <c r="P119" s="115"/>
      <c r="Q119" s="115"/>
      <c r="R119" s="115"/>
      <c r="S119" s="115"/>
      <c r="T119" s="115"/>
      <c r="U119" s="115"/>
      <c r="V119" s="115" t="s">
        <v>82</v>
      </c>
      <c r="W119" s="115" t="s">
        <v>83</v>
      </c>
      <c r="X119" s="113">
        <f>IF(INDIRECT("W119")="Clássico","12%",IF(INDIRECT("W119")="Premium","17%","-"))</f>
      </c>
      <c r="Y119" s="113" t="s">
        <v>512</v>
      </c>
    </row>
    <row r="120" ht="50.0" customHeight="true">
      <c r="A120" s="113" t="s">
        <v>513</v>
      </c>
      <c r="B120" s="113" t="s">
        <v>514</v>
      </c>
      <c r="C120" s="113" t="s">
        <v>515</v>
      </c>
      <c r="D120" s="113"/>
      <c r="E120" s="114" t="s">
        <v>516</v>
      </c>
      <c r="F120" s="113" t="s">
        <v>517</v>
      </c>
      <c r="G120" s="113" t="s">
        <v>518</v>
      </c>
      <c r="H120" s="113" t="s">
        <v>103</v>
      </c>
      <c r="I120" s="115" t="n">
        <v>41.14</v>
      </c>
      <c r="J120" s="115" t="s">
        <v>80</v>
      </c>
      <c r="K120" s="115" t="s">
        <v>81</v>
      </c>
      <c r="L120" s="115" t="n">
        <v>36.14</v>
      </c>
      <c r="M120" s="115" t="n">
        <v>3.0</v>
      </c>
      <c r="N120" s="115"/>
      <c r="O120" s="115"/>
      <c r="P120" s="115"/>
      <c r="Q120" s="115"/>
      <c r="R120" s="115"/>
      <c r="S120" s="115"/>
      <c r="T120" s="115"/>
      <c r="U120" s="115"/>
      <c r="V120" s="115" t="s">
        <v>91</v>
      </c>
      <c r="W120" s="115" t="s">
        <v>92</v>
      </c>
      <c r="X120" s="113">
        <f>IF(INDIRECT("W120")="Clássico","11.5%",IF(INDIRECT("W120")="Premium","16.5%","-"))</f>
      </c>
      <c r="Y120" s="113" t="s">
        <v>519</v>
      </c>
    </row>
    <row r="121" ht="50.0" customHeight="true">
      <c r="A121" s="113" t="s">
        <v>520</v>
      </c>
      <c r="B121" s="113" t="s">
        <v>521</v>
      </c>
      <c r="C121" s="113" t="s">
        <v>522</v>
      </c>
      <c r="D121" s="113"/>
      <c r="E121" s="114" t="s">
        <v>523</v>
      </c>
      <c r="F121" s="113" t="s">
        <v>524</v>
      </c>
      <c r="G121" s="113" t="s">
        <v>518</v>
      </c>
      <c r="H121" s="113" t="s">
        <v>103</v>
      </c>
      <c r="I121" s="115" t="n">
        <v>34.81</v>
      </c>
      <c r="J121" s="115" t="s">
        <v>80</v>
      </c>
      <c r="K121" s="115" t="s">
        <v>81</v>
      </c>
      <c r="L121" s="115" t="n">
        <v>29.81</v>
      </c>
      <c r="M121" s="115" t="n">
        <v>3.0</v>
      </c>
      <c r="N121" s="115"/>
      <c r="O121" s="115"/>
      <c r="P121" s="115"/>
      <c r="Q121" s="115"/>
      <c r="R121" s="115"/>
      <c r="S121" s="115"/>
      <c r="T121" s="115"/>
      <c r="U121" s="115"/>
      <c r="V121" s="115" t="s">
        <v>91</v>
      </c>
      <c r="W121" s="115" t="s">
        <v>92</v>
      </c>
      <c r="X121" s="113">
        <f>IF(INDIRECT("W121")="Clássico","11.5%",IF(INDIRECT("W121")="Premium","16.5%","-"))</f>
      </c>
      <c r="Y121" s="113" t="s">
        <v>519</v>
      </c>
    </row>
    <row r="122" ht="50.0" customHeight="true">
      <c r="A122" s="113" t="s">
        <v>525</v>
      </c>
      <c r="B122" s="113" t="s">
        <v>526</v>
      </c>
      <c r="C122" s="113" t="s">
        <v>527</v>
      </c>
      <c r="D122" s="113"/>
      <c r="E122" s="114" t="s">
        <v>148</v>
      </c>
      <c r="F122" s="113" t="s">
        <v>528</v>
      </c>
      <c r="G122" s="113" t="s">
        <v>528</v>
      </c>
      <c r="H122" s="113" t="s">
        <v>103</v>
      </c>
      <c r="I122" s="115" t="n">
        <v>188.6</v>
      </c>
      <c r="J122" s="115" t="s">
        <v>80</v>
      </c>
      <c r="K122" s="115" t="s">
        <v>81</v>
      </c>
      <c r="L122" s="115" t="n">
        <v>219.04</v>
      </c>
      <c r="M122" s="115" t="n">
        <v>3.0</v>
      </c>
      <c r="N122" s="115"/>
      <c r="O122" s="115"/>
      <c r="P122" s="115"/>
      <c r="Q122" s="115"/>
      <c r="R122" s="115"/>
      <c r="S122" s="115"/>
      <c r="T122" s="115"/>
      <c r="U122" s="115"/>
      <c r="V122" s="115" t="s">
        <v>82</v>
      </c>
      <c r="W122" s="115" t="s">
        <v>83</v>
      </c>
      <c r="X122" s="113">
        <f>IF(INDIRECT("W122")="Clássico","12%",IF(INDIRECT("W122")="Premium","17%","-"))</f>
      </c>
      <c r="Y122" s="113" t="s">
        <v>151</v>
      </c>
    </row>
    <row r="123" ht="50.0" customHeight="true">
      <c r="A123" s="113" t="s">
        <v>529</v>
      </c>
      <c r="B123" s="113" t="s">
        <v>530</v>
      </c>
      <c r="C123" s="113" t="s">
        <v>531</v>
      </c>
      <c r="D123" s="113"/>
      <c r="E123" s="114" t="s">
        <v>532</v>
      </c>
      <c r="F123" s="113" t="s">
        <v>533</v>
      </c>
      <c r="G123" s="113" t="s">
        <v>533</v>
      </c>
      <c r="H123" s="113" t="s">
        <v>103</v>
      </c>
      <c r="I123" s="115" t="n">
        <v>242.91</v>
      </c>
      <c r="J123" s="115" t="s">
        <v>80</v>
      </c>
      <c r="K123" s="115" t="s">
        <v>81</v>
      </c>
      <c r="L123" s="115" t="n">
        <v>237.91</v>
      </c>
      <c r="M123" s="115" t="n">
        <v>3.0</v>
      </c>
      <c r="N123" s="115"/>
      <c r="O123" s="115"/>
      <c r="P123" s="115"/>
      <c r="Q123" s="115"/>
      <c r="R123" s="115"/>
      <c r="S123" s="115"/>
      <c r="T123" s="115"/>
      <c r="U123" s="115"/>
      <c r="V123" s="115" t="s">
        <v>82</v>
      </c>
      <c r="W123" s="115" t="s">
        <v>83</v>
      </c>
      <c r="X123" s="113">
        <f>IF(INDIRECT("W123")="Clássico","10%",IF(INDIRECT("W123")="Premium","15%","-"))</f>
      </c>
      <c r="Y123" s="113" t="s">
        <v>534</v>
      </c>
    </row>
    <row r="124" ht="50.0" customHeight="true">
      <c r="A124" s="113" t="s">
        <v>535</v>
      </c>
      <c r="B124" s="113" t="s">
        <v>536</v>
      </c>
      <c r="C124" s="113" t="s">
        <v>537</v>
      </c>
      <c r="D124" s="113"/>
      <c r="E124" s="114" t="s">
        <v>141</v>
      </c>
      <c r="F124" s="113" t="s">
        <v>538</v>
      </c>
      <c r="G124" s="113" t="s">
        <v>538</v>
      </c>
      <c r="H124" s="113" t="s">
        <v>173</v>
      </c>
      <c r="I124" s="115" t="n">
        <v>84.68</v>
      </c>
      <c r="J124" s="115" t="s">
        <v>80</v>
      </c>
      <c r="K124" s="115" t="s">
        <v>81</v>
      </c>
      <c r="L124" s="115" t="n">
        <v>86.01</v>
      </c>
      <c r="M124" s="115" t="n">
        <v>3.0</v>
      </c>
      <c r="N124" s="115"/>
      <c r="O124" s="115"/>
      <c r="P124" s="115"/>
      <c r="Q124" s="115"/>
      <c r="R124" s="115"/>
      <c r="S124" s="115"/>
      <c r="T124" s="115"/>
      <c r="U124" s="115"/>
      <c r="V124" s="115" t="s">
        <v>91</v>
      </c>
      <c r="W124" s="115" t="s">
        <v>92</v>
      </c>
      <c r="X124" s="113">
        <f>IF(INDIRECT("W124")="Clássico","12%",IF(INDIRECT("W124")="Premium","17%","-"))</f>
      </c>
      <c r="Y124" s="113" t="s">
        <v>144</v>
      </c>
    </row>
    <row r="125" ht="50.0" customHeight="true">
      <c r="A125" s="113" t="s">
        <v>539</v>
      </c>
      <c r="B125" s="113" t="s">
        <v>540</v>
      </c>
      <c r="C125" s="113" t="s">
        <v>541</v>
      </c>
      <c r="D125" s="113"/>
      <c r="E125" s="114" t="s">
        <v>341</v>
      </c>
      <c r="F125" s="113" t="s">
        <v>542</v>
      </c>
      <c r="G125" s="113" t="s">
        <v>542</v>
      </c>
      <c r="H125" s="113" t="s">
        <v>103</v>
      </c>
      <c r="I125" s="115" t="n">
        <v>96.08</v>
      </c>
      <c r="J125" s="115" t="s">
        <v>80</v>
      </c>
      <c r="K125" s="115" t="s">
        <v>81</v>
      </c>
      <c r="L125" s="115" t="n">
        <v>67.03</v>
      </c>
      <c r="M125" s="115" t="n">
        <v>3.0</v>
      </c>
      <c r="N125" s="115"/>
      <c r="O125" s="115"/>
      <c r="P125" s="115"/>
      <c r="Q125" s="115"/>
      <c r="R125" s="115"/>
      <c r="S125" s="115"/>
      <c r="T125" s="115"/>
      <c r="U125" s="115"/>
      <c r="V125" s="115" t="s">
        <v>91</v>
      </c>
      <c r="W125" s="115" t="s">
        <v>92</v>
      </c>
      <c r="X125" s="113">
        <f>IF(INDIRECT("W125")="Clássico","12%",IF(INDIRECT("W125")="Premium","17%","-"))</f>
      </c>
      <c r="Y125" s="113" t="s">
        <v>343</v>
      </c>
    </row>
    <row r="126" ht="50.0" customHeight="true">
      <c r="A126" s="113" t="s">
        <v>543</v>
      </c>
      <c r="B126" s="113" t="s">
        <v>544</v>
      </c>
      <c r="C126" s="113" t="s">
        <v>545</v>
      </c>
      <c r="D126" s="113"/>
      <c r="E126" s="114" t="s">
        <v>505</v>
      </c>
      <c r="F126" s="113" t="s">
        <v>506</v>
      </c>
      <c r="G126" s="113" t="s">
        <v>506</v>
      </c>
      <c r="H126" s="113" t="s">
        <v>103</v>
      </c>
      <c r="I126" s="115" t="n">
        <v>293.55</v>
      </c>
      <c r="J126" s="115" t="s">
        <v>80</v>
      </c>
      <c r="K126" s="115" t="s">
        <v>81</v>
      </c>
      <c r="L126" s="115" t="n">
        <v>275.89</v>
      </c>
      <c r="M126" s="115" t="n">
        <v>3.0</v>
      </c>
      <c r="N126" s="115"/>
      <c r="O126" s="115"/>
      <c r="P126" s="115"/>
      <c r="Q126" s="115"/>
      <c r="R126" s="115"/>
      <c r="S126" s="115"/>
      <c r="T126" s="115"/>
      <c r="U126" s="115"/>
      <c r="V126" s="115" t="s">
        <v>82</v>
      </c>
      <c r="W126" s="115" t="s">
        <v>83</v>
      </c>
      <c r="X126" s="113">
        <f>IF(INDIRECT("W126")="Clássico","12%",IF(INDIRECT("W126")="Premium","17%","-"))</f>
      </c>
      <c r="Y126" s="113" t="s">
        <v>181</v>
      </c>
    </row>
    <row r="127" ht="50.0" customHeight="true">
      <c r="A127" s="113" t="s">
        <v>546</v>
      </c>
      <c r="B127" s="113" t="s">
        <v>547</v>
      </c>
      <c r="C127" s="113" t="s">
        <v>548</v>
      </c>
      <c r="D127" s="113"/>
      <c r="E127" s="114" t="s">
        <v>549</v>
      </c>
      <c r="F127" s="113" t="s">
        <v>550</v>
      </c>
      <c r="G127" s="113" t="s">
        <v>550</v>
      </c>
      <c r="H127" s="113" t="s">
        <v>157</v>
      </c>
      <c r="I127" s="115" t="n">
        <v>346.71</v>
      </c>
      <c r="J127" s="115" t="s">
        <v>80</v>
      </c>
      <c r="K127" s="115" t="s">
        <v>81</v>
      </c>
      <c r="L127" s="115" t="n">
        <v>340.56</v>
      </c>
      <c r="M127" s="115" t="n">
        <v>3.0</v>
      </c>
      <c r="N127" s="115"/>
      <c r="O127" s="115"/>
      <c r="P127" s="115"/>
      <c r="Q127" s="115"/>
      <c r="R127" s="115"/>
      <c r="S127" s="115"/>
      <c r="T127" s="115"/>
      <c r="U127" s="115"/>
      <c r="V127" s="115" t="s">
        <v>82</v>
      </c>
      <c r="W127" s="115" t="s">
        <v>92</v>
      </c>
      <c r="X127" s="113">
        <f>IF(INDIRECT("W127")="Clássico","12%",IF(INDIRECT("W127")="Premium","17%","-"))</f>
      </c>
      <c r="Y127" s="113" t="s">
        <v>551</v>
      </c>
    </row>
    <row r="128" ht="50.0" customHeight="true">
      <c r="A128" s="113" t="s">
        <v>22</v>
      </c>
      <c r="B128" s="113" t="s">
        <v>552</v>
      </c>
      <c r="C128" s="113"/>
      <c r="D128" s="113"/>
      <c r="E128" s="113" t="s">
        <v>106</v>
      </c>
      <c r="F128" s="113" t="s">
        <v>553</v>
      </c>
      <c r="G128" s="113" t="s">
        <v>103</v>
      </c>
      <c r="H128" s="113" t="s">
        <v>103</v>
      </c>
      <c r="I128" s="115" t="n">
        <v>210.1</v>
      </c>
      <c r="J128" s="115" t="s">
        <v>80</v>
      </c>
      <c r="K128" s="113" t="s">
        <v>81</v>
      </c>
      <c r="L128" s="115" t="n">
        <v>205.1</v>
      </c>
      <c r="M128" s="115" t="n">
        <v>3.0</v>
      </c>
      <c r="N128" s="115"/>
      <c r="O128" s="115"/>
      <c r="P128" s="115"/>
      <c r="Q128" s="115"/>
      <c r="R128" s="115"/>
      <c r="S128" s="115"/>
      <c r="T128" s="115"/>
      <c r="U128" s="115"/>
      <c r="V128" s="115" t="s">
        <v>82</v>
      </c>
      <c r="W128" s="115" t="s">
        <v>83</v>
      </c>
      <c r="X128" s="113">
        <f>IF(INDIRECT("W128")="Clássico","12.5%",IF(INDIRECT("W128")="Premium","17.5%","-"))</f>
      </c>
      <c r="Y128" s="113" t="s">
        <v>554</v>
      </c>
    </row>
    <row r="129" ht="50.0" customHeight="true">
      <c r="A129" s="113" t="s">
        <v>22</v>
      </c>
      <c r="B129" s="113" t="s">
        <v>552</v>
      </c>
      <c r="C129" s="113" t="s">
        <v>555</v>
      </c>
      <c r="D129" s="113" t="s">
        <v>555</v>
      </c>
      <c r="E129" s="114" t="s">
        <v>106</v>
      </c>
      <c r="F129" s="116">
        <f>"     "&amp;F128</f>
      </c>
      <c r="G129" s="113" t="s">
        <v>556</v>
      </c>
      <c r="H129" s="113" t="s">
        <v>103</v>
      </c>
      <c r="I129" s="113">
        <f>I128</f>
      </c>
      <c r="J129" s="113">
        <f>J128&amp;"     "</f>
      </c>
      <c r="K129" s="113" t="s">
        <v>81</v>
      </c>
      <c r="L129" s="113">
        <f>L128</f>
      </c>
      <c r="M129" s="113">
        <f>M128</f>
      </c>
      <c r="N129" s="113">
        <f>N128</f>
      </c>
      <c r="O129" s="113">
        <f>O128</f>
      </c>
      <c r="P129" s="113">
        <f>P128</f>
      </c>
      <c r="Q129" s="113">
        <f>Q128</f>
      </c>
      <c r="R129" s="113">
        <f>R128</f>
      </c>
      <c r="S129" s="113">
        <f>S128</f>
      </c>
      <c r="T129" s="113">
        <f>T128</f>
      </c>
      <c r="U129" s="113">
        <f>U128</f>
      </c>
      <c r="V129" s="113">
        <f>V128&amp;"     "</f>
      </c>
      <c r="W129" s="113">
        <f>W128&amp;"     "</f>
      </c>
      <c r="X129" s="113">
        <f>X128</f>
      </c>
      <c r="Y129" s="113" t="s">
        <v>554</v>
      </c>
    </row>
    <row r="130" ht="50.0" customHeight="true">
      <c r="A130" s="113" t="s">
        <v>22</v>
      </c>
      <c r="B130" s="113" t="s">
        <v>552</v>
      </c>
      <c r="C130" s="113" t="s">
        <v>557</v>
      </c>
      <c r="D130" s="113" t="s">
        <v>557</v>
      </c>
      <c r="E130" s="114" t="s">
        <v>109</v>
      </c>
      <c r="F130" s="116">
        <f>"     "&amp;F128</f>
      </c>
      <c r="G130" s="113" t="s">
        <v>558</v>
      </c>
      <c r="H130" s="113" t="s">
        <v>103</v>
      </c>
      <c r="I130" s="113">
        <f>I128</f>
      </c>
      <c r="J130" s="113">
        <f>J128&amp;"     "</f>
      </c>
      <c r="K130" s="113" t="s">
        <v>81</v>
      </c>
      <c r="L130" s="113">
        <f>L128</f>
      </c>
      <c r="M130" s="113">
        <f>M128</f>
      </c>
      <c r="N130" s="113">
        <f>N128</f>
      </c>
      <c r="O130" s="113">
        <f>O128</f>
      </c>
      <c r="P130" s="113">
        <f>P128</f>
      </c>
      <c r="Q130" s="113">
        <f>Q128</f>
      </c>
      <c r="R130" s="113">
        <f>R128</f>
      </c>
      <c r="S130" s="113">
        <f>S128</f>
      </c>
      <c r="T130" s="113">
        <f>T128</f>
      </c>
      <c r="U130" s="113">
        <f>U128</f>
      </c>
      <c r="V130" s="113">
        <f>V128&amp;"     "</f>
      </c>
      <c r="W130" s="113">
        <f>W128&amp;"     "</f>
      </c>
      <c r="X130" s="113">
        <f>X128</f>
      </c>
      <c r="Y130" s="113" t="s">
        <v>554</v>
      </c>
    </row>
    <row r="131" ht="50.0" customHeight="true">
      <c r="A131" s="113" t="s">
        <v>559</v>
      </c>
      <c r="B131" s="113" t="s">
        <v>560</v>
      </c>
      <c r="C131" s="113" t="s">
        <v>561</v>
      </c>
      <c r="D131" s="113"/>
      <c r="E131" s="114" t="s">
        <v>270</v>
      </c>
      <c r="F131" s="113" t="s">
        <v>271</v>
      </c>
      <c r="G131" s="113" t="s">
        <v>184</v>
      </c>
      <c r="H131" s="113" t="s">
        <v>103</v>
      </c>
      <c r="I131" s="115" t="n">
        <v>127.72</v>
      </c>
      <c r="J131" s="115" t="s">
        <v>80</v>
      </c>
      <c r="K131" s="115" t="s">
        <v>81</v>
      </c>
      <c r="L131" s="115" t="n">
        <v>127.79</v>
      </c>
      <c r="M131" s="115" t="n">
        <v>3.0</v>
      </c>
      <c r="N131" s="115"/>
      <c r="O131" s="115"/>
      <c r="P131" s="115"/>
      <c r="Q131" s="115"/>
      <c r="R131" s="115"/>
      <c r="S131" s="115"/>
      <c r="T131" s="115"/>
      <c r="U131" s="115"/>
      <c r="V131" s="115" t="s">
        <v>82</v>
      </c>
      <c r="W131" s="115" t="s">
        <v>92</v>
      </c>
      <c r="X131" s="113">
        <f>IF(INDIRECT("W131")="Clássico","12%",IF(INDIRECT("W131")="Premium","17%","-"))</f>
      </c>
      <c r="Y131" s="113" t="s">
        <v>367</v>
      </c>
    </row>
    <row r="132" ht="50.0" customHeight="true">
      <c r="A132" s="113" t="s">
        <v>562</v>
      </c>
      <c r="B132" s="113" t="s">
        <v>563</v>
      </c>
      <c r="C132" s="113" t="s">
        <v>564</v>
      </c>
      <c r="D132" s="113"/>
      <c r="E132" s="114" t="s">
        <v>431</v>
      </c>
      <c r="F132" s="113" t="s">
        <v>565</v>
      </c>
      <c r="G132" s="113" t="s">
        <v>566</v>
      </c>
      <c r="H132" s="113" t="s">
        <v>103</v>
      </c>
      <c r="I132" s="115" t="n">
        <v>534.06</v>
      </c>
      <c r="J132" s="115" t="s">
        <v>80</v>
      </c>
      <c r="K132" s="115" t="s">
        <v>81</v>
      </c>
      <c r="L132" s="115" t="n">
        <v>473.36</v>
      </c>
      <c r="M132" s="115" t="n">
        <v>3.0</v>
      </c>
      <c r="N132" s="115"/>
      <c r="O132" s="115"/>
      <c r="P132" s="115"/>
      <c r="Q132" s="115"/>
      <c r="R132" s="115"/>
      <c r="S132" s="115"/>
      <c r="T132" s="115"/>
      <c r="U132" s="115"/>
      <c r="V132" s="115" t="s">
        <v>82</v>
      </c>
      <c r="W132" s="115" t="s">
        <v>83</v>
      </c>
      <c r="X132" s="113">
        <f>IF(INDIRECT("W132")="Clássico","12%",IF(INDIRECT("W132")="Premium","17%","-"))</f>
      </c>
      <c r="Y132" s="113" t="s">
        <v>414</v>
      </c>
    </row>
    <row r="133" ht="50.0" customHeight="true">
      <c r="A133" s="113" t="s">
        <v>567</v>
      </c>
      <c r="B133" s="113" t="s">
        <v>568</v>
      </c>
      <c r="C133" s="113" t="s">
        <v>569</v>
      </c>
      <c r="D133" s="113"/>
      <c r="E133" s="114" t="s">
        <v>77</v>
      </c>
      <c r="F133" s="113" t="s">
        <v>570</v>
      </c>
      <c r="G133" s="113" t="s">
        <v>570</v>
      </c>
      <c r="H133" s="113" t="s">
        <v>103</v>
      </c>
      <c r="I133" s="115" t="n">
        <v>145.44</v>
      </c>
      <c r="J133" s="115" t="s">
        <v>80</v>
      </c>
      <c r="K133" s="115" t="s">
        <v>81</v>
      </c>
      <c r="L133" s="115" t="n">
        <v>103.9</v>
      </c>
      <c r="M133" s="115" t="n">
        <v>3.0</v>
      </c>
      <c r="N133" s="115"/>
      <c r="O133" s="115"/>
      <c r="P133" s="115"/>
      <c r="Q133" s="115"/>
      <c r="R133" s="115"/>
      <c r="S133" s="115"/>
      <c r="T133" s="115"/>
      <c r="U133" s="115"/>
      <c r="V133" s="115" t="s">
        <v>82</v>
      </c>
      <c r="W133" s="115" t="s">
        <v>92</v>
      </c>
      <c r="X133" s="113">
        <f>IF(INDIRECT("W133")="Clássico","12%",IF(INDIRECT("W133")="Premium","17%","-"))</f>
      </c>
      <c r="Y133" s="113" t="s">
        <v>84</v>
      </c>
    </row>
    <row r="134" ht="50.0" customHeight="true">
      <c r="A134" s="113" t="s">
        <v>571</v>
      </c>
      <c r="B134" s="113" t="s">
        <v>572</v>
      </c>
      <c r="C134" s="113" t="s">
        <v>573</v>
      </c>
      <c r="D134" s="113"/>
      <c r="E134" s="114" t="s">
        <v>574</v>
      </c>
      <c r="F134" s="113" t="s">
        <v>575</v>
      </c>
      <c r="G134" s="113" t="s">
        <v>575</v>
      </c>
      <c r="H134" s="113" t="s">
        <v>103</v>
      </c>
      <c r="I134" s="115" t="n">
        <v>161.9</v>
      </c>
      <c r="J134" s="115" t="s">
        <v>80</v>
      </c>
      <c r="K134" s="115" t="s">
        <v>81</v>
      </c>
      <c r="L134" s="115" t="n">
        <v>156.9</v>
      </c>
      <c r="M134" s="115" t="n">
        <v>3.0</v>
      </c>
      <c r="N134" s="115"/>
      <c r="O134" s="115"/>
      <c r="P134" s="115"/>
      <c r="Q134" s="115"/>
      <c r="R134" s="115"/>
      <c r="S134" s="115"/>
      <c r="T134" s="115"/>
      <c r="U134" s="115"/>
      <c r="V134" s="115" t="s">
        <v>82</v>
      </c>
      <c r="W134" s="115" t="s">
        <v>83</v>
      </c>
      <c r="X134" s="113">
        <f>IF(INDIRECT("W134")="Clássico","12%",IF(INDIRECT("W134")="Premium","17%","-"))</f>
      </c>
      <c r="Y134" s="113" t="s">
        <v>576</v>
      </c>
    </row>
    <row r="135" ht="50.0" customHeight="true">
      <c r="A135" s="113" t="s">
        <v>577</v>
      </c>
      <c r="B135" s="113" t="s">
        <v>578</v>
      </c>
      <c r="C135" s="113" t="s">
        <v>579</v>
      </c>
      <c r="D135" s="113"/>
      <c r="E135" s="114" t="s">
        <v>148</v>
      </c>
      <c r="F135" s="113" t="s">
        <v>580</v>
      </c>
      <c r="G135" s="113" t="s">
        <v>580</v>
      </c>
      <c r="H135" s="113" t="s">
        <v>103</v>
      </c>
      <c r="I135" s="115" t="n">
        <v>187.22</v>
      </c>
      <c r="J135" s="115" t="s">
        <v>80</v>
      </c>
      <c r="K135" s="115" t="s">
        <v>81</v>
      </c>
      <c r="L135" s="115" t="n">
        <v>142.99</v>
      </c>
      <c r="M135" s="115" t="n">
        <v>3.0</v>
      </c>
      <c r="N135" s="115"/>
      <c r="O135" s="115"/>
      <c r="P135" s="115"/>
      <c r="Q135" s="115"/>
      <c r="R135" s="115"/>
      <c r="S135" s="115"/>
      <c r="T135" s="115"/>
      <c r="U135" s="115"/>
      <c r="V135" s="115" t="s">
        <v>82</v>
      </c>
      <c r="W135" s="115" t="s">
        <v>83</v>
      </c>
      <c r="X135" s="113">
        <f>IF(INDIRECT("W135")="Clássico","12%",IF(INDIRECT("W135")="Premium","17%","-"))</f>
      </c>
      <c r="Y135" s="113" t="s">
        <v>151</v>
      </c>
    </row>
    <row r="136" ht="50.0" customHeight="true">
      <c r="A136" s="113" t="s">
        <v>581</v>
      </c>
      <c r="B136" s="113" t="s">
        <v>582</v>
      </c>
      <c r="C136" s="113" t="s">
        <v>583</v>
      </c>
      <c r="D136" s="113"/>
      <c r="E136" s="114" t="s">
        <v>162</v>
      </c>
      <c r="F136" s="113" t="s">
        <v>584</v>
      </c>
      <c r="G136" s="113" t="s">
        <v>584</v>
      </c>
      <c r="H136" s="113" t="s">
        <v>103</v>
      </c>
      <c r="I136" s="115" t="n">
        <v>792.29</v>
      </c>
      <c r="J136" s="115" t="s">
        <v>80</v>
      </c>
      <c r="K136" s="115" t="s">
        <v>81</v>
      </c>
      <c r="L136" s="115" t="n">
        <v>930.33</v>
      </c>
      <c r="M136" s="115" t="n">
        <v>3.0</v>
      </c>
      <c r="N136" s="115"/>
      <c r="O136" s="115"/>
      <c r="P136" s="115"/>
      <c r="Q136" s="115"/>
      <c r="R136" s="115"/>
      <c r="S136" s="115"/>
      <c r="T136" s="115"/>
      <c r="U136" s="115"/>
      <c r="V136" s="115" t="s">
        <v>82</v>
      </c>
      <c r="W136" s="115" t="s">
        <v>83</v>
      </c>
      <c r="X136" s="113">
        <f>IF(INDIRECT("W136")="Clássico","12%",IF(INDIRECT("W136")="Premium","17%","-"))</f>
      </c>
      <c r="Y136" s="113" t="s">
        <v>164</v>
      </c>
    </row>
    <row r="137" ht="50.0" customHeight="true">
      <c r="A137" s="113" t="s">
        <v>585</v>
      </c>
      <c r="B137" s="113" t="s">
        <v>586</v>
      </c>
      <c r="C137" s="113" t="s">
        <v>587</v>
      </c>
      <c r="D137" s="113"/>
      <c r="E137" s="114" t="s">
        <v>588</v>
      </c>
      <c r="F137" s="113" t="s">
        <v>589</v>
      </c>
      <c r="G137" s="113" t="s">
        <v>590</v>
      </c>
      <c r="H137" s="113" t="s">
        <v>103</v>
      </c>
      <c r="I137" s="115" t="n">
        <v>79.1</v>
      </c>
      <c r="J137" s="115" t="s">
        <v>80</v>
      </c>
      <c r="K137" s="115" t="s">
        <v>81</v>
      </c>
      <c r="L137" s="115" t="n">
        <v>74.1</v>
      </c>
      <c r="M137" s="115" t="n">
        <v>3.0</v>
      </c>
      <c r="N137" s="115"/>
      <c r="O137" s="115"/>
      <c r="P137" s="115"/>
      <c r="Q137" s="115"/>
      <c r="R137" s="115"/>
      <c r="S137" s="115"/>
      <c r="T137" s="115"/>
      <c r="U137" s="115"/>
      <c r="V137" s="115" t="s">
        <v>91</v>
      </c>
      <c r="W137" s="115" t="s">
        <v>92</v>
      </c>
      <c r="X137" s="113">
        <f>IF(INDIRECT("W137")="Clássico","12%",IF(INDIRECT("W137")="Premium","17%","-"))</f>
      </c>
      <c r="Y137" s="113" t="s">
        <v>591</v>
      </c>
    </row>
    <row r="138" ht="50.0" customHeight="true">
      <c r="A138" s="113" t="s">
        <v>592</v>
      </c>
      <c r="B138" s="113" t="s">
        <v>593</v>
      </c>
      <c r="C138" s="113" t="s">
        <v>594</v>
      </c>
      <c r="D138" s="113"/>
      <c r="E138" s="114" t="s">
        <v>595</v>
      </c>
      <c r="F138" s="113" t="s">
        <v>596</v>
      </c>
      <c r="G138" s="113" t="s">
        <v>596</v>
      </c>
      <c r="H138" s="113" t="s">
        <v>103</v>
      </c>
      <c r="I138" s="115" t="n">
        <v>173.29</v>
      </c>
      <c r="J138" s="115" t="s">
        <v>80</v>
      </c>
      <c r="K138" s="115" t="s">
        <v>81</v>
      </c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 t="s">
        <v>82</v>
      </c>
      <c r="W138" s="115" t="s">
        <v>83</v>
      </c>
      <c r="X138" s="113">
        <f>IF(INDIRECT("W138")="Clássico","12%",IF(INDIRECT("W138")="Premium","17%","-"))</f>
      </c>
      <c r="Y138" s="113" t="s">
        <v>597</v>
      </c>
    </row>
    <row r="139" ht="50.0" customHeight="true">
      <c r="A139" s="113" t="s">
        <v>598</v>
      </c>
      <c r="B139" s="113" t="s">
        <v>599</v>
      </c>
      <c r="C139" s="113" t="s">
        <v>600</v>
      </c>
      <c r="D139" s="113"/>
      <c r="E139" s="114" t="s">
        <v>411</v>
      </c>
      <c r="F139" s="113" t="s">
        <v>601</v>
      </c>
      <c r="G139" s="113" t="s">
        <v>413</v>
      </c>
      <c r="H139" s="113" t="s">
        <v>103</v>
      </c>
      <c r="I139" s="115" t="n">
        <v>406.9</v>
      </c>
      <c r="J139" s="115" t="s">
        <v>80</v>
      </c>
      <c r="K139" s="115" t="s">
        <v>81</v>
      </c>
      <c r="L139" s="115" t="n">
        <v>327.1</v>
      </c>
      <c r="M139" s="115" t="n">
        <v>3.0</v>
      </c>
      <c r="N139" s="115"/>
      <c r="O139" s="115"/>
      <c r="P139" s="115"/>
      <c r="Q139" s="115"/>
      <c r="R139" s="115"/>
      <c r="S139" s="115"/>
      <c r="T139" s="115"/>
      <c r="U139" s="115"/>
      <c r="V139" s="115" t="s">
        <v>82</v>
      </c>
      <c r="W139" s="115" t="s">
        <v>83</v>
      </c>
      <c r="X139" s="113">
        <f>IF(INDIRECT("W139")="Clássico","12%",IF(INDIRECT("W139")="Premium","17%","-"))</f>
      </c>
      <c r="Y139" s="113" t="s">
        <v>414</v>
      </c>
    </row>
    <row r="140" ht="50.0" customHeight="true">
      <c r="A140" s="113" t="s">
        <v>22</v>
      </c>
      <c r="B140" s="113" t="s">
        <v>602</v>
      </c>
      <c r="C140" s="113"/>
      <c r="D140" s="113"/>
      <c r="E140" s="113" t="s">
        <v>22</v>
      </c>
      <c r="F140" s="113" t="s">
        <v>603</v>
      </c>
      <c r="G140" s="113" t="s">
        <v>103</v>
      </c>
      <c r="H140" s="113" t="s">
        <v>103</v>
      </c>
      <c r="I140" s="115" t="n">
        <v>204.94</v>
      </c>
      <c r="J140" s="115" t="s">
        <v>80</v>
      </c>
      <c r="K140" s="113" t="s">
        <v>81</v>
      </c>
      <c r="L140" s="115" t="n">
        <v>226.52</v>
      </c>
      <c r="M140" s="115" t="n">
        <v>3.0</v>
      </c>
      <c r="N140" s="115"/>
      <c r="O140" s="115"/>
      <c r="P140" s="115"/>
      <c r="Q140" s="115"/>
      <c r="R140" s="115"/>
      <c r="S140" s="115"/>
      <c r="T140" s="115"/>
      <c r="U140" s="115"/>
      <c r="V140" s="115" t="s">
        <v>82</v>
      </c>
      <c r="W140" s="115" t="s">
        <v>92</v>
      </c>
      <c r="X140" s="113">
        <f>IF(INDIRECT("W140")="Clássico","12%",IF(INDIRECT("W140")="Premium","17%","-"))</f>
      </c>
      <c r="Y140" s="113" t="s">
        <v>604</v>
      </c>
    </row>
    <row r="141" ht="50.0" customHeight="true">
      <c r="A141" s="113" t="s">
        <v>22</v>
      </c>
      <c r="B141" s="113" t="s">
        <v>602</v>
      </c>
      <c r="C141" s="113" t="s">
        <v>605</v>
      </c>
      <c r="D141" s="113" t="s">
        <v>605</v>
      </c>
      <c r="E141" s="114" t="s">
        <v>452</v>
      </c>
      <c r="F141" s="116">
        <f>"     "&amp;F140</f>
      </c>
      <c r="G141" s="113" t="s">
        <v>606</v>
      </c>
      <c r="H141" s="113" t="s">
        <v>103</v>
      </c>
      <c r="I141" s="113">
        <f>I140</f>
      </c>
      <c r="J141" s="113">
        <f>J140&amp;"     "</f>
      </c>
      <c r="K141" s="113" t="s">
        <v>81</v>
      </c>
      <c r="L141" s="113">
        <f>L140</f>
      </c>
      <c r="M141" s="113">
        <f>M140</f>
      </c>
      <c r="N141" s="113">
        <f>N140</f>
      </c>
      <c r="O141" s="113">
        <f>O140</f>
      </c>
      <c r="P141" s="113">
        <f>P140</f>
      </c>
      <c r="Q141" s="113">
        <f>Q140</f>
      </c>
      <c r="R141" s="113">
        <f>R140</f>
      </c>
      <c r="S141" s="113">
        <f>S140</f>
      </c>
      <c r="T141" s="113">
        <f>T140</f>
      </c>
      <c r="U141" s="113">
        <f>U140</f>
      </c>
      <c r="V141" s="113">
        <f>V140&amp;"     "</f>
      </c>
      <c r="W141" s="113">
        <f>W140&amp;"     "</f>
      </c>
      <c r="X141" s="113">
        <f>X140</f>
      </c>
      <c r="Y141" s="113" t="s">
        <v>604</v>
      </c>
    </row>
    <row r="142" ht="50.0" customHeight="true">
      <c r="A142" s="113" t="s">
        <v>22</v>
      </c>
      <c r="B142" s="113" t="s">
        <v>602</v>
      </c>
      <c r="C142" s="113" t="s">
        <v>607</v>
      </c>
      <c r="D142" s="113" t="s">
        <v>607</v>
      </c>
      <c r="E142" s="114" t="s">
        <v>455</v>
      </c>
      <c r="F142" s="116">
        <f>"     "&amp;F140</f>
      </c>
      <c r="G142" s="113" t="s">
        <v>608</v>
      </c>
      <c r="H142" s="113" t="s">
        <v>103</v>
      </c>
      <c r="I142" s="113">
        <f>I140</f>
      </c>
      <c r="J142" s="113">
        <f>J140&amp;"     "</f>
      </c>
      <c r="K142" s="113" t="s">
        <v>81</v>
      </c>
      <c r="L142" s="113">
        <f>L140</f>
      </c>
      <c r="M142" s="113">
        <f>M140</f>
      </c>
      <c r="N142" s="113">
        <f>N140</f>
      </c>
      <c r="O142" s="113">
        <f>O140</f>
      </c>
      <c r="P142" s="113">
        <f>P140</f>
      </c>
      <c r="Q142" s="113">
        <f>Q140</f>
      </c>
      <c r="R142" s="113">
        <f>R140</f>
      </c>
      <c r="S142" s="113">
        <f>S140</f>
      </c>
      <c r="T142" s="113">
        <f>T140</f>
      </c>
      <c r="U142" s="113">
        <f>U140</f>
      </c>
      <c r="V142" s="113">
        <f>V140&amp;"     "</f>
      </c>
      <c r="W142" s="113">
        <f>W140&amp;"     "</f>
      </c>
      <c r="X142" s="113">
        <f>X140</f>
      </c>
      <c r="Y142" s="113" t="s">
        <v>604</v>
      </c>
    </row>
    <row r="143" ht="50.0" customHeight="true">
      <c r="A143" s="113" t="s">
        <v>609</v>
      </c>
      <c r="B143" s="113" t="s">
        <v>610</v>
      </c>
      <c r="C143" s="113" t="s">
        <v>611</v>
      </c>
      <c r="D143" s="113"/>
      <c r="E143" s="114" t="s">
        <v>365</v>
      </c>
      <c r="F143" s="113" t="s">
        <v>612</v>
      </c>
      <c r="G143" s="113" t="s">
        <v>127</v>
      </c>
      <c r="H143" s="113" t="s">
        <v>143</v>
      </c>
      <c r="I143" s="115" t="n">
        <v>621.4</v>
      </c>
      <c r="J143" s="115" t="s">
        <v>80</v>
      </c>
      <c r="K143" s="115" t="s">
        <v>81</v>
      </c>
      <c r="L143" s="115" t="n">
        <v>499.94</v>
      </c>
      <c r="M143" s="115" t="n">
        <v>3.0</v>
      </c>
      <c r="N143" s="115"/>
      <c r="O143" s="115"/>
      <c r="P143" s="115"/>
      <c r="Q143" s="115"/>
      <c r="R143" s="115"/>
      <c r="S143" s="115"/>
      <c r="T143" s="115"/>
      <c r="U143" s="115"/>
      <c r="V143" s="115" t="s">
        <v>82</v>
      </c>
      <c r="W143" s="115" t="s">
        <v>83</v>
      </c>
      <c r="X143" s="113">
        <f>IF(INDIRECT("W143")="Clássico","12%",IF(INDIRECT("W143")="Premium","17%","-"))</f>
      </c>
      <c r="Y143" s="113" t="s">
        <v>367</v>
      </c>
    </row>
    <row r="144" ht="50.0" customHeight="true">
      <c r="A144" s="113" t="s">
        <v>613</v>
      </c>
      <c r="B144" s="113" t="s">
        <v>614</v>
      </c>
      <c r="C144" s="113" t="s">
        <v>615</v>
      </c>
      <c r="D144" s="113"/>
      <c r="E144" s="114" t="s">
        <v>616</v>
      </c>
      <c r="F144" s="113" t="s">
        <v>617</v>
      </c>
      <c r="G144" s="113" t="s">
        <v>127</v>
      </c>
      <c r="H144" s="113" t="s">
        <v>103</v>
      </c>
      <c r="I144" s="115" t="n">
        <v>331.52</v>
      </c>
      <c r="J144" s="115" t="s">
        <v>80</v>
      </c>
      <c r="K144" s="115" t="s">
        <v>81</v>
      </c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 t="s">
        <v>82</v>
      </c>
      <c r="W144" s="115" t="s">
        <v>92</v>
      </c>
      <c r="X144" s="113">
        <f>IF(INDIRECT("W144")="Clássico","12%",IF(INDIRECT("W144")="Premium","17%","-"))</f>
      </c>
      <c r="Y144" s="113" t="s">
        <v>158</v>
      </c>
    </row>
    <row r="145" ht="50.0" customHeight="true">
      <c r="A145" s="113" t="s">
        <v>618</v>
      </c>
      <c r="B145" s="113" t="s">
        <v>619</v>
      </c>
      <c r="C145" s="113" t="s">
        <v>620</v>
      </c>
      <c r="D145" s="113"/>
      <c r="E145" s="114" t="s">
        <v>532</v>
      </c>
      <c r="F145" s="113" t="s">
        <v>621</v>
      </c>
      <c r="G145" s="113" t="s">
        <v>621</v>
      </c>
      <c r="H145" s="113" t="s">
        <v>99</v>
      </c>
      <c r="I145" s="115" t="n">
        <v>223.93</v>
      </c>
      <c r="J145" s="115" t="s">
        <v>80</v>
      </c>
      <c r="K145" s="115" t="s">
        <v>81</v>
      </c>
      <c r="L145" s="115" t="n">
        <v>275.89</v>
      </c>
      <c r="M145" s="115" t="n">
        <v>3.0</v>
      </c>
      <c r="N145" s="115"/>
      <c r="O145" s="115"/>
      <c r="P145" s="115"/>
      <c r="Q145" s="115"/>
      <c r="R145" s="115"/>
      <c r="S145" s="115"/>
      <c r="T145" s="115"/>
      <c r="U145" s="115"/>
      <c r="V145" s="115" t="s">
        <v>82</v>
      </c>
      <c r="W145" s="115" t="s">
        <v>92</v>
      </c>
      <c r="X145" s="113">
        <f>IF(INDIRECT("W145")="Clássico","10%",IF(INDIRECT("W145")="Premium","15%","-"))</f>
      </c>
      <c r="Y145" s="113" t="s">
        <v>534</v>
      </c>
    </row>
    <row r="146" ht="50.0" customHeight="true">
      <c r="A146" s="113" t="s">
        <v>622</v>
      </c>
      <c r="B146" s="113" t="s">
        <v>623</v>
      </c>
      <c r="C146" s="113" t="s">
        <v>624</v>
      </c>
      <c r="D146" s="113"/>
      <c r="E146" s="114" t="s">
        <v>625</v>
      </c>
      <c r="F146" s="113" t="s">
        <v>626</v>
      </c>
      <c r="G146" s="113" t="s">
        <v>626</v>
      </c>
      <c r="H146" s="113" t="s">
        <v>132</v>
      </c>
      <c r="I146" s="115" t="n">
        <v>377.09</v>
      </c>
      <c r="J146" s="115" t="s">
        <v>80</v>
      </c>
      <c r="K146" s="115" t="s">
        <v>81</v>
      </c>
      <c r="L146" s="115" t="n">
        <v>158.17</v>
      </c>
      <c r="M146" s="115" t="n">
        <v>3.0</v>
      </c>
      <c r="N146" s="115"/>
      <c r="O146" s="115"/>
      <c r="P146" s="115"/>
      <c r="Q146" s="115"/>
      <c r="R146" s="115"/>
      <c r="S146" s="115"/>
      <c r="T146" s="115"/>
      <c r="U146" s="115"/>
      <c r="V146" s="115" t="s">
        <v>82</v>
      </c>
      <c r="W146" s="115" t="s">
        <v>92</v>
      </c>
      <c r="X146" s="113">
        <f>IF(INDIRECT("W146")="Clássico","12%",IF(INDIRECT("W146")="Premium","17%","-"))</f>
      </c>
      <c r="Y146" s="113" t="s">
        <v>627</v>
      </c>
    </row>
    <row r="147" ht="50.0" customHeight="true">
      <c r="A147" s="113" t="s">
        <v>628</v>
      </c>
      <c r="B147" s="113" t="s">
        <v>629</v>
      </c>
      <c r="C147" s="113" t="s">
        <v>630</v>
      </c>
      <c r="D147" s="113"/>
      <c r="E147" s="114" t="s">
        <v>148</v>
      </c>
      <c r="F147" s="113" t="s">
        <v>631</v>
      </c>
      <c r="G147" s="113" t="s">
        <v>631</v>
      </c>
      <c r="H147" s="113" t="s">
        <v>173</v>
      </c>
      <c r="I147" s="115" t="n">
        <v>92.28</v>
      </c>
      <c r="J147" s="115" t="s">
        <v>80</v>
      </c>
      <c r="K147" s="115" t="s">
        <v>81</v>
      </c>
      <c r="L147" s="115" t="n">
        <v>91.19</v>
      </c>
      <c r="M147" s="115" t="n">
        <v>3.0</v>
      </c>
      <c r="N147" s="115"/>
      <c r="O147" s="115"/>
      <c r="P147" s="115"/>
      <c r="Q147" s="115"/>
      <c r="R147" s="115"/>
      <c r="S147" s="115"/>
      <c r="T147" s="115"/>
      <c r="U147" s="115"/>
      <c r="V147" s="115" t="s">
        <v>91</v>
      </c>
      <c r="W147" s="115" t="s">
        <v>83</v>
      </c>
      <c r="X147" s="113">
        <f>IF(INDIRECT("W147")="Clássico","12%",IF(INDIRECT("W147")="Premium","17%","-"))</f>
      </c>
      <c r="Y147" s="113" t="s">
        <v>632</v>
      </c>
    </row>
    <row r="148" ht="50.0" customHeight="true">
      <c r="A148" s="113" t="s">
        <v>633</v>
      </c>
      <c r="B148" s="113" t="s">
        <v>634</v>
      </c>
      <c r="C148" s="113" t="s">
        <v>635</v>
      </c>
      <c r="D148" s="113"/>
      <c r="E148" s="114" t="s">
        <v>636</v>
      </c>
      <c r="F148" s="113" t="s">
        <v>637</v>
      </c>
      <c r="G148" s="113" t="s">
        <v>637</v>
      </c>
      <c r="H148" s="113" t="s">
        <v>132</v>
      </c>
      <c r="I148" s="115" t="n">
        <v>164.43</v>
      </c>
      <c r="J148" s="115" t="s">
        <v>80</v>
      </c>
      <c r="K148" s="115" t="s">
        <v>81</v>
      </c>
      <c r="L148" s="115" t="n">
        <v>154.37</v>
      </c>
      <c r="M148" s="115" t="n">
        <v>3.0</v>
      </c>
      <c r="N148" s="115"/>
      <c r="O148" s="115"/>
      <c r="P148" s="115"/>
      <c r="Q148" s="115"/>
      <c r="R148" s="115"/>
      <c r="S148" s="115"/>
      <c r="T148" s="115"/>
      <c r="U148" s="115"/>
      <c r="V148" s="115" t="s">
        <v>82</v>
      </c>
      <c r="W148" s="115" t="s">
        <v>92</v>
      </c>
      <c r="X148" s="113">
        <f>IF(INDIRECT("W148")="Clássico","12%",IF(INDIRECT("W148")="Premium","17%","-"))</f>
      </c>
      <c r="Y148" s="113" t="s">
        <v>482</v>
      </c>
    </row>
    <row r="149" ht="50.0" customHeight="true">
      <c r="A149" s="113" t="s">
        <v>638</v>
      </c>
      <c r="B149" s="113" t="s">
        <v>639</v>
      </c>
      <c r="C149" s="113" t="s">
        <v>640</v>
      </c>
      <c r="D149" s="113"/>
      <c r="E149" s="114" t="s">
        <v>264</v>
      </c>
      <c r="F149" s="113" t="s">
        <v>641</v>
      </c>
      <c r="G149" s="113" t="s">
        <v>642</v>
      </c>
      <c r="H149" s="113" t="s">
        <v>103</v>
      </c>
      <c r="I149" s="115" t="n">
        <v>287.22</v>
      </c>
      <c r="J149" s="115" t="s">
        <v>80</v>
      </c>
      <c r="K149" s="115" t="s">
        <v>81</v>
      </c>
      <c r="L149" s="115" t="n">
        <v>279.8</v>
      </c>
      <c r="M149" s="115" t="n">
        <v>3.0</v>
      </c>
      <c r="N149" s="115"/>
      <c r="O149" s="115"/>
      <c r="P149" s="115"/>
      <c r="Q149" s="115"/>
      <c r="R149" s="115"/>
      <c r="S149" s="115"/>
      <c r="T149" s="115"/>
      <c r="U149" s="115"/>
      <c r="V149" s="115" t="s">
        <v>82</v>
      </c>
      <c r="W149" s="115" t="s">
        <v>83</v>
      </c>
      <c r="X149" s="113">
        <f>IF(INDIRECT("W149")="Clássico","12%",IF(INDIRECT("W149")="Premium","17%","-"))</f>
      </c>
      <c r="Y149" s="113" t="s">
        <v>643</v>
      </c>
    </row>
    <row r="150" ht="50.0" customHeight="true">
      <c r="A150" s="113" t="s">
        <v>22</v>
      </c>
      <c r="B150" s="113" t="s">
        <v>644</v>
      </c>
      <c r="C150" s="113"/>
      <c r="D150" s="113"/>
      <c r="E150" s="113" t="s">
        <v>106</v>
      </c>
      <c r="F150" s="113" t="s">
        <v>645</v>
      </c>
      <c r="G150" s="113" t="s">
        <v>103</v>
      </c>
      <c r="H150" s="113" t="s">
        <v>132</v>
      </c>
      <c r="I150" s="115" t="n">
        <v>144.18</v>
      </c>
      <c r="J150" s="115" t="s">
        <v>80</v>
      </c>
      <c r="K150" s="113" t="s">
        <v>81</v>
      </c>
      <c r="L150" s="115" t="n">
        <v>139.18</v>
      </c>
      <c r="M150" s="115" t="n">
        <v>3.0</v>
      </c>
      <c r="N150" s="115"/>
      <c r="O150" s="115"/>
      <c r="P150" s="115"/>
      <c r="Q150" s="115"/>
      <c r="R150" s="115"/>
      <c r="S150" s="115"/>
      <c r="T150" s="115"/>
      <c r="U150" s="115"/>
      <c r="V150" s="115" t="s">
        <v>82</v>
      </c>
      <c r="W150" s="115" t="s">
        <v>92</v>
      </c>
      <c r="X150" s="113">
        <f>IF(INDIRECT("W150")="Clássico","12.5%",IF(INDIRECT("W150")="Premium","17.5%","-"))</f>
      </c>
      <c r="Y150" s="113" t="s">
        <v>554</v>
      </c>
    </row>
    <row r="151" ht="50.0" customHeight="true">
      <c r="A151" s="113" t="s">
        <v>22</v>
      </c>
      <c r="B151" s="113" t="s">
        <v>644</v>
      </c>
      <c r="C151" s="113" t="s">
        <v>646</v>
      </c>
      <c r="D151" s="113" t="s">
        <v>646</v>
      </c>
      <c r="E151" s="114" t="s">
        <v>106</v>
      </c>
      <c r="F151" s="116">
        <f>"     "&amp;F150</f>
      </c>
      <c r="G151" s="113" t="s">
        <v>556</v>
      </c>
      <c r="H151" s="113" t="s">
        <v>132</v>
      </c>
      <c r="I151" s="113">
        <f>I150</f>
      </c>
      <c r="J151" s="113">
        <f>J150&amp;"     "</f>
      </c>
      <c r="K151" s="113" t="s">
        <v>81</v>
      </c>
      <c r="L151" s="113">
        <f>L150</f>
      </c>
      <c r="M151" s="113">
        <f>M150</f>
      </c>
      <c r="N151" s="113">
        <f>N150</f>
      </c>
      <c r="O151" s="113">
        <f>O150</f>
      </c>
      <c r="P151" s="113">
        <f>P150</f>
      </c>
      <c r="Q151" s="113">
        <f>Q150</f>
      </c>
      <c r="R151" s="113">
        <f>R150</f>
      </c>
      <c r="S151" s="113">
        <f>S150</f>
      </c>
      <c r="T151" s="113">
        <f>T150</f>
      </c>
      <c r="U151" s="113">
        <f>U150</f>
      </c>
      <c r="V151" s="113">
        <f>V150&amp;"     "</f>
      </c>
      <c r="W151" s="113">
        <f>W150&amp;"     "</f>
      </c>
      <c r="X151" s="113">
        <f>X150</f>
      </c>
      <c r="Y151" s="113" t="s">
        <v>554</v>
      </c>
    </row>
    <row r="152" ht="50.0" customHeight="true">
      <c r="A152" s="113" t="s">
        <v>22</v>
      </c>
      <c r="B152" s="113" t="s">
        <v>644</v>
      </c>
      <c r="C152" s="113" t="s">
        <v>647</v>
      </c>
      <c r="D152" s="113" t="s">
        <v>647</v>
      </c>
      <c r="E152" s="114" t="s">
        <v>109</v>
      </c>
      <c r="F152" s="116">
        <f>"     "&amp;F150</f>
      </c>
      <c r="G152" s="113" t="s">
        <v>558</v>
      </c>
      <c r="H152" s="113" t="s">
        <v>103</v>
      </c>
      <c r="I152" s="113">
        <f>I150</f>
      </c>
      <c r="J152" s="113">
        <f>J150&amp;"     "</f>
      </c>
      <c r="K152" s="113" t="s">
        <v>81</v>
      </c>
      <c r="L152" s="113">
        <f>L150</f>
      </c>
      <c r="M152" s="113">
        <f>M150</f>
      </c>
      <c r="N152" s="113">
        <f>N150</f>
      </c>
      <c r="O152" s="113">
        <f>O150</f>
      </c>
      <c r="P152" s="113">
        <f>P150</f>
      </c>
      <c r="Q152" s="113">
        <f>Q150</f>
      </c>
      <c r="R152" s="113">
        <f>R150</f>
      </c>
      <c r="S152" s="113">
        <f>S150</f>
      </c>
      <c r="T152" s="113">
        <f>T150</f>
      </c>
      <c r="U152" s="113">
        <f>U150</f>
      </c>
      <c r="V152" s="113">
        <f>V150&amp;"     "</f>
      </c>
      <c r="W152" s="113">
        <f>W150&amp;"     "</f>
      </c>
      <c r="X152" s="113">
        <f>X150</f>
      </c>
      <c r="Y152" s="113" t="s">
        <v>554</v>
      </c>
    </row>
    <row r="153" ht="50.0" customHeight="true">
      <c r="A153" s="113" t="s">
        <v>648</v>
      </c>
      <c r="B153" s="113" t="s">
        <v>649</v>
      </c>
      <c r="C153" s="113" t="s">
        <v>650</v>
      </c>
      <c r="D153" s="113"/>
      <c r="E153" s="114" t="s">
        <v>651</v>
      </c>
      <c r="F153" s="113" t="s">
        <v>652</v>
      </c>
      <c r="G153" s="113" t="s">
        <v>652</v>
      </c>
      <c r="H153" s="113" t="s">
        <v>103</v>
      </c>
      <c r="I153" s="115" t="n">
        <v>236.59</v>
      </c>
      <c r="J153" s="115" t="s">
        <v>80</v>
      </c>
      <c r="K153" s="115" t="s">
        <v>81</v>
      </c>
      <c r="L153" s="115" t="n">
        <v>234.12</v>
      </c>
      <c r="M153" s="115" t="n">
        <v>3.0</v>
      </c>
      <c r="N153" s="115"/>
      <c r="O153" s="115"/>
      <c r="P153" s="115"/>
      <c r="Q153" s="115"/>
      <c r="R153" s="115"/>
      <c r="S153" s="115"/>
      <c r="T153" s="115"/>
      <c r="U153" s="115"/>
      <c r="V153" s="115" t="s">
        <v>82</v>
      </c>
      <c r="W153" s="115" t="s">
        <v>92</v>
      </c>
      <c r="X153" s="113">
        <f>IF(INDIRECT("W153")="Clássico","12%",IF(INDIRECT("W153")="Premium","17%","-"))</f>
      </c>
      <c r="Y153" s="113" t="s">
        <v>200</v>
      </c>
    </row>
    <row r="154" ht="50.0" customHeight="true">
      <c r="A154" s="113" t="s">
        <v>653</v>
      </c>
      <c r="B154" s="113" t="s">
        <v>654</v>
      </c>
      <c r="C154" s="113" t="s">
        <v>655</v>
      </c>
      <c r="D154" s="113"/>
      <c r="E154" s="114" t="s">
        <v>656</v>
      </c>
      <c r="F154" s="113" t="s">
        <v>657</v>
      </c>
      <c r="G154" s="113" t="s">
        <v>657</v>
      </c>
      <c r="H154" s="113" t="s">
        <v>103</v>
      </c>
      <c r="I154" s="115" t="n">
        <v>1092.29</v>
      </c>
      <c r="J154" s="115" t="s">
        <v>80</v>
      </c>
      <c r="K154" s="115" t="s">
        <v>81</v>
      </c>
      <c r="L154" s="115" t="n">
        <v>917.67</v>
      </c>
      <c r="M154" s="115" t="n">
        <v>3.0</v>
      </c>
      <c r="N154" s="115"/>
      <c r="O154" s="115"/>
      <c r="P154" s="115"/>
      <c r="Q154" s="115"/>
      <c r="R154" s="115"/>
      <c r="S154" s="115"/>
      <c r="T154" s="115"/>
      <c r="U154" s="115"/>
      <c r="V154" s="115" t="s">
        <v>82</v>
      </c>
      <c r="W154" s="115" t="s">
        <v>83</v>
      </c>
      <c r="X154" s="113">
        <f>IF(INDIRECT("W154")="Clássico","12%",IF(INDIRECT("W154")="Premium","17%","-"))</f>
      </c>
      <c r="Y154" s="113" t="s">
        <v>164</v>
      </c>
    </row>
    <row r="155" ht="50.0" customHeight="true">
      <c r="A155" s="113" t="s">
        <v>658</v>
      </c>
      <c r="B155" s="113" t="s">
        <v>659</v>
      </c>
      <c r="C155" s="113" t="s">
        <v>660</v>
      </c>
      <c r="D155" s="113"/>
      <c r="E155" s="114" t="s">
        <v>264</v>
      </c>
      <c r="F155" s="113" t="s">
        <v>661</v>
      </c>
      <c r="G155" s="113" t="s">
        <v>642</v>
      </c>
      <c r="H155" s="113" t="s">
        <v>103</v>
      </c>
      <c r="I155" s="115" t="n">
        <v>258.1</v>
      </c>
      <c r="J155" s="115" t="s">
        <v>80</v>
      </c>
      <c r="K155" s="115" t="s">
        <v>81</v>
      </c>
      <c r="L155" s="115" t="n">
        <v>254.37</v>
      </c>
      <c r="M155" s="115" t="n">
        <v>3.0</v>
      </c>
      <c r="N155" s="115"/>
      <c r="O155" s="115"/>
      <c r="P155" s="115"/>
      <c r="Q155" s="115"/>
      <c r="R155" s="115"/>
      <c r="S155" s="115"/>
      <c r="T155" s="115"/>
      <c r="U155" s="115"/>
      <c r="V155" s="115" t="s">
        <v>82</v>
      </c>
      <c r="W155" s="115" t="s">
        <v>92</v>
      </c>
      <c r="X155" s="113">
        <f>IF(INDIRECT("W155")="Clássico","12%",IF(INDIRECT("W155")="Premium","17%","-"))</f>
      </c>
      <c r="Y155" s="113" t="s">
        <v>662</v>
      </c>
    </row>
    <row r="156" ht="50.0" customHeight="true">
      <c r="A156" s="113" t="s">
        <v>663</v>
      </c>
      <c r="B156" s="113" t="s">
        <v>664</v>
      </c>
      <c r="C156" s="113" t="s">
        <v>665</v>
      </c>
      <c r="D156" s="113"/>
      <c r="E156" s="114" t="s">
        <v>666</v>
      </c>
      <c r="F156" s="113" t="s">
        <v>667</v>
      </c>
      <c r="G156" s="113" t="s">
        <v>667</v>
      </c>
      <c r="H156" s="113" t="s">
        <v>304</v>
      </c>
      <c r="I156" s="115" t="n">
        <v>115.06</v>
      </c>
      <c r="J156" s="115" t="s">
        <v>80</v>
      </c>
      <c r="K156" s="115" t="s">
        <v>81</v>
      </c>
      <c r="L156" s="115" t="n">
        <v>134.12</v>
      </c>
      <c r="M156" s="115" t="n">
        <v>3.0</v>
      </c>
      <c r="N156" s="115"/>
      <c r="O156" s="115"/>
      <c r="P156" s="115"/>
      <c r="Q156" s="115"/>
      <c r="R156" s="115"/>
      <c r="S156" s="115"/>
      <c r="T156" s="115"/>
      <c r="U156" s="115"/>
      <c r="V156" s="115" t="s">
        <v>82</v>
      </c>
      <c r="W156" s="115" t="s">
        <v>92</v>
      </c>
      <c r="X156" s="113">
        <f>IF(INDIRECT("W156")="Clássico","12%",IF(INDIRECT("W156")="Premium","17%","-"))</f>
      </c>
      <c r="Y156" s="113" t="s">
        <v>668</v>
      </c>
    </row>
    <row r="157" ht="50.0" customHeight="true">
      <c r="A157" s="113" t="s">
        <v>669</v>
      </c>
      <c r="B157" s="113" t="s">
        <v>670</v>
      </c>
      <c r="C157" s="113" t="s">
        <v>671</v>
      </c>
      <c r="D157" s="113"/>
      <c r="E157" s="114" t="s">
        <v>672</v>
      </c>
      <c r="F157" s="113" t="s">
        <v>673</v>
      </c>
      <c r="G157" s="113" t="s">
        <v>673</v>
      </c>
      <c r="H157" s="113" t="s">
        <v>304</v>
      </c>
      <c r="I157" s="115" t="n">
        <v>79.74</v>
      </c>
      <c r="J157" s="115" t="s">
        <v>80</v>
      </c>
      <c r="K157" s="115" t="s">
        <v>81</v>
      </c>
      <c r="L157" s="115" t="n">
        <v>74.74</v>
      </c>
      <c r="M157" s="115" t="n">
        <v>3.0</v>
      </c>
      <c r="N157" s="115"/>
      <c r="O157" s="115"/>
      <c r="P157" s="115"/>
      <c r="Q157" s="115"/>
      <c r="R157" s="115"/>
      <c r="S157" s="115"/>
      <c r="T157" s="115"/>
      <c r="U157" s="115"/>
      <c r="V157" s="115" t="s">
        <v>91</v>
      </c>
      <c r="W157" s="115" t="s">
        <v>92</v>
      </c>
      <c r="X157" s="113">
        <f>IF(INDIRECT("W157")="Clássico","12%",IF(INDIRECT("W157")="Premium","17%","-"))</f>
      </c>
      <c r="Y157" s="113" t="s">
        <v>200</v>
      </c>
    </row>
    <row r="158" ht="50.0" customHeight="true">
      <c r="A158" s="113" t="s">
        <v>22</v>
      </c>
      <c r="B158" s="113" t="s">
        <v>674</v>
      </c>
      <c r="C158" s="113"/>
      <c r="D158" s="113"/>
      <c r="E158" s="113" t="s">
        <v>22</v>
      </c>
      <c r="F158" s="113" t="s">
        <v>675</v>
      </c>
      <c r="G158" s="113" t="s">
        <v>103</v>
      </c>
      <c r="H158" s="113" t="s">
        <v>103</v>
      </c>
      <c r="I158" s="115" t="n">
        <v>628.99</v>
      </c>
      <c r="J158" s="115" t="s">
        <v>80</v>
      </c>
      <c r="K158" s="113" t="s">
        <v>81</v>
      </c>
      <c r="L158" s="115" t="n">
        <v>455.64</v>
      </c>
      <c r="M158" s="115" t="n">
        <v>3.0</v>
      </c>
      <c r="N158" s="115"/>
      <c r="O158" s="115"/>
      <c r="P158" s="115"/>
      <c r="Q158" s="115"/>
      <c r="R158" s="115"/>
      <c r="S158" s="115"/>
      <c r="T158" s="115"/>
      <c r="U158" s="115"/>
      <c r="V158" s="115" t="s">
        <v>82</v>
      </c>
      <c r="W158" s="115" t="s">
        <v>92</v>
      </c>
      <c r="X158" s="113">
        <f>IF(INDIRECT("W158")="Clássico","12%",IF(INDIRECT("W158")="Premium","17%","-"))</f>
      </c>
      <c r="Y158" s="113" t="s">
        <v>300</v>
      </c>
    </row>
    <row r="159" ht="50.0" customHeight="true">
      <c r="A159" s="113" t="s">
        <v>22</v>
      </c>
      <c r="B159" s="113" t="s">
        <v>674</v>
      </c>
      <c r="C159" s="113" t="s">
        <v>676</v>
      </c>
      <c r="D159" s="113" t="s">
        <v>676</v>
      </c>
      <c r="E159" s="114" t="s">
        <v>321</v>
      </c>
      <c r="F159" s="116">
        <f>"     "&amp;F158</f>
      </c>
      <c r="G159" s="113" t="s">
        <v>322</v>
      </c>
      <c r="H159" s="113" t="s">
        <v>103</v>
      </c>
      <c r="I159" s="113">
        <f>I158</f>
      </c>
      <c r="J159" s="113">
        <f>J158&amp;"     "</f>
      </c>
      <c r="K159" s="113" t="s">
        <v>81</v>
      </c>
      <c r="L159" s="113">
        <f>L158</f>
      </c>
      <c r="M159" s="113">
        <f>M158</f>
      </c>
      <c r="N159" s="113">
        <f>N158</f>
      </c>
      <c r="O159" s="113">
        <f>O158</f>
      </c>
      <c r="P159" s="113">
        <f>P158</f>
      </c>
      <c r="Q159" s="113">
        <f>Q158</f>
      </c>
      <c r="R159" s="113">
        <f>R158</f>
      </c>
      <c r="S159" s="113">
        <f>S158</f>
      </c>
      <c r="T159" s="113">
        <f>T158</f>
      </c>
      <c r="U159" s="113">
        <f>U158</f>
      </c>
      <c r="V159" s="113">
        <f>V158&amp;"     "</f>
      </c>
      <c r="W159" s="113">
        <f>W158&amp;"     "</f>
      </c>
      <c r="X159" s="113">
        <f>X158</f>
      </c>
      <c r="Y159" s="113" t="s">
        <v>300</v>
      </c>
    </row>
    <row r="160" ht="50.0" customHeight="true">
      <c r="A160" s="113" t="s">
        <v>22</v>
      </c>
      <c r="B160" s="113" t="s">
        <v>674</v>
      </c>
      <c r="C160" s="113" t="s">
        <v>677</v>
      </c>
      <c r="D160" s="113" t="s">
        <v>677</v>
      </c>
      <c r="E160" s="114" t="s">
        <v>302</v>
      </c>
      <c r="F160" s="116">
        <f>"     "&amp;F158</f>
      </c>
      <c r="G160" s="113" t="s">
        <v>307</v>
      </c>
      <c r="H160" s="113" t="s">
        <v>103</v>
      </c>
      <c r="I160" s="113">
        <f>I158</f>
      </c>
      <c r="J160" s="113">
        <f>J158&amp;"     "</f>
      </c>
      <c r="K160" s="113" t="s">
        <v>81</v>
      </c>
      <c r="L160" s="113">
        <f>L158</f>
      </c>
      <c r="M160" s="113">
        <f>M158</f>
      </c>
      <c r="N160" s="113">
        <f>N158</f>
      </c>
      <c r="O160" s="113">
        <f>O158</f>
      </c>
      <c r="P160" s="113">
        <f>P158</f>
      </c>
      <c r="Q160" s="113">
        <f>Q158</f>
      </c>
      <c r="R160" s="113">
        <f>R158</f>
      </c>
      <c r="S160" s="113">
        <f>S158</f>
      </c>
      <c r="T160" s="113">
        <f>T158</f>
      </c>
      <c r="U160" s="113">
        <f>U158</f>
      </c>
      <c r="V160" s="113">
        <f>V158&amp;"     "</f>
      </c>
      <c r="W160" s="113">
        <f>W158&amp;"     "</f>
      </c>
      <c r="X160" s="113">
        <f>X158</f>
      </c>
      <c r="Y160" s="113" t="s">
        <v>300</v>
      </c>
    </row>
    <row r="161" ht="50.0" customHeight="true">
      <c r="A161" s="113" t="s">
        <v>22</v>
      </c>
      <c r="B161" s="113" t="s">
        <v>674</v>
      </c>
      <c r="C161" s="113" t="s">
        <v>678</v>
      </c>
      <c r="D161" s="113" t="s">
        <v>678</v>
      </c>
      <c r="E161" s="114" t="s">
        <v>312</v>
      </c>
      <c r="F161" s="116">
        <f>"     "&amp;F158</f>
      </c>
      <c r="G161" s="113" t="s">
        <v>313</v>
      </c>
      <c r="H161" s="113" t="s">
        <v>103</v>
      </c>
      <c r="I161" s="113">
        <f>I158</f>
      </c>
      <c r="J161" s="113">
        <f>J158&amp;"     "</f>
      </c>
      <c r="K161" s="113" t="s">
        <v>81</v>
      </c>
      <c r="L161" s="113">
        <f>L158</f>
      </c>
      <c r="M161" s="113">
        <f>M158</f>
      </c>
      <c r="N161" s="113">
        <f>N158</f>
      </c>
      <c r="O161" s="113">
        <f>O158</f>
      </c>
      <c r="P161" s="113">
        <f>P158</f>
      </c>
      <c r="Q161" s="113">
        <f>Q158</f>
      </c>
      <c r="R161" s="113">
        <f>R158</f>
      </c>
      <c r="S161" s="113">
        <f>S158</f>
      </c>
      <c r="T161" s="113">
        <f>T158</f>
      </c>
      <c r="U161" s="113">
        <f>U158</f>
      </c>
      <c r="V161" s="113">
        <f>V158&amp;"     "</f>
      </c>
      <c r="W161" s="113">
        <f>W158&amp;"     "</f>
      </c>
      <c r="X161" s="113">
        <f>X158</f>
      </c>
      <c r="Y161" s="113" t="s">
        <v>300</v>
      </c>
    </row>
    <row r="162" ht="50.0" customHeight="true">
      <c r="A162" s="113" t="s">
        <v>22</v>
      </c>
      <c r="B162" s="113" t="s">
        <v>674</v>
      </c>
      <c r="C162" s="113" t="s">
        <v>679</v>
      </c>
      <c r="D162" s="113" t="s">
        <v>679</v>
      </c>
      <c r="E162" s="114" t="s">
        <v>330</v>
      </c>
      <c r="F162" s="116">
        <f>"     "&amp;F158</f>
      </c>
      <c r="G162" s="113" t="s">
        <v>375</v>
      </c>
      <c r="H162" s="113" t="s">
        <v>103</v>
      </c>
      <c r="I162" s="113">
        <f>I158</f>
      </c>
      <c r="J162" s="113">
        <f>J158&amp;"     "</f>
      </c>
      <c r="K162" s="113" t="s">
        <v>81</v>
      </c>
      <c r="L162" s="113">
        <f>L158</f>
      </c>
      <c r="M162" s="113">
        <f>M158</f>
      </c>
      <c r="N162" s="113">
        <f>N158</f>
      </c>
      <c r="O162" s="113">
        <f>O158</f>
      </c>
      <c r="P162" s="113">
        <f>P158</f>
      </c>
      <c r="Q162" s="113">
        <f>Q158</f>
      </c>
      <c r="R162" s="113">
        <f>R158</f>
      </c>
      <c r="S162" s="113">
        <f>S158</f>
      </c>
      <c r="T162" s="113">
        <f>T158</f>
      </c>
      <c r="U162" s="113">
        <f>U158</f>
      </c>
      <c r="V162" s="113">
        <f>V158&amp;"     "</f>
      </c>
      <c r="W162" s="113">
        <f>W158&amp;"     "</f>
      </c>
      <c r="X162" s="113">
        <f>X158</f>
      </c>
      <c r="Y162" s="113" t="s">
        <v>300</v>
      </c>
    </row>
    <row r="163" ht="50.0" customHeight="true">
      <c r="A163" s="113" t="s">
        <v>22</v>
      </c>
      <c r="B163" s="113" t="s">
        <v>674</v>
      </c>
      <c r="C163" s="113" t="s">
        <v>680</v>
      </c>
      <c r="D163" s="113" t="s">
        <v>680</v>
      </c>
      <c r="E163" s="114" t="s">
        <v>324</v>
      </c>
      <c r="F163" s="116">
        <f>"     "&amp;F158</f>
      </c>
      <c r="G163" s="113" t="s">
        <v>377</v>
      </c>
      <c r="H163" s="113" t="s">
        <v>103</v>
      </c>
      <c r="I163" s="113">
        <f>I158</f>
      </c>
      <c r="J163" s="113">
        <f>J158&amp;"     "</f>
      </c>
      <c r="K163" s="113" t="s">
        <v>81</v>
      </c>
      <c r="L163" s="113">
        <f>L158</f>
      </c>
      <c r="M163" s="113">
        <f>M158</f>
      </c>
      <c r="N163" s="113">
        <f>N158</f>
      </c>
      <c r="O163" s="113">
        <f>O158</f>
      </c>
      <c r="P163" s="113">
        <f>P158</f>
      </c>
      <c r="Q163" s="113">
        <f>Q158</f>
      </c>
      <c r="R163" s="113">
        <f>R158</f>
      </c>
      <c r="S163" s="113">
        <f>S158</f>
      </c>
      <c r="T163" s="113">
        <f>T158</f>
      </c>
      <c r="U163" s="113">
        <f>U158</f>
      </c>
      <c r="V163" s="113">
        <f>V158&amp;"     "</f>
      </c>
      <c r="W163" s="113">
        <f>W158&amp;"     "</f>
      </c>
      <c r="X163" s="113">
        <f>X158</f>
      </c>
      <c r="Y163" s="113" t="s">
        <v>300</v>
      </c>
    </row>
    <row r="164" ht="50.0" customHeight="true">
      <c r="A164" s="113" t="s">
        <v>22</v>
      </c>
      <c r="B164" s="113" t="s">
        <v>674</v>
      </c>
      <c r="C164" s="113" t="s">
        <v>681</v>
      </c>
      <c r="D164" s="113" t="s">
        <v>681</v>
      </c>
      <c r="E164" s="114" t="s">
        <v>318</v>
      </c>
      <c r="F164" s="116">
        <f>"     "&amp;F158</f>
      </c>
      <c r="G164" s="113" t="s">
        <v>319</v>
      </c>
      <c r="H164" s="113" t="s">
        <v>103</v>
      </c>
      <c r="I164" s="113">
        <f>I158</f>
      </c>
      <c r="J164" s="113">
        <f>J158&amp;"     "</f>
      </c>
      <c r="K164" s="113" t="s">
        <v>81</v>
      </c>
      <c r="L164" s="113">
        <f>L158</f>
      </c>
      <c r="M164" s="113">
        <f>M158</f>
      </c>
      <c r="N164" s="113">
        <f>N158</f>
      </c>
      <c r="O164" s="113">
        <f>O158</f>
      </c>
      <c r="P164" s="113">
        <f>P158</f>
      </c>
      <c r="Q164" s="113">
        <f>Q158</f>
      </c>
      <c r="R164" s="113">
        <f>R158</f>
      </c>
      <c r="S164" s="113">
        <f>S158</f>
      </c>
      <c r="T164" s="113">
        <f>T158</f>
      </c>
      <c r="U164" s="113">
        <f>U158</f>
      </c>
      <c r="V164" s="113">
        <f>V158&amp;"     "</f>
      </c>
      <c r="W164" s="113">
        <f>W158&amp;"     "</f>
      </c>
      <c r="X164" s="113">
        <f>X158</f>
      </c>
      <c r="Y164" s="113" t="s">
        <v>300</v>
      </c>
    </row>
    <row r="165" ht="50.0" customHeight="true">
      <c r="A165" s="113" t="s">
        <v>22</v>
      </c>
      <c r="B165" s="113" t="s">
        <v>682</v>
      </c>
      <c r="C165" s="113"/>
      <c r="D165" s="113"/>
      <c r="E165" s="113" t="s">
        <v>22</v>
      </c>
      <c r="F165" s="113" t="s">
        <v>683</v>
      </c>
      <c r="G165" s="113" t="s">
        <v>103</v>
      </c>
      <c r="H165" s="113" t="s">
        <v>103</v>
      </c>
      <c r="I165" s="115" t="n">
        <v>220.13</v>
      </c>
      <c r="J165" s="115" t="s">
        <v>80</v>
      </c>
      <c r="K165" s="113" t="s">
        <v>81</v>
      </c>
      <c r="L165" s="115" t="n">
        <v>201.21</v>
      </c>
      <c r="M165" s="115" t="n">
        <v>3.0</v>
      </c>
      <c r="N165" s="115"/>
      <c r="O165" s="115"/>
      <c r="P165" s="115"/>
      <c r="Q165" s="115"/>
      <c r="R165" s="115"/>
      <c r="S165" s="115"/>
      <c r="T165" s="115"/>
      <c r="U165" s="115"/>
      <c r="V165" s="115" t="s">
        <v>82</v>
      </c>
      <c r="W165" s="115" t="s">
        <v>92</v>
      </c>
      <c r="X165" s="113">
        <f>IF(INDIRECT("W165")="Clássico","11.5%",IF(INDIRECT("W165")="Premium","16.5%","-"))</f>
      </c>
      <c r="Y165" s="113" t="s">
        <v>684</v>
      </c>
    </row>
    <row r="166" ht="50.0" customHeight="true">
      <c r="A166" s="113" t="s">
        <v>22</v>
      </c>
      <c r="B166" s="113" t="s">
        <v>682</v>
      </c>
      <c r="C166" s="113" t="s">
        <v>685</v>
      </c>
      <c r="D166" s="113" t="s">
        <v>685</v>
      </c>
      <c r="E166" s="114" t="s">
        <v>686</v>
      </c>
      <c r="F166" s="116">
        <f>"     "&amp;F165</f>
      </c>
      <c r="G166" s="113" t="s">
        <v>687</v>
      </c>
      <c r="H166" s="113" t="s">
        <v>103</v>
      </c>
      <c r="I166" s="113">
        <f>I165</f>
      </c>
      <c r="J166" s="113">
        <f>J165&amp;"     "</f>
      </c>
      <c r="K166" s="113" t="s">
        <v>81</v>
      </c>
      <c r="L166" s="113">
        <f>L165</f>
      </c>
      <c r="M166" s="113">
        <f>M165</f>
      </c>
      <c r="N166" s="113">
        <f>N165</f>
      </c>
      <c r="O166" s="113">
        <f>O165</f>
      </c>
      <c r="P166" s="113">
        <f>P165</f>
      </c>
      <c r="Q166" s="113">
        <f>Q165</f>
      </c>
      <c r="R166" s="113">
        <f>R165</f>
      </c>
      <c r="S166" s="113">
        <f>S165</f>
      </c>
      <c r="T166" s="113">
        <f>T165</f>
      </c>
      <c r="U166" s="113">
        <f>U165</f>
      </c>
      <c r="V166" s="113">
        <f>V165&amp;"     "</f>
      </c>
      <c r="W166" s="113">
        <f>W165&amp;"     "</f>
      </c>
      <c r="X166" s="113">
        <f>X165</f>
      </c>
      <c r="Y166" s="113" t="s">
        <v>684</v>
      </c>
    </row>
    <row r="167" ht="50.0" customHeight="true">
      <c r="A167" s="113" t="s">
        <v>22</v>
      </c>
      <c r="B167" s="113" t="s">
        <v>682</v>
      </c>
      <c r="C167" s="113" t="s">
        <v>688</v>
      </c>
      <c r="D167" s="113" t="s">
        <v>688</v>
      </c>
      <c r="E167" s="114" t="s">
        <v>689</v>
      </c>
      <c r="F167" s="116">
        <f>"     "&amp;F165</f>
      </c>
      <c r="G167" s="113" t="s">
        <v>690</v>
      </c>
      <c r="H167" s="113" t="s">
        <v>103</v>
      </c>
      <c r="I167" s="113">
        <f>I165</f>
      </c>
      <c r="J167" s="113">
        <f>J165&amp;"     "</f>
      </c>
      <c r="K167" s="113" t="s">
        <v>81</v>
      </c>
      <c r="L167" s="113">
        <f>L165</f>
      </c>
      <c r="M167" s="113">
        <f>M165</f>
      </c>
      <c r="N167" s="113">
        <f>N165</f>
      </c>
      <c r="O167" s="113">
        <f>O165</f>
      </c>
      <c r="P167" s="113">
        <f>P165</f>
      </c>
      <c r="Q167" s="113">
        <f>Q165</f>
      </c>
      <c r="R167" s="113">
        <f>R165</f>
      </c>
      <c r="S167" s="113">
        <f>S165</f>
      </c>
      <c r="T167" s="113">
        <f>T165</f>
      </c>
      <c r="U167" s="113">
        <f>U165</f>
      </c>
      <c r="V167" s="113">
        <f>V165&amp;"     "</f>
      </c>
      <c r="W167" s="113">
        <f>W165&amp;"     "</f>
      </c>
      <c r="X167" s="113">
        <f>X165</f>
      </c>
      <c r="Y167" s="113" t="s">
        <v>684</v>
      </c>
    </row>
    <row r="168" ht="50.0" customHeight="true">
      <c r="A168" s="113" t="s">
        <v>691</v>
      </c>
      <c r="B168" s="113" t="s">
        <v>692</v>
      </c>
      <c r="C168" s="113" t="s">
        <v>693</v>
      </c>
      <c r="D168" s="113"/>
      <c r="E168" s="114" t="s">
        <v>694</v>
      </c>
      <c r="F168" s="113" t="s">
        <v>695</v>
      </c>
      <c r="G168" s="113" t="s">
        <v>695</v>
      </c>
      <c r="H168" s="113" t="s">
        <v>103</v>
      </c>
      <c r="I168" s="115" t="n">
        <v>53.04</v>
      </c>
      <c r="J168" s="115" t="s">
        <v>80</v>
      </c>
      <c r="K168" s="115" t="s">
        <v>81</v>
      </c>
      <c r="L168" s="115" t="n">
        <v>59.55</v>
      </c>
      <c r="M168" s="115" t="n">
        <v>3.0</v>
      </c>
      <c r="N168" s="115"/>
      <c r="O168" s="115"/>
      <c r="P168" s="115"/>
      <c r="Q168" s="115"/>
      <c r="R168" s="115"/>
      <c r="S168" s="115"/>
      <c r="T168" s="115"/>
      <c r="U168" s="115"/>
      <c r="V168" s="115" t="s">
        <v>91</v>
      </c>
      <c r="W168" s="115" t="s">
        <v>92</v>
      </c>
      <c r="X168" s="113">
        <f>IF(INDIRECT("W168")="Clássico","12%",IF(INDIRECT("W168")="Premium","17%","-"))</f>
      </c>
      <c r="Y168" s="113" t="s">
        <v>696</v>
      </c>
    </row>
    <row r="169" ht="50.0" customHeight="true">
      <c r="A169" s="113" t="s">
        <v>697</v>
      </c>
      <c r="B169" s="113" t="s">
        <v>698</v>
      </c>
      <c r="C169" s="113" t="s">
        <v>699</v>
      </c>
      <c r="D169" s="113"/>
      <c r="E169" s="114" t="s">
        <v>295</v>
      </c>
      <c r="F169" s="113" t="s">
        <v>700</v>
      </c>
      <c r="G169" s="113" t="s">
        <v>700</v>
      </c>
      <c r="H169" s="113" t="s">
        <v>103</v>
      </c>
      <c r="I169" s="115" t="n">
        <v>82.15</v>
      </c>
      <c r="J169" s="115" t="s">
        <v>80</v>
      </c>
      <c r="K169" s="115" t="s">
        <v>81</v>
      </c>
      <c r="L169" s="115" t="n">
        <v>69.56</v>
      </c>
      <c r="M169" s="115" t="n">
        <v>3.0</v>
      </c>
      <c r="N169" s="115"/>
      <c r="O169" s="115"/>
      <c r="P169" s="115"/>
      <c r="Q169" s="115"/>
      <c r="R169" s="115"/>
      <c r="S169" s="115"/>
      <c r="T169" s="115"/>
      <c r="U169" s="115"/>
      <c r="V169" s="115" t="s">
        <v>91</v>
      </c>
      <c r="W169" s="115" t="s">
        <v>83</v>
      </c>
      <c r="X169" s="113">
        <f>IF(INDIRECT("W169")="Clássico","12%",IF(INDIRECT("W169")="Premium","17%","-"))</f>
      </c>
      <c r="Y169" s="113" t="s">
        <v>297</v>
      </c>
    </row>
    <row r="170" ht="50.0" customHeight="true">
      <c r="A170" s="113" t="s">
        <v>701</v>
      </c>
      <c r="B170" s="113" t="s">
        <v>702</v>
      </c>
      <c r="C170" s="113" t="s">
        <v>703</v>
      </c>
      <c r="D170" s="113"/>
      <c r="E170" s="114" t="s">
        <v>704</v>
      </c>
      <c r="F170" s="113" t="s">
        <v>705</v>
      </c>
      <c r="G170" s="113" t="s">
        <v>705</v>
      </c>
      <c r="H170" s="113" t="s">
        <v>99</v>
      </c>
      <c r="I170" s="115" t="n">
        <v>487.22</v>
      </c>
      <c r="J170" s="115" t="s">
        <v>80</v>
      </c>
      <c r="K170" s="115" t="s">
        <v>81</v>
      </c>
      <c r="L170" s="115" t="n">
        <v>480.45</v>
      </c>
      <c r="M170" s="115" t="n">
        <v>3.0</v>
      </c>
      <c r="N170" s="115"/>
      <c r="O170" s="115"/>
      <c r="P170" s="115"/>
      <c r="Q170" s="115"/>
      <c r="R170" s="115"/>
      <c r="S170" s="115"/>
      <c r="T170" s="115"/>
      <c r="U170" s="115"/>
      <c r="V170" s="115" t="s">
        <v>82</v>
      </c>
      <c r="W170" s="115" t="s">
        <v>83</v>
      </c>
      <c r="X170" s="113">
        <f>IF(INDIRECT("W170")="Clássico","13%",IF(INDIRECT("W170")="Premium","18%","-"))</f>
      </c>
      <c r="Y170" s="113" t="s">
        <v>706</v>
      </c>
    </row>
    <row r="171" ht="50.0" customHeight="true">
      <c r="A171" s="113" t="s">
        <v>707</v>
      </c>
      <c r="B171" s="113" t="s">
        <v>708</v>
      </c>
      <c r="C171" s="113" t="s">
        <v>709</v>
      </c>
      <c r="D171" s="113"/>
      <c r="E171" s="114" t="s">
        <v>710</v>
      </c>
      <c r="F171" s="113" t="s">
        <v>711</v>
      </c>
      <c r="G171" s="113" t="s">
        <v>711</v>
      </c>
      <c r="H171" s="113" t="s">
        <v>103</v>
      </c>
      <c r="I171" s="115" t="n">
        <v>628.99</v>
      </c>
      <c r="J171" s="115" t="s">
        <v>80</v>
      </c>
      <c r="K171" s="115" t="s">
        <v>81</v>
      </c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 t="s">
        <v>82</v>
      </c>
      <c r="W171" s="115" t="s">
        <v>83</v>
      </c>
      <c r="X171" s="113">
        <f>IF(INDIRECT("W171")="Clássico","12%",IF(INDIRECT("W171")="Premium","17%","-"))</f>
      </c>
      <c r="Y171" s="113" t="s">
        <v>712</v>
      </c>
    </row>
    <row r="172" ht="50.0" customHeight="true">
      <c r="A172" s="113" t="s">
        <v>713</v>
      </c>
      <c r="B172" s="113" t="s">
        <v>714</v>
      </c>
      <c r="C172" s="113" t="s">
        <v>715</v>
      </c>
      <c r="D172" s="113"/>
      <c r="E172" s="114" t="s">
        <v>510</v>
      </c>
      <c r="F172" s="113" t="s">
        <v>716</v>
      </c>
      <c r="G172" s="113" t="s">
        <v>127</v>
      </c>
      <c r="H172" s="113" t="s">
        <v>143</v>
      </c>
      <c r="I172" s="115" t="n">
        <v>303.67</v>
      </c>
      <c r="J172" s="115" t="s">
        <v>80</v>
      </c>
      <c r="K172" s="115" t="s">
        <v>81</v>
      </c>
      <c r="L172" s="115" t="n">
        <v>151.84</v>
      </c>
      <c r="M172" s="115" t="n">
        <v>3.0</v>
      </c>
      <c r="N172" s="115"/>
      <c r="O172" s="115"/>
      <c r="P172" s="115"/>
      <c r="Q172" s="115"/>
      <c r="R172" s="115"/>
      <c r="S172" s="115"/>
      <c r="T172" s="115"/>
      <c r="U172" s="115"/>
      <c r="V172" s="115" t="s">
        <v>82</v>
      </c>
      <c r="W172" s="115" t="s">
        <v>83</v>
      </c>
      <c r="X172" s="113">
        <f>IF(INDIRECT("W172")="Clássico","12%",IF(INDIRECT("W172")="Premium","17%","-"))</f>
      </c>
      <c r="Y172" s="113" t="s">
        <v>128</v>
      </c>
    </row>
    <row r="173" ht="50.0" customHeight="true">
      <c r="A173" s="113" t="s">
        <v>717</v>
      </c>
      <c r="B173" s="113" t="s">
        <v>718</v>
      </c>
      <c r="C173" s="113" t="s">
        <v>719</v>
      </c>
      <c r="D173" s="113"/>
      <c r="E173" s="114" t="s">
        <v>720</v>
      </c>
      <c r="F173" s="113" t="s">
        <v>721</v>
      </c>
      <c r="G173" s="113" t="s">
        <v>721</v>
      </c>
      <c r="H173" s="113" t="s">
        <v>103</v>
      </c>
      <c r="I173" s="115" t="n">
        <v>97.34</v>
      </c>
      <c r="J173" s="115" t="s">
        <v>80</v>
      </c>
      <c r="K173" s="115" t="s">
        <v>81</v>
      </c>
      <c r="L173" s="115" t="n">
        <v>105.12</v>
      </c>
      <c r="M173" s="115" t="n">
        <v>3.0</v>
      </c>
      <c r="N173" s="115"/>
      <c r="O173" s="115"/>
      <c r="P173" s="115"/>
      <c r="Q173" s="115"/>
      <c r="R173" s="115"/>
      <c r="S173" s="115"/>
      <c r="T173" s="115"/>
      <c r="U173" s="115"/>
      <c r="V173" s="115" t="s">
        <v>91</v>
      </c>
      <c r="W173" s="115" t="s">
        <v>83</v>
      </c>
      <c r="X173" s="113">
        <f>IF(INDIRECT("W173")="Clássico","12%",IF(INDIRECT("W173")="Premium","17%","-"))</f>
      </c>
      <c r="Y173" s="113" t="s">
        <v>722</v>
      </c>
    </row>
    <row r="174" ht="50.0" customHeight="true">
      <c r="A174" s="113" t="s">
        <v>723</v>
      </c>
      <c r="B174" s="113" t="s">
        <v>724</v>
      </c>
      <c r="C174" s="113" t="s">
        <v>725</v>
      </c>
      <c r="D174" s="113"/>
      <c r="E174" s="114" t="s">
        <v>726</v>
      </c>
      <c r="F174" s="113" t="s">
        <v>727</v>
      </c>
      <c r="G174" s="113" t="s">
        <v>493</v>
      </c>
      <c r="H174" s="113" t="s">
        <v>304</v>
      </c>
      <c r="I174" s="115" t="n">
        <v>830.26</v>
      </c>
      <c r="J174" s="115" t="s">
        <v>80</v>
      </c>
      <c r="K174" s="115" t="s">
        <v>81</v>
      </c>
      <c r="L174" s="115" t="n">
        <v>825.26</v>
      </c>
      <c r="M174" s="115" t="n">
        <v>3.0</v>
      </c>
      <c r="N174" s="115"/>
      <c r="O174" s="115"/>
      <c r="P174" s="115"/>
      <c r="Q174" s="115"/>
      <c r="R174" s="115"/>
      <c r="S174" s="115"/>
      <c r="T174" s="115"/>
      <c r="U174" s="115"/>
      <c r="V174" s="115" t="s">
        <v>82</v>
      </c>
      <c r="W174" s="115" t="s">
        <v>83</v>
      </c>
      <c r="X174" s="113">
        <f>IF(INDIRECT("W174")="Clássico","12%",IF(INDIRECT("W174")="Premium","17%","-"))</f>
      </c>
      <c r="Y174" s="113" t="s">
        <v>367</v>
      </c>
    </row>
    <row r="175" ht="50.0" customHeight="true">
      <c r="A175" s="113" t="s">
        <v>728</v>
      </c>
      <c r="B175" s="113" t="s">
        <v>729</v>
      </c>
      <c r="C175" s="113" t="s">
        <v>730</v>
      </c>
      <c r="D175" s="113"/>
      <c r="E175" s="114" t="s">
        <v>431</v>
      </c>
      <c r="F175" s="113" t="s">
        <v>731</v>
      </c>
      <c r="G175" s="113" t="s">
        <v>731</v>
      </c>
      <c r="H175" s="113" t="s">
        <v>99</v>
      </c>
      <c r="I175" s="115" t="n">
        <v>406.21</v>
      </c>
      <c r="J175" s="115" t="s">
        <v>80</v>
      </c>
      <c r="K175" s="115" t="s">
        <v>81</v>
      </c>
      <c r="L175" s="115" t="n">
        <v>362.9</v>
      </c>
      <c r="M175" s="115" t="n">
        <v>3.0</v>
      </c>
      <c r="N175" s="115"/>
      <c r="O175" s="115"/>
      <c r="P175" s="115"/>
      <c r="Q175" s="115"/>
      <c r="R175" s="115"/>
      <c r="S175" s="115"/>
      <c r="T175" s="115"/>
      <c r="U175" s="115"/>
      <c r="V175" s="115" t="s">
        <v>82</v>
      </c>
      <c r="W175" s="115" t="s">
        <v>83</v>
      </c>
      <c r="X175" s="113">
        <f>IF(INDIRECT("W175")="Clássico","12%",IF(INDIRECT("W175")="Premium","17%","-"))</f>
      </c>
      <c r="Y175" s="113" t="s">
        <v>414</v>
      </c>
    </row>
    <row r="176" ht="50.0" customHeight="true">
      <c r="A176" s="113" t="s">
        <v>732</v>
      </c>
      <c r="B176" s="113" t="s">
        <v>733</v>
      </c>
      <c r="C176" s="113" t="s">
        <v>734</v>
      </c>
      <c r="D176" s="113"/>
      <c r="E176" s="114" t="s">
        <v>588</v>
      </c>
      <c r="F176" s="113" t="s">
        <v>735</v>
      </c>
      <c r="G176" s="113" t="s">
        <v>735</v>
      </c>
      <c r="H176" s="113" t="s">
        <v>132</v>
      </c>
      <c r="I176" s="115" t="n">
        <v>81.0</v>
      </c>
      <c r="J176" s="115" t="s">
        <v>80</v>
      </c>
      <c r="K176" s="115" t="s">
        <v>81</v>
      </c>
      <c r="L176" s="115" t="n">
        <v>76.0</v>
      </c>
      <c r="M176" s="115" t="n">
        <v>3.0</v>
      </c>
      <c r="N176" s="115"/>
      <c r="O176" s="115"/>
      <c r="P176" s="115"/>
      <c r="Q176" s="115"/>
      <c r="R176" s="115"/>
      <c r="S176" s="115"/>
      <c r="T176" s="115"/>
      <c r="U176" s="115"/>
      <c r="V176" s="115" t="s">
        <v>91</v>
      </c>
      <c r="W176" s="115" t="s">
        <v>92</v>
      </c>
      <c r="X176" s="113">
        <f>IF(INDIRECT("W176")="Clássico","11.5%",IF(INDIRECT("W176")="Premium","16.5%","-"))</f>
      </c>
      <c r="Y176" s="113" t="s">
        <v>736</v>
      </c>
    </row>
    <row r="177" ht="50.0" customHeight="true">
      <c r="A177" s="113" t="s">
        <v>737</v>
      </c>
      <c r="B177" s="113" t="s">
        <v>738</v>
      </c>
      <c r="C177" s="113" t="s">
        <v>739</v>
      </c>
      <c r="D177" s="113"/>
      <c r="E177" s="114" t="s">
        <v>486</v>
      </c>
      <c r="F177" s="113" t="s">
        <v>740</v>
      </c>
      <c r="G177" s="113" t="s">
        <v>740</v>
      </c>
      <c r="H177" s="113" t="s">
        <v>99</v>
      </c>
      <c r="I177" s="115" t="n">
        <v>793.55</v>
      </c>
      <c r="J177" s="115" t="s">
        <v>80</v>
      </c>
      <c r="K177" s="115" t="s">
        <v>81</v>
      </c>
      <c r="L177" s="115" t="n">
        <v>561.96</v>
      </c>
      <c r="M177" s="115" t="n">
        <v>3.0</v>
      </c>
      <c r="N177" s="115"/>
      <c r="O177" s="115"/>
      <c r="P177" s="115"/>
      <c r="Q177" s="115"/>
      <c r="R177" s="115"/>
      <c r="S177" s="115"/>
      <c r="T177" s="115"/>
      <c r="U177" s="115"/>
      <c r="V177" s="115" t="s">
        <v>82</v>
      </c>
      <c r="W177" s="115" t="s">
        <v>92</v>
      </c>
      <c r="X177" s="113">
        <f>IF(INDIRECT("W177")="Clássico","12%",IF(INDIRECT("W177")="Premium","17%","-"))</f>
      </c>
      <c r="Y177" s="113" t="s">
        <v>488</v>
      </c>
    </row>
    <row r="178" ht="50.0" customHeight="true">
      <c r="A178" s="113" t="s">
        <v>741</v>
      </c>
      <c r="B178" s="113" t="s">
        <v>742</v>
      </c>
      <c r="C178" s="113" t="s">
        <v>743</v>
      </c>
      <c r="D178" s="113"/>
      <c r="E178" s="114" t="s">
        <v>744</v>
      </c>
      <c r="F178" s="113" t="s">
        <v>745</v>
      </c>
      <c r="G178" s="113" t="s">
        <v>745</v>
      </c>
      <c r="H178" s="113" t="s">
        <v>361</v>
      </c>
      <c r="I178" s="115" t="n">
        <v>44.18</v>
      </c>
      <c r="J178" s="115" t="s">
        <v>80</v>
      </c>
      <c r="K178" s="115" t="s">
        <v>81</v>
      </c>
      <c r="L178" s="115" t="n">
        <v>46.25</v>
      </c>
      <c r="M178" s="115" t="n">
        <v>3.0</v>
      </c>
      <c r="N178" s="115"/>
      <c r="O178" s="115"/>
      <c r="P178" s="115"/>
      <c r="Q178" s="115"/>
      <c r="R178" s="115"/>
      <c r="S178" s="115"/>
      <c r="T178" s="115"/>
      <c r="U178" s="115"/>
      <c r="V178" s="115" t="s">
        <v>91</v>
      </c>
      <c r="W178" s="115" t="s">
        <v>92</v>
      </c>
      <c r="X178" s="113">
        <f>IF(INDIRECT("W178")="Clássico","12%",IF(INDIRECT("W178")="Premium","17%","-"))</f>
      </c>
      <c r="Y178" s="113" t="s">
        <v>397</v>
      </c>
    </row>
    <row r="179" ht="50.0" customHeight="true">
      <c r="A179" s="113" t="s">
        <v>746</v>
      </c>
      <c r="B179" s="113" t="s">
        <v>747</v>
      </c>
      <c r="C179" s="113" t="s">
        <v>748</v>
      </c>
      <c r="D179" s="113"/>
      <c r="E179" s="114" t="s">
        <v>595</v>
      </c>
      <c r="F179" s="113" t="s">
        <v>749</v>
      </c>
      <c r="G179" s="113" t="s">
        <v>749</v>
      </c>
      <c r="H179" s="113" t="s">
        <v>103</v>
      </c>
      <c r="I179" s="115" t="n">
        <v>162.03</v>
      </c>
      <c r="J179" s="115" t="s">
        <v>80</v>
      </c>
      <c r="K179" s="115" t="s">
        <v>81</v>
      </c>
      <c r="L179" s="115" t="n">
        <v>157.03</v>
      </c>
      <c r="M179" s="115" t="n">
        <v>3.0</v>
      </c>
      <c r="N179" s="115"/>
      <c r="O179" s="115"/>
      <c r="P179" s="115"/>
      <c r="Q179" s="115"/>
      <c r="R179" s="115"/>
      <c r="S179" s="115"/>
      <c r="T179" s="115"/>
      <c r="U179" s="115"/>
      <c r="V179" s="115" t="s">
        <v>82</v>
      </c>
      <c r="W179" s="115" t="s">
        <v>83</v>
      </c>
      <c r="X179" s="113">
        <f>IF(INDIRECT("W179")="Clássico","12%",IF(INDIRECT("W179")="Premium","17%","-"))</f>
      </c>
      <c r="Y179" s="113" t="s">
        <v>597</v>
      </c>
    </row>
    <row r="180" ht="50.0" customHeight="true">
      <c r="A180" s="113" t="s">
        <v>750</v>
      </c>
      <c r="B180" s="113" t="s">
        <v>751</v>
      </c>
      <c r="C180" s="113" t="s">
        <v>752</v>
      </c>
      <c r="D180" s="113"/>
      <c r="E180" s="114" t="s">
        <v>753</v>
      </c>
      <c r="F180" s="113" t="s">
        <v>754</v>
      </c>
      <c r="G180" s="113" t="s">
        <v>754</v>
      </c>
      <c r="H180" s="113" t="s">
        <v>103</v>
      </c>
      <c r="I180" s="115" t="n">
        <v>310.0</v>
      </c>
      <c r="J180" s="115" t="s">
        <v>80</v>
      </c>
      <c r="K180" s="115" t="s">
        <v>81</v>
      </c>
      <c r="L180" s="115" t="n">
        <v>305.0</v>
      </c>
      <c r="M180" s="115" t="n">
        <v>3.0</v>
      </c>
      <c r="N180" s="115"/>
      <c r="O180" s="115"/>
      <c r="P180" s="115"/>
      <c r="Q180" s="115"/>
      <c r="R180" s="115"/>
      <c r="S180" s="115"/>
      <c r="T180" s="115"/>
      <c r="U180" s="115"/>
      <c r="V180" s="115" t="s">
        <v>82</v>
      </c>
      <c r="W180" s="115" t="s">
        <v>92</v>
      </c>
      <c r="X180" s="113">
        <f>IF(INDIRECT("W180")="Clássico","12%",IF(INDIRECT("W180")="Premium","17%","-"))</f>
      </c>
      <c r="Y180" s="113" t="s">
        <v>755</v>
      </c>
    </row>
    <row r="181" ht="50.0" customHeight="true">
      <c r="A181" s="113" t="s">
        <v>22</v>
      </c>
      <c r="B181" s="113" t="s">
        <v>756</v>
      </c>
      <c r="C181" s="113"/>
      <c r="D181" s="113"/>
      <c r="E181" s="113" t="s">
        <v>22</v>
      </c>
      <c r="F181" s="113" t="s">
        <v>369</v>
      </c>
      <c r="G181" s="113" t="s">
        <v>103</v>
      </c>
      <c r="H181" s="113" t="s">
        <v>103</v>
      </c>
      <c r="I181" s="115" t="n">
        <v>488.09</v>
      </c>
      <c r="J181" s="115" t="s">
        <v>80</v>
      </c>
      <c r="K181" s="113" t="s">
        <v>81</v>
      </c>
      <c r="L181" s="115" t="n">
        <v>483.09</v>
      </c>
      <c r="M181" s="115" t="n">
        <v>3.0</v>
      </c>
      <c r="N181" s="115"/>
      <c r="O181" s="115"/>
      <c r="P181" s="115"/>
      <c r="Q181" s="115"/>
      <c r="R181" s="115"/>
      <c r="S181" s="115"/>
      <c r="T181" s="115"/>
      <c r="U181" s="115"/>
      <c r="V181" s="115" t="s">
        <v>82</v>
      </c>
      <c r="W181" s="115" t="s">
        <v>92</v>
      </c>
      <c r="X181" s="113">
        <f>IF(INDIRECT("W181")="Clássico","12%",IF(INDIRECT("W181")="Premium","17%","-"))</f>
      </c>
      <c r="Y181" s="113" t="s">
        <v>300</v>
      </c>
    </row>
    <row r="182" ht="50.0" customHeight="true">
      <c r="A182" s="113" t="s">
        <v>22</v>
      </c>
      <c r="B182" s="113" t="s">
        <v>756</v>
      </c>
      <c r="C182" s="113" t="s">
        <v>757</v>
      </c>
      <c r="D182" s="113" t="s">
        <v>757</v>
      </c>
      <c r="E182" s="114" t="s">
        <v>321</v>
      </c>
      <c r="F182" s="116">
        <f>"     "&amp;F181</f>
      </c>
      <c r="G182" s="113" t="s">
        <v>322</v>
      </c>
      <c r="H182" s="113" t="s">
        <v>103</v>
      </c>
      <c r="I182" s="113">
        <f>I181</f>
      </c>
      <c r="J182" s="113">
        <f>J181&amp;"     "</f>
      </c>
      <c r="K182" s="113" t="s">
        <v>81</v>
      </c>
      <c r="L182" s="113">
        <f>L181</f>
      </c>
      <c r="M182" s="113">
        <f>M181</f>
      </c>
      <c r="N182" s="113">
        <f>N181</f>
      </c>
      <c r="O182" s="113">
        <f>O181</f>
      </c>
      <c r="P182" s="113">
        <f>P181</f>
      </c>
      <c r="Q182" s="113">
        <f>Q181</f>
      </c>
      <c r="R182" s="113">
        <f>R181</f>
      </c>
      <c r="S182" s="113">
        <f>S181</f>
      </c>
      <c r="T182" s="113">
        <f>T181</f>
      </c>
      <c r="U182" s="113">
        <f>U181</f>
      </c>
      <c r="V182" s="113">
        <f>V181&amp;"     "</f>
      </c>
      <c r="W182" s="113">
        <f>W181&amp;"     "</f>
      </c>
      <c r="X182" s="113">
        <f>X181</f>
      </c>
      <c r="Y182" s="113" t="s">
        <v>300</v>
      </c>
    </row>
    <row r="183" ht="50.0" customHeight="true">
      <c r="A183" s="113" t="s">
        <v>22</v>
      </c>
      <c r="B183" s="113" t="s">
        <v>756</v>
      </c>
      <c r="C183" s="113" t="s">
        <v>758</v>
      </c>
      <c r="D183" s="113" t="s">
        <v>758</v>
      </c>
      <c r="E183" s="114" t="s">
        <v>306</v>
      </c>
      <c r="F183" s="116">
        <f>"     "&amp;F181</f>
      </c>
      <c r="G183" s="113" t="s">
        <v>307</v>
      </c>
      <c r="H183" s="113" t="s">
        <v>103</v>
      </c>
      <c r="I183" s="113">
        <f>I181</f>
      </c>
      <c r="J183" s="113">
        <f>J181&amp;"     "</f>
      </c>
      <c r="K183" s="113" t="s">
        <v>81</v>
      </c>
      <c r="L183" s="113">
        <f>L181</f>
      </c>
      <c r="M183" s="113">
        <f>M181</f>
      </c>
      <c r="N183" s="113">
        <f>N181</f>
      </c>
      <c r="O183" s="113">
        <f>O181</f>
      </c>
      <c r="P183" s="113">
        <f>P181</f>
      </c>
      <c r="Q183" s="113">
        <f>Q181</f>
      </c>
      <c r="R183" s="113">
        <f>R181</f>
      </c>
      <c r="S183" s="113">
        <f>S181</f>
      </c>
      <c r="T183" s="113">
        <f>T181</f>
      </c>
      <c r="U183" s="113">
        <f>U181</f>
      </c>
      <c r="V183" s="113">
        <f>V181&amp;"     "</f>
      </c>
      <c r="W183" s="113">
        <f>W181&amp;"     "</f>
      </c>
      <c r="X183" s="113">
        <f>X181</f>
      </c>
      <c r="Y183" s="113" t="s">
        <v>300</v>
      </c>
    </row>
    <row r="184" ht="50.0" customHeight="true">
      <c r="A184" s="113" t="s">
        <v>22</v>
      </c>
      <c r="B184" s="113" t="s">
        <v>756</v>
      </c>
      <c r="C184" s="113" t="s">
        <v>759</v>
      </c>
      <c r="D184" s="113" t="s">
        <v>759</v>
      </c>
      <c r="E184" s="114" t="s">
        <v>318</v>
      </c>
      <c r="F184" s="116">
        <f>"     "&amp;F181</f>
      </c>
      <c r="G184" s="113" t="s">
        <v>319</v>
      </c>
      <c r="H184" s="113" t="s">
        <v>103</v>
      </c>
      <c r="I184" s="113">
        <f>I181</f>
      </c>
      <c r="J184" s="113">
        <f>J181&amp;"     "</f>
      </c>
      <c r="K184" s="113" t="s">
        <v>81</v>
      </c>
      <c r="L184" s="113">
        <f>L181</f>
      </c>
      <c r="M184" s="113">
        <f>M181</f>
      </c>
      <c r="N184" s="113">
        <f>N181</f>
      </c>
      <c r="O184" s="113">
        <f>O181</f>
      </c>
      <c r="P184" s="113">
        <f>P181</f>
      </c>
      <c r="Q184" s="113">
        <f>Q181</f>
      </c>
      <c r="R184" s="113">
        <f>R181</f>
      </c>
      <c r="S184" s="113">
        <f>S181</f>
      </c>
      <c r="T184" s="113">
        <f>T181</f>
      </c>
      <c r="U184" s="113">
        <f>U181</f>
      </c>
      <c r="V184" s="113">
        <f>V181&amp;"     "</f>
      </c>
      <c r="W184" s="113">
        <f>W181&amp;"     "</f>
      </c>
      <c r="X184" s="113">
        <f>X181</f>
      </c>
      <c r="Y184" s="113" t="s">
        <v>300</v>
      </c>
    </row>
    <row r="185" ht="50.0" customHeight="true">
      <c r="A185" s="113" t="s">
        <v>22</v>
      </c>
      <c r="B185" s="113" t="s">
        <v>756</v>
      </c>
      <c r="C185" s="113" t="s">
        <v>760</v>
      </c>
      <c r="D185" s="113" t="s">
        <v>760</v>
      </c>
      <c r="E185" s="114" t="s">
        <v>312</v>
      </c>
      <c r="F185" s="116">
        <f>"     "&amp;F181</f>
      </c>
      <c r="G185" s="113" t="s">
        <v>313</v>
      </c>
      <c r="H185" s="113" t="s">
        <v>103</v>
      </c>
      <c r="I185" s="113">
        <f>I181</f>
      </c>
      <c r="J185" s="113">
        <f>J181&amp;"     "</f>
      </c>
      <c r="K185" s="113" t="s">
        <v>81</v>
      </c>
      <c r="L185" s="113">
        <f>L181</f>
      </c>
      <c r="M185" s="113">
        <f>M181</f>
      </c>
      <c r="N185" s="113">
        <f>N181</f>
      </c>
      <c r="O185" s="113">
        <f>O181</f>
      </c>
      <c r="P185" s="113">
        <f>P181</f>
      </c>
      <c r="Q185" s="113">
        <f>Q181</f>
      </c>
      <c r="R185" s="113">
        <f>R181</f>
      </c>
      <c r="S185" s="113">
        <f>S181</f>
      </c>
      <c r="T185" s="113">
        <f>T181</f>
      </c>
      <c r="U185" s="113">
        <f>U181</f>
      </c>
      <c r="V185" s="113">
        <f>V181&amp;"     "</f>
      </c>
      <c r="W185" s="113">
        <f>W181&amp;"     "</f>
      </c>
      <c r="X185" s="113">
        <f>X181</f>
      </c>
      <c r="Y185" s="113" t="s">
        <v>300</v>
      </c>
    </row>
    <row r="186" ht="50.0" customHeight="true">
      <c r="A186" s="113" t="s">
        <v>22</v>
      </c>
      <c r="B186" s="113" t="s">
        <v>756</v>
      </c>
      <c r="C186" s="113" t="s">
        <v>761</v>
      </c>
      <c r="D186" s="113" t="s">
        <v>761</v>
      </c>
      <c r="E186" s="114" t="s">
        <v>309</v>
      </c>
      <c r="F186" s="116">
        <f>"     "&amp;F181</f>
      </c>
      <c r="G186" s="113" t="s">
        <v>375</v>
      </c>
      <c r="H186" s="113" t="s">
        <v>103</v>
      </c>
      <c r="I186" s="113">
        <f>I181</f>
      </c>
      <c r="J186" s="113">
        <f>J181&amp;"     "</f>
      </c>
      <c r="K186" s="113" t="s">
        <v>81</v>
      </c>
      <c r="L186" s="113">
        <f>L181</f>
      </c>
      <c r="M186" s="113">
        <f>M181</f>
      </c>
      <c r="N186" s="113">
        <f>N181</f>
      </c>
      <c r="O186" s="113">
        <f>O181</f>
      </c>
      <c r="P186" s="113">
        <f>P181</f>
      </c>
      <c r="Q186" s="113">
        <f>Q181</f>
      </c>
      <c r="R186" s="113">
        <f>R181</f>
      </c>
      <c r="S186" s="113">
        <f>S181</f>
      </c>
      <c r="T186" s="113">
        <f>T181</f>
      </c>
      <c r="U186" s="113">
        <f>U181</f>
      </c>
      <c r="V186" s="113">
        <f>V181&amp;"     "</f>
      </c>
      <c r="W186" s="113">
        <f>W181&amp;"     "</f>
      </c>
      <c r="X186" s="113">
        <f>X181</f>
      </c>
      <c r="Y186" s="113" t="s">
        <v>300</v>
      </c>
    </row>
    <row r="187" ht="50.0" customHeight="true">
      <c r="A187" s="113" t="s">
        <v>22</v>
      </c>
      <c r="B187" s="113" t="s">
        <v>756</v>
      </c>
      <c r="C187" s="113" t="s">
        <v>762</v>
      </c>
      <c r="D187" s="113" t="s">
        <v>762</v>
      </c>
      <c r="E187" s="114" t="s">
        <v>315</v>
      </c>
      <c r="F187" s="116">
        <f>"     "&amp;F181</f>
      </c>
      <c r="G187" s="113" t="s">
        <v>377</v>
      </c>
      <c r="H187" s="113" t="s">
        <v>103</v>
      </c>
      <c r="I187" s="113">
        <f>I181</f>
      </c>
      <c r="J187" s="113">
        <f>J181&amp;"     "</f>
      </c>
      <c r="K187" s="113" t="s">
        <v>81</v>
      </c>
      <c r="L187" s="113">
        <f>L181</f>
      </c>
      <c r="M187" s="113">
        <f>M181</f>
      </c>
      <c r="N187" s="113">
        <f>N181</f>
      </c>
      <c r="O187" s="113">
        <f>O181</f>
      </c>
      <c r="P187" s="113">
        <f>P181</f>
      </c>
      <c r="Q187" s="113">
        <f>Q181</f>
      </c>
      <c r="R187" s="113">
        <f>R181</f>
      </c>
      <c r="S187" s="113">
        <f>S181</f>
      </c>
      <c r="T187" s="113">
        <f>T181</f>
      </c>
      <c r="U187" s="113">
        <f>U181</f>
      </c>
      <c r="V187" s="113">
        <f>V181&amp;"     "</f>
      </c>
      <c r="W187" s="113">
        <f>W181&amp;"     "</f>
      </c>
      <c r="X187" s="113">
        <f>X181</f>
      </c>
      <c r="Y187" s="113" t="s">
        <v>300</v>
      </c>
    </row>
    <row r="188" ht="50.0" customHeight="true">
      <c r="A188" s="113" t="s">
        <v>22</v>
      </c>
      <c r="B188" s="113" t="s">
        <v>756</v>
      </c>
      <c r="C188" s="113" t="s">
        <v>763</v>
      </c>
      <c r="D188" s="113" t="s">
        <v>763</v>
      </c>
      <c r="E188" s="114" t="s">
        <v>302</v>
      </c>
      <c r="F188" s="116">
        <f>"     "&amp;F181</f>
      </c>
      <c r="G188" s="113" t="s">
        <v>303</v>
      </c>
      <c r="H188" s="113" t="s">
        <v>103</v>
      </c>
      <c r="I188" s="113">
        <f>I181</f>
      </c>
      <c r="J188" s="113">
        <f>J181&amp;"     "</f>
      </c>
      <c r="K188" s="113" t="s">
        <v>81</v>
      </c>
      <c r="L188" s="113">
        <f>L181</f>
      </c>
      <c r="M188" s="113">
        <f>M181</f>
      </c>
      <c r="N188" s="113">
        <f>N181</f>
      </c>
      <c r="O188" s="113">
        <f>O181</f>
      </c>
      <c r="P188" s="113">
        <f>P181</f>
      </c>
      <c r="Q188" s="113">
        <f>Q181</f>
      </c>
      <c r="R188" s="113">
        <f>R181</f>
      </c>
      <c r="S188" s="113">
        <f>S181</f>
      </c>
      <c r="T188" s="113">
        <f>T181</f>
      </c>
      <c r="U188" s="113">
        <f>U181</f>
      </c>
      <c r="V188" s="113">
        <f>V181&amp;"     "</f>
      </c>
      <c r="W188" s="113">
        <f>W181&amp;"     "</f>
      </c>
      <c r="X188" s="113">
        <f>X181</f>
      </c>
      <c r="Y188" s="113" t="s">
        <v>300</v>
      </c>
    </row>
    <row r="189" ht="50.0" customHeight="true">
      <c r="A189" s="113" t="s">
        <v>22</v>
      </c>
      <c r="B189" s="113" t="s">
        <v>756</v>
      </c>
      <c r="C189" s="113" t="s">
        <v>764</v>
      </c>
      <c r="D189" s="113" t="s">
        <v>764</v>
      </c>
      <c r="E189" s="114" t="s">
        <v>324</v>
      </c>
      <c r="F189" s="116">
        <f>"     "&amp;F181</f>
      </c>
      <c r="G189" s="113" t="s">
        <v>325</v>
      </c>
      <c r="H189" s="113" t="s">
        <v>103</v>
      </c>
      <c r="I189" s="113">
        <f>I181</f>
      </c>
      <c r="J189" s="113">
        <f>J181&amp;"     "</f>
      </c>
      <c r="K189" s="113" t="s">
        <v>81</v>
      </c>
      <c r="L189" s="113">
        <f>L181</f>
      </c>
      <c r="M189" s="113">
        <f>M181</f>
      </c>
      <c r="N189" s="113">
        <f>N181</f>
      </c>
      <c r="O189" s="113">
        <f>O181</f>
      </c>
      <c r="P189" s="113">
        <f>P181</f>
      </c>
      <c r="Q189" s="113">
        <f>Q181</f>
      </c>
      <c r="R189" s="113">
        <f>R181</f>
      </c>
      <c r="S189" s="113">
        <f>S181</f>
      </c>
      <c r="T189" s="113">
        <f>T181</f>
      </c>
      <c r="U189" s="113">
        <f>U181</f>
      </c>
      <c r="V189" s="113">
        <f>V181&amp;"     "</f>
      </c>
      <c r="W189" s="113">
        <f>W181&amp;"     "</f>
      </c>
      <c r="X189" s="113">
        <f>X181</f>
      </c>
      <c r="Y189" s="113" t="s">
        <v>300</v>
      </c>
    </row>
    <row r="190" ht="50.0" customHeight="true">
      <c r="A190" s="113" t="s">
        <v>22</v>
      </c>
      <c r="B190" s="113" t="s">
        <v>756</v>
      </c>
      <c r="C190" s="113" t="s">
        <v>765</v>
      </c>
      <c r="D190" s="113" t="s">
        <v>765</v>
      </c>
      <c r="E190" s="114" t="s">
        <v>327</v>
      </c>
      <c r="F190" s="116">
        <f>"     "&amp;F181</f>
      </c>
      <c r="G190" s="113" t="s">
        <v>328</v>
      </c>
      <c r="H190" s="113" t="s">
        <v>103</v>
      </c>
      <c r="I190" s="113">
        <f>I181</f>
      </c>
      <c r="J190" s="113">
        <f>J181&amp;"     "</f>
      </c>
      <c r="K190" s="113" t="s">
        <v>81</v>
      </c>
      <c r="L190" s="113">
        <f>L181</f>
      </c>
      <c r="M190" s="113">
        <f>M181</f>
      </c>
      <c r="N190" s="113">
        <f>N181</f>
      </c>
      <c r="O190" s="113">
        <f>O181</f>
      </c>
      <c r="P190" s="113">
        <f>P181</f>
      </c>
      <c r="Q190" s="113">
        <f>Q181</f>
      </c>
      <c r="R190" s="113">
        <f>R181</f>
      </c>
      <c r="S190" s="113">
        <f>S181</f>
      </c>
      <c r="T190" s="113">
        <f>T181</f>
      </c>
      <c r="U190" s="113">
        <f>U181</f>
      </c>
      <c r="V190" s="113">
        <f>V181&amp;"     "</f>
      </c>
      <c r="W190" s="113">
        <f>W181&amp;"     "</f>
      </c>
      <c r="X190" s="113">
        <f>X181</f>
      </c>
      <c r="Y190" s="113" t="s">
        <v>300</v>
      </c>
    </row>
    <row r="191" ht="50.0" customHeight="true">
      <c r="A191" s="113" t="s">
        <v>22</v>
      </c>
      <c r="B191" s="113" t="s">
        <v>756</v>
      </c>
      <c r="C191" s="113" t="s">
        <v>766</v>
      </c>
      <c r="D191" s="113" t="s">
        <v>766</v>
      </c>
      <c r="E191" s="114" t="s">
        <v>330</v>
      </c>
      <c r="F191" s="116">
        <f>"     "&amp;F181</f>
      </c>
      <c r="G191" s="113" t="s">
        <v>331</v>
      </c>
      <c r="H191" s="113" t="s">
        <v>103</v>
      </c>
      <c r="I191" s="113">
        <f>I181</f>
      </c>
      <c r="J191" s="113">
        <f>J181&amp;"     "</f>
      </c>
      <c r="K191" s="113" t="s">
        <v>81</v>
      </c>
      <c r="L191" s="113">
        <f>L181</f>
      </c>
      <c r="M191" s="113">
        <f>M181</f>
      </c>
      <c r="N191" s="113">
        <f>N181</f>
      </c>
      <c r="O191" s="113">
        <f>O181</f>
      </c>
      <c r="P191" s="113">
        <f>P181</f>
      </c>
      <c r="Q191" s="113">
        <f>Q181</f>
      </c>
      <c r="R191" s="113">
        <f>R181</f>
      </c>
      <c r="S191" s="113">
        <f>S181</f>
      </c>
      <c r="T191" s="113">
        <f>T181</f>
      </c>
      <c r="U191" s="113">
        <f>U181</f>
      </c>
      <c r="V191" s="113">
        <f>V181&amp;"     "</f>
      </c>
      <c r="W191" s="113">
        <f>W181&amp;"     "</f>
      </c>
      <c r="X191" s="113">
        <f>X181</f>
      </c>
      <c r="Y191" s="113" t="s">
        <v>300</v>
      </c>
    </row>
    <row r="192" ht="50.0" customHeight="true">
      <c r="A192" s="113" t="s">
        <v>22</v>
      </c>
      <c r="B192" s="113" t="s">
        <v>756</v>
      </c>
      <c r="C192" s="113" t="s">
        <v>767</v>
      </c>
      <c r="D192" s="113" t="s">
        <v>767</v>
      </c>
      <c r="E192" s="114" t="s">
        <v>333</v>
      </c>
      <c r="F192" s="116">
        <f>"     "&amp;F181</f>
      </c>
      <c r="G192" s="113" t="s">
        <v>334</v>
      </c>
      <c r="H192" s="113" t="s">
        <v>103</v>
      </c>
      <c r="I192" s="113">
        <f>I181</f>
      </c>
      <c r="J192" s="113">
        <f>J181&amp;"     "</f>
      </c>
      <c r="K192" s="113" t="s">
        <v>81</v>
      </c>
      <c r="L192" s="113">
        <f>L181</f>
      </c>
      <c r="M192" s="113">
        <f>M181</f>
      </c>
      <c r="N192" s="113">
        <f>N181</f>
      </c>
      <c r="O192" s="113">
        <f>O181</f>
      </c>
      <c r="P192" s="113">
        <f>P181</f>
      </c>
      <c r="Q192" s="113">
        <f>Q181</f>
      </c>
      <c r="R192" s="113">
        <f>R181</f>
      </c>
      <c r="S192" s="113">
        <f>S181</f>
      </c>
      <c r="T192" s="113">
        <f>T181</f>
      </c>
      <c r="U192" s="113">
        <f>U181</f>
      </c>
      <c r="V192" s="113">
        <f>V181&amp;"     "</f>
      </c>
      <c r="W192" s="113">
        <f>W181&amp;"     "</f>
      </c>
      <c r="X192" s="113">
        <f>X181</f>
      </c>
      <c r="Y192" s="113" t="s">
        <v>300</v>
      </c>
    </row>
    <row r="193" ht="50.0" customHeight="true">
      <c r="A193" s="113" t="s">
        <v>22</v>
      </c>
      <c r="B193" s="113" t="s">
        <v>756</v>
      </c>
      <c r="C193" s="113" t="s">
        <v>768</v>
      </c>
      <c r="D193" s="113" t="s">
        <v>768</v>
      </c>
      <c r="E193" s="114" t="s">
        <v>336</v>
      </c>
      <c r="F193" s="116">
        <f>"     "&amp;F181</f>
      </c>
      <c r="G193" s="113" t="s">
        <v>337</v>
      </c>
      <c r="H193" s="113" t="s">
        <v>103</v>
      </c>
      <c r="I193" s="113">
        <f>I181</f>
      </c>
      <c r="J193" s="113">
        <f>J181&amp;"     "</f>
      </c>
      <c r="K193" s="113" t="s">
        <v>81</v>
      </c>
      <c r="L193" s="113">
        <f>L181</f>
      </c>
      <c r="M193" s="113">
        <f>M181</f>
      </c>
      <c r="N193" s="113">
        <f>N181</f>
      </c>
      <c r="O193" s="113">
        <f>O181</f>
      </c>
      <c r="P193" s="113">
        <f>P181</f>
      </c>
      <c r="Q193" s="113">
        <f>Q181</f>
      </c>
      <c r="R193" s="113">
        <f>R181</f>
      </c>
      <c r="S193" s="113">
        <f>S181</f>
      </c>
      <c r="T193" s="113">
        <f>T181</f>
      </c>
      <c r="U193" s="113">
        <f>U181</f>
      </c>
      <c r="V193" s="113">
        <f>V181&amp;"     "</f>
      </c>
      <c r="W193" s="113">
        <f>W181&amp;"     "</f>
      </c>
      <c r="X193" s="113">
        <f>X181</f>
      </c>
      <c r="Y193" s="113" t="s">
        <v>300</v>
      </c>
    </row>
    <row r="194" ht="50.0" customHeight="true">
      <c r="A194" s="113" t="s">
        <v>769</v>
      </c>
      <c r="B194" s="113" t="s">
        <v>770</v>
      </c>
      <c r="C194" s="113" t="s">
        <v>771</v>
      </c>
      <c r="D194" s="113"/>
      <c r="E194" s="114" t="s">
        <v>88</v>
      </c>
      <c r="F194" s="113" t="s">
        <v>772</v>
      </c>
      <c r="G194" s="113" t="s">
        <v>772</v>
      </c>
      <c r="H194" s="113" t="s">
        <v>103</v>
      </c>
      <c r="I194" s="115" t="n">
        <v>92.15</v>
      </c>
      <c r="J194" s="115" t="s">
        <v>80</v>
      </c>
      <c r="K194" s="115" t="s">
        <v>81</v>
      </c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 t="s">
        <v>91</v>
      </c>
      <c r="W194" s="115" t="s">
        <v>92</v>
      </c>
      <c r="X194" s="113">
        <f>IF(INDIRECT("W194")="Clássico","12%",IF(INDIRECT("W194")="Premium","17%","-"))</f>
      </c>
      <c r="Y194" s="113" t="s">
        <v>93</v>
      </c>
    </row>
    <row r="195" ht="50.0" customHeight="true">
      <c r="A195" s="113" t="s">
        <v>773</v>
      </c>
      <c r="B195" s="113" t="s">
        <v>774</v>
      </c>
      <c r="C195" s="113" t="s">
        <v>775</v>
      </c>
      <c r="D195" s="113"/>
      <c r="E195" s="114" t="s">
        <v>588</v>
      </c>
      <c r="F195" s="113" t="s">
        <v>776</v>
      </c>
      <c r="G195" s="113" t="s">
        <v>103</v>
      </c>
      <c r="H195" s="113" t="s">
        <v>103</v>
      </c>
      <c r="I195" s="115" t="n">
        <v>99.87</v>
      </c>
      <c r="J195" s="115" t="s">
        <v>80</v>
      </c>
      <c r="K195" s="115" t="s">
        <v>81</v>
      </c>
      <c r="L195" s="115" t="n">
        <v>94.87</v>
      </c>
      <c r="M195" s="115" t="n">
        <v>3.0</v>
      </c>
      <c r="N195" s="115"/>
      <c r="O195" s="115"/>
      <c r="P195" s="115"/>
      <c r="Q195" s="115"/>
      <c r="R195" s="115"/>
      <c r="S195" s="115"/>
      <c r="T195" s="115"/>
      <c r="U195" s="115"/>
      <c r="V195" s="115" t="s">
        <v>91</v>
      </c>
      <c r="W195" s="115" t="s">
        <v>92</v>
      </c>
      <c r="X195" s="113">
        <f>IF(INDIRECT("W195")="Clássico","12%",IF(INDIRECT("W195")="Premium","17%","-"))</f>
      </c>
      <c r="Y195" s="113" t="s">
        <v>777</v>
      </c>
    </row>
    <row r="196" ht="50.0" customHeight="true">
      <c r="A196" s="113" t="s">
        <v>778</v>
      </c>
      <c r="B196" s="113" t="s">
        <v>779</v>
      </c>
      <c r="C196" s="113" t="s">
        <v>780</v>
      </c>
      <c r="D196" s="113"/>
      <c r="E196" s="114" t="s">
        <v>781</v>
      </c>
      <c r="F196" s="113" t="s">
        <v>782</v>
      </c>
      <c r="G196" s="113" t="s">
        <v>782</v>
      </c>
      <c r="H196" s="113" t="s">
        <v>103</v>
      </c>
      <c r="I196" s="115" t="n">
        <v>363.17</v>
      </c>
      <c r="J196" s="115" t="s">
        <v>80</v>
      </c>
      <c r="K196" s="115" t="s">
        <v>81</v>
      </c>
      <c r="L196" s="115" t="n">
        <v>410.83</v>
      </c>
      <c r="M196" s="115" t="n">
        <v>3.0</v>
      </c>
      <c r="N196" s="115"/>
      <c r="O196" s="115"/>
      <c r="P196" s="115"/>
      <c r="Q196" s="115"/>
      <c r="R196" s="115"/>
      <c r="S196" s="115"/>
      <c r="T196" s="115"/>
      <c r="U196" s="115"/>
      <c r="V196" s="115" t="s">
        <v>82</v>
      </c>
      <c r="W196" s="115" t="s">
        <v>83</v>
      </c>
      <c r="X196" s="113">
        <f>IF(INDIRECT("W196")="Clássico","12%",IF(INDIRECT("W196")="Premium","17%","-"))</f>
      </c>
      <c r="Y196" s="113" t="s">
        <v>783</v>
      </c>
    </row>
    <row r="197" ht="50.0" customHeight="true">
      <c r="A197" s="113" t="s">
        <v>784</v>
      </c>
      <c r="B197" s="113" t="s">
        <v>785</v>
      </c>
      <c r="C197" s="113" t="s">
        <v>786</v>
      </c>
      <c r="D197" s="113"/>
      <c r="E197" s="114" t="s">
        <v>249</v>
      </c>
      <c r="F197" s="113" t="s">
        <v>787</v>
      </c>
      <c r="G197" s="113" t="s">
        <v>787</v>
      </c>
      <c r="H197" s="113" t="s">
        <v>103</v>
      </c>
      <c r="I197" s="115" t="n">
        <v>207.47</v>
      </c>
      <c r="J197" s="115" t="s">
        <v>80</v>
      </c>
      <c r="K197" s="115" t="s">
        <v>81</v>
      </c>
      <c r="L197" s="115" t="n">
        <v>137.91</v>
      </c>
      <c r="M197" s="115" t="n">
        <v>3.0</v>
      </c>
      <c r="N197" s="115"/>
      <c r="O197" s="115"/>
      <c r="P197" s="115"/>
      <c r="Q197" s="115"/>
      <c r="R197" s="115"/>
      <c r="S197" s="115"/>
      <c r="T197" s="115"/>
      <c r="U197" s="115"/>
      <c r="V197" s="115" t="s">
        <v>82</v>
      </c>
      <c r="W197" s="115" t="s">
        <v>92</v>
      </c>
      <c r="X197" s="113">
        <f>IF(INDIRECT("W197")="Clássico","12%",IF(INDIRECT("W197")="Premium","17%","-"))</f>
      </c>
      <c r="Y197" s="113" t="s">
        <v>251</v>
      </c>
    </row>
    <row r="198" ht="50.0" customHeight="true">
      <c r="A198" s="113" t="s">
        <v>788</v>
      </c>
      <c r="B198" s="113" t="s">
        <v>789</v>
      </c>
      <c r="C198" s="113" t="s">
        <v>790</v>
      </c>
      <c r="D198" s="113"/>
      <c r="E198" s="114" t="s">
        <v>155</v>
      </c>
      <c r="F198" s="113" t="s">
        <v>791</v>
      </c>
      <c r="G198" s="113" t="s">
        <v>127</v>
      </c>
      <c r="H198" s="113" t="s">
        <v>99</v>
      </c>
      <c r="I198" s="115" t="n">
        <v>299.88</v>
      </c>
      <c r="J198" s="115" t="s">
        <v>80</v>
      </c>
      <c r="K198" s="115" t="s">
        <v>81</v>
      </c>
      <c r="L198" s="115" t="n">
        <v>216.51</v>
      </c>
      <c r="M198" s="115" t="n">
        <v>3.0</v>
      </c>
      <c r="N198" s="115"/>
      <c r="O198" s="115"/>
      <c r="P198" s="115"/>
      <c r="Q198" s="115"/>
      <c r="R198" s="115"/>
      <c r="S198" s="115"/>
      <c r="T198" s="115"/>
      <c r="U198" s="115"/>
      <c r="V198" s="115" t="s">
        <v>82</v>
      </c>
      <c r="W198" s="115" t="s">
        <v>83</v>
      </c>
      <c r="X198" s="113">
        <f>IF(INDIRECT("W198")="Clássico","12%",IF(INDIRECT("W198")="Premium","17%","-"))</f>
      </c>
      <c r="Y198" s="113" t="s">
        <v>158</v>
      </c>
    </row>
    <row r="199" ht="50.0" customHeight="true">
      <c r="A199" s="113" t="s">
        <v>792</v>
      </c>
      <c r="B199" s="113" t="s">
        <v>793</v>
      </c>
      <c r="C199" s="113" t="s">
        <v>794</v>
      </c>
      <c r="D199" s="113"/>
      <c r="E199" s="114" t="s">
        <v>285</v>
      </c>
      <c r="F199" s="113" t="s">
        <v>795</v>
      </c>
      <c r="G199" s="113" t="s">
        <v>795</v>
      </c>
      <c r="H199" s="113" t="s">
        <v>157</v>
      </c>
      <c r="I199" s="115" t="n">
        <v>198.61</v>
      </c>
      <c r="J199" s="115" t="s">
        <v>80</v>
      </c>
      <c r="K199" s="115" t="s">
        <v>81</v>
      </c>
      <c r="L199" s="115" t="n">
        <v>143.99</v>
      </c>
      <c r="M199" s="115" t="n">
        <v>3.0</v>
      </c>
      <c r="N199" s="115"/>
      <c r="O199" s="115"/>
      <c r="P199" s="115"/>
      <c r="Q199" s="115"/>
      <c r="R199" s="115"/>
      <c r="S199" s="115"/>
      <c r="T199" s="115"/>
      <c r="U199" s="115"/>
      <c r="V199" s="115" t="s">
        <v>82</v>
      </c>
      <c r="W199" s="115" t="s">
        <v>92</v>
      </c>
      <c r="X199" s="113">
        <f>IF(INDIRECT("W199")="Clássico","12%",IF(INDIRECT("W199")="Premium","17%","-"))</f>
      </c>
      <c r="Y199" s="113" t="s">
        <v>287</v>
      </c>
    </row>
    <row r="200" ht="50.0" customHeight="true">
      <c r="A200" s="113" t="s">
        <v>796</v>
      </c>
      <c r="B200" s="113" t="s">
        <v>797</v>
      </c>
      <c r="C200" s="113" t="s">
        <v>798</v>
      </c>
      <c r="D200" s="113"/>
      <c r="E200" s="114" t="s">
        <v>799</v>
      </c>
      <c r="F200" s="113" t="s">
        <v>800</v>
      </c>
      <c r="G200" s="113" t="s">
        <v>800</v>
      </c>
      <c r="H200" s="113" t="s">
        <v>99</v>
      </c>
      <c r="I200" s="115" t="n">
        <v>347.98</v>
      </c>
      <c r="J200" s="115" t="s">
        <v>80</v>
      </c>
      <c r="K200" s="115" t="s">
        <v>81</v>
      </c>
      <c r="L200" s="115" t="n">
        <v>337.92</v>
      </c>
      <c r="M200" s="115" t="n">
        <v>3.0</v>
      </c>
      <c r="N200" s="115"/>
      <c r="O200" s="115"/>
      <c r="P200" s="115"/>
      <c r="Q200" s="115"/>
      <c r="R200" s="115"/>
      <c r="S200" s="115"/>
      <c r="T200" s="115"/>
      <c r="U200" s="115"/>
      <c r="V200" s="115" t="s">
        <v>82</v>
      </c>
      <c r="W200" s="115" t="s">
        <v>83</v>
      </c>
      <c r="X200" s="113">
        <f>IF(INDIRECT("W200")="Clássico","12%",IF(INDIRECT("W200")="Premium","17%","-"))</f>
      </c>
      <c r="Y200" s="113" t="s">
        <v>93</v>
      </c>
    </row>
    <row r="201" ht="50.0" customHeight="true">
      <c r="A201" s="113" t="s">
        <v>801</v>
      </c>
      <c r="B201" s="113" t="s">
        <v>802</v>
      </c>
      <c r="C201" s="113" t="s">
        <v>803</v>
      </c>
      <c r="D201" s="113"/>
      <c r="E201" s="114" t="s">
        <v>436</v>
      </c>
      <c r="F201" s="113" t="s">
        <v>804</v>
      </c>
      <c r="G201" s="113" t="s">
        <v>804</v>
      </c>
      <c r="H201" s="113" t="s">
        <v>103</v>
      </c>
      <c r="I201" s="115" t="n">
        <v>237.85</v>
      </c>
      <c r="J201" s="115" t="s">
        <v>80</v>
      </c>
      <c r="K201" s="115" t="s">
        <v>81</v>
      </c>
      <c r="L201" s="115" t="n">
        <v>238.66</v>
      </c>
      <c r="M201" s="115" t="n">
        <v>3.0</v>
      </c>
      <c r="N201" s="115"/>
      <c r="O201" s="115"/>
      <c r="P201" s="115"/>
      <c r="Q201" s="115"/>
      <c r="R201" s="115"/>
      <c r="S201" s="115"/>
      <c r="T201" s="115"/>
      <c r="U201" s="115"/>
      <c r="V201" s="115" t="s">
        <v>82</v>
      </c>
      <c r="W201" s="115" t="s">
        <v>92</v>
      </c>
      <c r="X201" s="113">
        <f>IF(INDIRECT("W201")="Clássico","12%",IF(INDIRECT("W201")="Premium","17%","-"))</f>
      </c>
      <c r="Y201" s="113" t="s">
        <v>367</v>
      </c>
    </row>
    <row r="202" ht="50.0" customHeight="true">
      <c r="A202" s="113" t="s">
        <v>805</v>
      </c>
      <c r="B202" s="113" t="s">
        <v>806</v>
      </c>
      <c r="C202" s="113" t="s">
        <v>807</v>
      </c>
      <c r="D202" s="113"/>
      <c r="E202" s="114" t="s">
        <v>808</v>
      </c>
      <c r="F202" s="113" t="s">
        <v>809</v>
      </c>
      <c r="G202" s="113" t="s">
        <v>809</v>
      </c>
      <c r="H202" s="113" t="s">
        <v>103</v>
      </c>
      <c r="I202" s="115" t="n">
        <v>212.53</v>
      </c>
      <c r="J202" s="115" t="s">
        <v>80</v>
      </c>
      <c r="K202" s="115" t="s">
        <v>81</v>
      </c>
      <c r="L202" s="115" t="n">
        <v>194.88</v>
      </c>
      <c r="M202" s="115" t="n">
        <v>3.0</v>
      </c>
      <c r="N202" s="115"/>
      <c r="O202" s="115"/>
      <c r="P202" s="115"/>
      <c r="Q202" s="115"/>
      <c r="R202" s="115"/>
      <c r="S202" s="115"/>
      <c r="T202" s="115"/>
      <c r="U202" s="115"/>
      <c r="V202" s="115" t="s">
        <v>82</v>
      </c>
      <c r="W202" s="115" t="s">
        <v>83</v>
      </c>
      <c r="X202" s="113">
        <f>IF(INDIRECT("W202")="Clássico","12%",IF(INDIRECT("W202")="Premium","17%","-"))</f>
      </c>
      <c r="Y202" s="113" t="s">
        <v>482</v>
      </c>
    </row>
    <row r="203" ht="50.0" customHeight="true">
      <c r="A203" s="113" t="s">
        <v>810</v>
      </c>
      <c r="B203" s="113" t="s">
        <v>811</v>
      </c>
      <c r="C203" s="113" t="s">
        <v>812</v>
      </c>
      <c r="D203" s="113"/>
      <c r="E203" s="114" t="s">
        <v>110</v>
      </c>
      <c r="F203" s="113" t="s">
        <v>813</v>
      </c>
      <c r="G203" s="113" t="s">
        <v>813</v>
      </c>
      <c r="H203" s="113" t="s">
        <v>361</v>
      </c>
      <c r="I203" s="115" t="n">
        <v>194.81</v>
      </c>
      <c r="J203" s="115" t="s">
        <v>80</v>
      </c>
      <c r="K203" s="115" t="s">
        <v>81</v>
      </c>
      <c r="L203" s="115" t="n">
        <v>198.77</v>
      </c>
      <c r="M203" s="115" t="n">
        <v>3.0</v>
      </c>
      <c r="N203" s="115"/>
      <c r="O203" s="115"/>
      <c r="P203" s="115"/>
      <c r="Q203" s="115"/>
      <c r="R203" s="115"/>
      <c r="S203" s="115"/>
      <c r="T203" s="115"/>
      <c r="U203" s="115"/>
      <c r="V203" s="115" t="s">
        <v>82</v>
      </c>
      <c r="W203" s="115" t="s">
        <v>83</v>
      </c>
      <c r="X203" s="113">
        <f>IF(INDIRECT("W203")="Clássico","12%",IF(INDIRECT("W203")="Premium","17%","-"))</f>
      </c>
      <c r="Y203" s="113" t="s">
        <v>551</v>
      </c>
    </row>
    <row r="204" ht="50.0" customHeight="true">
      <c r="A204" s="113" t="s">
        <v>814</v>
      </c>
      <c r="B204" s="113" t="s">
        <v>815</v>
      </c>
      <c r="C204" s="113" t="s">
        <v>816</v>
      </c>
      <c r="D204" s="113"/>
      <c r="E204" s="114" t="s">
        <v>295</v>
      </c>
      <c r="F204" s="113" t="s">
        <v>817</v>
      </c>
      <c r="G204" s="113" t="s">
        <v>817</v>
      </c>
      <c r="H204" s="113" t="s">
        <v>103</v>
      </c>
      <c r="I204" s="115" t="n">
        <v>72.03</v>
      </c>
      <c r="J204" s="115" t="s">
        <v>80</v>
      </c>
      <c r="K204" s="115" t="s">
        <v>81</v>
      </c>
      <c r="L204" s="115" t="n">
        <v>67.03</v>
      </c>
      <c r="M204" s="115" t="n">
        <v>3.0</v>
      </c>
      <c r="N204" s="115"/>
      <c r="O204" s="115"/>
      <c r="P204" s="115"/>
      <c r="Q204" s="115"/>
      <c r="R204" s="115"/>
      <c r="S204" s="115"/>
      <c r="T204" s="115"/>
      <c r="U204" s="115"/>
      <c r="V204" s="115" t="s">
        <v>91</v>
      </c>
      <c r="W204" s="115" t="s">
        <v>83</v>
      </c>
      <c r="X204" s="113">
        <f>IF(INDIRECT("W204")="Clássico","12%",IF(INDIRECT("W204")="Premium","17%","-"))</f>
      </c>
      <c r="Y204" s="113" t="s">
        <v>297</v>
      </c>
    </row>
    <row r="205" ht="50.0" customHeight="true">
      <c r="A205" s="113" t="s">
        <v>818</v>
      </c>
      <c r="B205" s="113" t="s">
        <v>819</v>
      </c>
      <c r="C205" s="113" t="s">
        <v>820</v>
      </c>
      <c r="D205" s="113"/>
      <c r="E205" s="114" t="s">
        <v>141</v>
      </c>
      <c r="F205" s="113" t="s">
        <v>821</v>
      </c>
      <c r="G205" s="113" t="s">
        <v>821</v>
      </c>
      <c r="H205" s="113" t="s">
        <v>132</v>
      </c>
      <c r="I205" s="115" t="n">
        <v>113.8</v>
      </c>
      <c r="J205" s="115" t="s">
        <v>80</v>
      </c>
      <c r="K205" s="115" t="s">
        <v>81</v>
      </c>
      <c r="L205" s="115" t="n">
        <v>105.0</v>
      </c>
      <c r="M205" s="115" t="n">
        <v>3.0</v>
      </c>
      <c r="N205" s="115"/>
      <c r="O205" s="115"/>
      <c r="P205" s="115"/>
      <c r="Q205" s="115"/>
      <c r="R205" s="115"/>
      <c r="S205" s="115"/>
      <c r="T205" s="115"/>
      <c r="U205" s="115"/>
      <c r="V205" s="115" t="s">
        <v>82</v>
      </c>
      <c r="W205" s="115" t="s">
        <v>83</v>
      </c>
      <c r="X205" s="113">
        <f>IF(INDIRECT("W205")="Clássico","12%",IF(INDIRECT("W205")="Premium","17%","-"))</f>
      </c>
      <c r="Y205" s="113" t="s">
        <v>144</v>
      </c>
    </row>
    <row r="206" ht="50.0" customHeight="true">
      <c r="A206" s="113" t="s">
        <v>822</v>
      </c>
      <c r="B206" s="113" t="s">
        <v>823</v>
      </c>
      <c r="C206" s="113" t="s">
        <v>824</v>
      </c>
      <c r="D206" s="113"/>
      <c r="E206" s="114" t="s">
        <v>162</v>
      </c>
      <c r="F206" s="113" t="s">
        <v>825</v>
      </c>
      <c r="G206" s="113" t="s">
        <v>825</v>
      </c>
      <c r="H206" s="113" t="s">
        <v>103</v>
      </c>
      <c r="I206" s="115" t="n">
        <v>788.49</v>
      </c>
      <c r="J206" s="115" t="s">
        <v>80</v>
      </c>
      <c r="K206" s="115" t="s">
        <v>81</v>
      </c>
      <c r="L206" s="115" t="n">
        <v>925.26</v>
      </c>
      <c r="M206" s="115" t="n">
        <v>3.0</v>
      </c>
      <c r="N206" s="115"/>
      <c r="O206" s="115"/>
      <c r="P206" s="115"/>
      <c r="Q206" s="115"/>
      <c r="R206" s="115"/>
      <c r="S206" s="115"/>
      <c r="T206" s="115"/>
      <c r="U206" s="115"/>
      <c r="V206" s="115" t="s">
        <v>82</v>
      </c>
      <c r="W206" s="115" t="s">
        <v>92</v>
      </c>
      <c r="X206" s="113">
        <f>IF(INDIRECT("W206")="Clássico","12%",IF(INDIRECT("W206")="Premium","17%","-"))</f>
      </c>
      <c r="Y206" s="113" t="s">
        <v>164</v>
      </c>
    </row>
    <row r="207" ht="50.0" customHeight="true">
      <c r="A207" s="113" t="s">
        <v>826</v>
      </c>
      <c r="B207" s="113" t="s">
        <v>827</v>
      </c>
      <c r="C207" s="113" t="s">
        <v>828</v>
      </c>
      <c r="D207" s="113"/>
      <c r="E207" s="114" t="s">
        <v>829</v>
      </c>
      <c r="F207" s="113" t="s">
        <v>830</v>
      </c>
      <c r="G207" s="113" t="s">
        <v>830</v>
      </c>
      <c r="H207" s="113" t="s">
        <v>234</v>
      </c>
      <c r="I207" s="115" t="n">
        <v>721.4</v>
      </c>
      <c r="J207" s="115" t="s">
        <v>80</v>
      </c>
      <c r="K207" s="115" t="s">
        <v>81</v>
      </c>
      <c r="L207" s="115" t="n">
        <v>749.41</v>
      </c>
      <c r="M207" s="115" t="n">
        <v>3.0</v>
      </c>
      <c r="N207" s="115"/>
      <c r="O207" s="115"/>
      <c r="P207" s="115"/>
      <c r="Q207" s="115"/>
      <c r="R207" s="115"/>
      <c r="S207" s="115"/>
      <c r="T207" s="115"/>
      <c r="U207" s="115"/>
      <c r="V207" s="115" t="s">
        <v>82</v>
      </c>
      <c r="W207" s="115" t="s">
        <v>83</v>
      </c>
      <c r="X207" s="113">
        <f>IF(INDIRECT("W207")="Clássico","12%",IF(INDIRECT("W207")="Premium","17%","-"))</f>
      </c>
      <c r="Y207" s="113" t="s">
        <v>551</v>
      </c>
    </row>
    <row r="208" ht="50.0" customHeight="true">
      <c r="A208" s="113" t="s">
        <v>831</v>
      </c>
      <c r="B208" s="113" t="s">
        <v>832</v>
      </c>
      <c r="C208" s="113" t="s">
        <v>833</v>
      </c>
      <c r="D208" s="113"/>
      <c r="E208" s="114" t="s">
        <v>834</v>
      </c>
      <c r="F208" s="113" t="s">
        <v>835</v>
      </c>
      <c r="G208" s="113" t="s">
        <v>835</v>
      </c>
      <c r="H208" s="113" t="s">
        <v>132</v>
      </c>
      <c r="I208" s="115" t="n">
        <v>65.7</v>
      </c>
      <c r="J208" s="115" t="s">
        <v>80</v>
      </c>
      <c r="K208" s="115" t="s">
        <v>81</v>
      </c>
      <c r="L208" s="115" t="n">
        <v>55.63</v>
      </c>
      <c r="M208" s="115" t="n">
        <v>3.0</v>
      </c>
      <c r="N208" s="115"/>
      <c r="O208" s="115"/>
      <c r="P208" s="115"/>
      <c r="Q208" s="115"/>
      <c r="R208" s="115"/>
      <c r="S208" s="115"/>
      <c r="T208" s="115"/>
      <c r="U208" s="115"/>
      <c r="V208" s="115" t="s">
        <v>91</v>
      </c>
      <c r="W208" s="115" t="s">
        <v>92</v>
      </c>
      <c r="X208" s="113">
        <f>IF(INDIRECT("W208")="Clássico","12%",IF(INDIRECT("W208")="Premium","17%","-"))</f>
      </c>
      <c r="Y208" s="113" t="s">
        <v>836</v>
      </c>
    </row>
    <row r="209" ht="50.0" customHeight="true">
      <c r="A209" s="113" t="s">
        <v>837</v>
      </c>
      <c r="B209" s="113" t="s">
        <v>838</v>
      </c>
      <c r="C209" s="113" t="s">
        <v>839</v>
      </c>
      <c r="D209" s="113"/>
      <c r="E209" s="114" t="s">
        <v>840</v>
      </c>
      <c r="F209" s="113" t="s">
        <v>841</v>
      </c>
      <c r="G209" s="113" t="s">
        <v>841</v>
      </c>
      <c r="H209" s="113" t="s">
        <v>103</v>
      </c>
      <c r="I209" s="115" t="n">
        <v>130.25</v>
      </c>
      <c r="J209" s="115" t="s">
        <v>80</v>
      </c>
      <c r="K209" s="115" t="s">
        <v>81</v>
      </c>
      <c r="L209" s="115" t="n">
        <v>101.99</v>
      </c>
      <c r="M209" s="115" t="n">
        <v>3.0</v>
      </c>
      <c r="N209" s="115"/>
      <c r="O209" s="115"/>
      <c r="P209" s="115"/>
      <c r="Q209" s="115"/>
      <c r="R209" s="115"/>
      <c r="S209" s="115"/>
      <c r="T209" s="115"/>
      <c r="U209" s="115"/>
      <c r="V209" s="115" t="s">
        <v>82</v>
      </c>
      <c r="W209" s="115" t="s">
        <v>83</v>
      </c>
      <c r="X209" s="113">
        <f>IF(INDIRECT("W209")="Clássico","12%",IF(INDIRECT("W209")="Premium","17%","-"))</f>
      </c>
      <c r="Y209" s="113" t="s">
        <v>842</v>
      </c>
    </row>
    <row r="210" ht="50.0" customHeight="true">
      <c r="A210" s="113" t="s">
        <v>843</v>
      </c>
      <c r="B210" s="113" t="s">
        <v>844</v>
      </c>
      <c r="C210" s="113" t="s">
        <v>845</v>
      </c>
      <c r="D210" s="113"/>
      <c r="E210" s="114" t="s">
        <v>219</v>
      </c>
      <c r="F210" s="113" t="s">
        <v>846</v>
      </c>
      <c r="G210" s="113" t="s">
        <v>846</v>
      </c>
      <c r="H210" s="113" t="s">
        <v>304</v>
      </c>
      <c r="I210" s="115" t="n">
        <v>242.91</v>
      </c>
      <c r="J210" s="115" t="s">
        <v>80</v>
      </c>
      <c r="K210" s="115" t="s">
        <v>81</v>
      </c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 t="s">
        <v>82</v>
      </c>
      <c r="W210" s="115" t="s">
        <v>83</v>
      </c>
      <c r="X210" s="113">
        <f>IF(INDIRECT("W210")="Clássico","12%",IF(INDIRECT("W210")="Premium","17%","-"))</f>
      </c>
      <c r="Y210" s="113" t="s">
        <v>221</v>
      </c>
    </row>
    <row r="211" ht="50.0" customHeight="true">
      <c r="A211" s="113" t="s">
        <v>847</v>
      </c>
      <c r="B211" s="113" t="s">
        <v>848</v>
      </c>
      <c r="C211" s="113" t="s">
        <v>849</v>
      </c>
      <c r="D211" s="113"/>
      <c r="E211" s="114" t="s">
        <v>850</v>
      </c>
      <c r="F211" s="113" t="s">
        <v>851</v>
      </c>
      <c r="G211" s="113" t="s">
        <v>493</v>
      </c>
      <c r="H211" s="113" t="s">
        <v>103</v>
      </c>
      <c r="I211" s="115" t="n">
        <v>131.52</v>
      </c>
      <c r="J211" s="115" t="s">
        <v>80</v>
      </c>
      <c r="K211" s="115" t="s">
        <v>81</v>
      </c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 t="s">
        <v>82</v>
      </c>
      <c r="W211" s="115" t="s">
        <v>92</v>
      </c>
      <c r="X211" s="113">
        <f>IF(INDIRECT("W211")="Clássico","12%",IF(INDIRECT("W211")="Premium","17%","-"))</f>
      </c>
      <c r="Y211" s="113" t="s">
        <v>643</v>
      </c>
    </row>
    <row r="212" ht="50.0" customHeight="true">
      <c r="A212" s="113" t="s">
        <v>852</v>
      </c>
      <c r="B212" s="113" t="s">
        <v>853</v>
      </c>
      <c r="C212" s="113" t="s">
        <v>854</v>
      </c>
      <c r="D212" s="113"/>
      <c r="E212" s="114" t="s">
        <v>855</v>
      </c>
      <c r="F212" s="113" t="s">
        <v>856</v>
      </c>
      <c r="G212" s="113" t="s">
        <v>856</v>
      </c>
      <c r="H212" s="113" t="s">
        <v>103</v>
      </c>
      <c r="I212" s="115" t="n">
        <v>173.29</v>
      </c>
      <c r="J212" s="115" t="s">
        <v>80</v>
      </c>
      <c r="K212" s="115" t="s">
        <v>81</v>
      </c>
      <c r="L212" s="115" t="n">
        <v>86.77</v>
      </c>
      <c r="M212" s="115" t="n">
        <v>3.0</v>
      </c>
      <c r="N212" s="115"/>
      <c r="O212" s="115"/>
      <c r="P212" s="115"/>
      <c r="Q212" s="115"/>
      <c r="R212" s="115"/>
      <c r="S212" s="115"/>
      <c r="T212" s="115"/>
      <c r="U212" s="115"/>
      <c r="V212" s="115" t="s">
        <v>82</v>
      </c>
      <c r="W212" s="115" t="s">
        <v>83</v>
      </c>
      <c r="X212" s="113">
        <f>IF(INDIRECT("W212")="Clássico","13%",IF(INDIRECT("W212")="Premium","18%","-"))</f>
      </c>
      <c r="Y212" s="113" t="s">
        <v>857</v>
      </c>
    </row>
    <row r="213" ht="50.0" customHeight="true">
      <c r="A213" s="113" t="s">
        <v>858</v>
      </c>
      <c r="B213" s="113" t="s">
        <v>859</v>
      </c>
      <c r="C213" s="113" t="s">
        <v>860</v>
      </c>
      <c r="D213" s="113"/>
      <c r="E213" s="114" t="s">
        <v>270</v>
      </c>
      <c r="F213" s="113" t="s">
        <v>861</v>
      </c>
      <c r="G213" s="113" t="s">
        <v>184</v>
      </c>
      <c r="H213" s="113" t="s">
        <v>103</v>
      </c>
      <c r="I213" s="115" t="n">
        <v>141.65</v>
      </c>
      <c r="J213" s="115" t="s">
        <v>80</v>
      </c>
      <c r="K213" s="115" t="s">
        <v>81</v>
      </c>
      <c r="L213" s="115" t="n">
        <v>162.08</v>
      </c>
      <c r="M213" s="115" t="n">
        <v>3.0</v>
      </c>
      <c r="N213" s="115"/>
      <c r="O213" s="115"/>
      <c r="P213" s="115"/>
      <c r="Q213" s="115"/>
      <c r="R213" s="115"/>
      <c r="S213" s="115"/>
      <c r="T213" s="115"/>
      <c r="U213" s="115"/>
      <c r="V213" s="115" t="s">
        <v>82</v>
      </c>
      <c r="W213" s="115" t="s">
        <v>83</v>
      </c>
      <c r="X213" s="113">
        <f>IF(INDIRECT("W213")="Clássico","12%",IF(INDIRECT("W213")="Premium","17%","-"))</f>
      </c>
      <c r="Y213" s="113" t="s">
        <v>367</v>
      </c>
    </row>
    <row r="214" ht="50.0" customHeight="true">
      <c r="A214" s="113" t="s">
        <v>862</v>
      </c>
      <c r="B214" s="113" t="s">
        <v>863</v>
      </c>
      <c r="C214" s="113" t="s">
        <v>864</v>
      </c>
      <c r="D214" s="113"/>
      <c r="E214" s="114" t="s">
        <v>243</v>
      </c>
      <c r="F214" s="113" t="s">
        <v>865</v>
      </c>
      <c r="G214" s="113" t="s">
        <v>865</v>
      </c>
      <c r="H214" s="113" t="s">
        <v>103</v>
      </c>
      <c r="I214" s="115" t="n">
        <v>198.61</v>
      </c>
      <c r="J214" s="115" t="s">
        <v>80</v>
      </c>
      <c r="K214" s="115" t="s">
        <v>81</v>
      </c>
      <c r="L214" s="115" t="n">
        <v>67.79</v>
      </c>
      <c r="M214" s="115" t="n">
        <v>3.0</v>
      </c>
      <c r="N214" s="115"/>
      <c r="O214" s="115"/>
      <c r="P214" s="115"/>
      <c r="Q214" s="115"/>
      <c r="R214" s="115"/>
      <c r="S214" s="115"/>
      <c r="T214" s="115"/>
      <c r="U214" s="115"/>
      <c r="V214" s="115" t="s">
        <v>82</v>
      </c>
      <c r="W214" s="115" t="s">
        <v>92</v>
      </c>
      <c r="X214" s="113">
        <f>IF(INDIRECT("W214")="Clássico","12%",IF(INDIRECT("W214")="Premium","17%","-"))</f>
      </c>
      <c r="Y214" s="113" t="s">
        <v>245</v>
      </c>
    </row>
    <row r="215" ht="50.0" customHeight="true">
      <c r="A215" s="113" t="s">
        <v>22</v>
      </c>
      <c r="B215" s="113" t="s">
        <v>866</v>
      </c>
      <c r="C215" s="113"/>
      <c r="D215" s="113"/>
      <c r="E215" s="113" t="s">
        <v>22</v>
      </c>
      <c r="F215" s="113" t="s">
        <v>867</v>
      </c>
      <c r="G215" s="113" t="s">
        <v>103</v>
      </c>
      <c r="H215" s="113" t="s">
        <v>103</v>
      </c>
      <c r="I215" s="115" t="n">
        <v>227.72</v>
      </c>
      <c r="J215" s="115" t="s">
        <v>80</v>
      </c>
      <c r="K215" s="113" t="s">
        <v>81</v>
      </c>
      <c r="L215" s="115" t="n">
        <v>223.99</v>
      </c>
      <c r="M215" s="115" t="n">
        <v>3.0</v>
      </c>
      <c r="N215" s="115"/>
      <c r="O215" s="115"/>
      <c r="P215" s="115"/>
      <c r="Q215" s="115"/>
      <c r="R215" s="115"/>
      <c r="S215" s="115"/>
      <c r="T215" s="115"/>
      <c r="U215" s="115"/>
      <c r="V215" s="115" t="s">
        <v>82</v>
      </c>
      <c r="W215" s="115" t="s">
        <v>83</v>
      </c>
      <c r="X215" s="113">
        <f>IF(INDIRECT("W215")="Clássico","12%",IF(INDIRECT("W215")="Premium","17%","-"))</f>
      </c>
      <c r="Y215" s="113" t="s">
        <v>868</v>
      </c>
    </row>
    <row r="216" ht="50.0" customHeight="true">
      <c r="A216" s="113" t="s">
        <v>22</v>
      </c>
      <c r="B216" s="113" t="s">
        <v>866</v>
      </c>
      <c r="C216" s="113" t="s">
        <v>869</v>
      </c>
      <c r="D216" s="113" t="s">
        <v>869</v>
      </c>
      <c r="E216" s="114" t="s">
        <v>464</v>
      </c>
      <c r="F216" s="116">
        <f>"     "&amp;F215</f>
      </c>
      <c r="G216" s="113" t="s">
        <v>127</v>
      </c>
      <c r="H216" s="113" t="s">
        <v>103</v>
      </c>
      <c r="I216" s="113">
        <f>I215</f>
      </c>
      <c r="J216" s="113">
        <f>J215&amp;"     "</f>
      </c>
      <c r="K216" s="113" t="s">
        <v>81</v>
      </c>
      <c r="L216" s="113">
        <f>L215</f>
      </c>
      <c r="M216" s="113">
        <f>M215</f>
      </c>
      <c r="N216" s="113">
        <f>N215</f>
      </c>
      <c r="O216" s="113">
        <f>O215</f>
      </c>
      <c r="P216" s="113">
        <f>P215</f>
      </c>
      <c r="Q216" s="113">
        <f>Q215</f>
      </c>
      <c r="R216" s="113">
        <f>R215</f>
      </c>
      <c r="S216" s="113">
        <f>S215</f>
      </c>
      <c r="T216" s="113">
        <f>T215</f>
      </c>
      <c r="U216" s="113">
        <f>U215</f>
      </c>
      <c r="V216" s="113">
        <f>V215&amp;"     "</f>
      </c>
      <c r="W216" s="113">
        <f>W215&amp;"     "</f>
      </c>
      <c r="X216" s="113">
        <f>X215</f>
      </c>
      <c r="Y216" s="113" t="s">
        <v>868</v>
      </c>
    </row>
    <row r="217" ht="50.0" customHeight="true">
      <c r="A217" s="113" t="s">
        <v>22</v>
      </c>
      <c r="B217" s="113" t="s">
        <v>866</v>
      </c>
      <c r="C217" s="113" t="s">
        <v>870</v>
      </c>
      <c r="D217" s="113" t="s">
        <v>870</v>
      </c>
      <c r="E217" s="114" t="s">
        <v>466</v>
      </c>
      <c r="F217" s="116">
        <f>"     "&amp;F215</f>
      </c>
      <c r="G217" s="113" t="s">
        <v>467</v>
      </c>
      <c r="H217" s="113" t="s">
        <v>103</v>
      </c>
      <c r="I217" s="113">
        <f>I215</f>
      </c>
      <c r="J217" s="113">
        <f>J215&amp;"     "</f>
      </c>
      <c r="K217" s="113" t="s">
        <v>81</v>
      </c>
      <c r="L217" s="113">
        <f>L215</f>
      </c>
      <c r="M217" s="113">
        <f>M215</f>
      </c>
      <c r="N217" s="113">
        <f>N215</f>
      </c>
      <c r="O217" s="113">
        <f>O215</f>
      </c>
      <c r="P217" s="113">
        <f>P215</f>
      </c>
      <c r="Q217" s="113">
        <f>Q215</f>
      </c>
      <c r="R217" s="113">
        <f>R215</f>
      </c>
      <c r="S217" s="113">
        <f>S215</f>
      </c>
      <c r="T217" s="113">
        <f>T215</f>
      </c>
      <c r="U217" s="113">
        <f>U215</f>
      </c>
      <c r="V217" s="113">
        <f>V215&amp;"     "</f>
      </c>
      <c r="W217" s="113">
        <f>W215&amp;"     "</f>
      </c>
      <c r="X217" s="113">
        <f>X215</f>
      </c>
      <c r="Y217" s="113" t="s">
        <v>868</v>
      </c>
    </row>
    <row r="218" ht="50.0" customHeight="true">
      <c r="A218" s="113" t="s">
        <v>169</v>
      </c>
      <c r="B218" s="113" t="s">
        <v>871</v>
      </c>
      <c r="C218" s="113" t="s">
        <v>872</v>
      </c>
      <c r="D218" s="113"/>
      <c r="E218" s="114" t="s">
        <v>119</v>
      </c>
      <c r="F218" s="113" t="s">
        <v>172</v>
      </c>
      <c r="G218" s="113" t="s">
        <v>172</v>
      </c>
      <c r="H218" s="113" t="s">
        <v>873</v>
      </c>
      <c r="I218" s="115" t="n">
        <v>99.87</v>
      </c>
      <c r="J218" s="115" t="s">
        <v>80</v>
      </c>
      <c r="K218" s="115" t="s">
        <v>81</v>
      </c>
      <c r="L218" s="115" t="n">
        <v>93.71</v>
      </c>
      <c r="M218" s="115" t="n">
        <v>3.0</v>
      </c>
      <c r="N218" s="115"/>
      <c r="O218" s="115"/>
      <c r="P218" s="115"/>
      <c r="Q218" s="115"/>
      <c r="R218" s="115"/>
      <c r="S218" s="115"/>
      <c r="T218" s="115"/>
      <c r="U218" s="115"/>
      <c r="V218" s="115" t="s">
        <v>82</v>
      </c>
      <c r="W218" s="115" t="s">
        <v>92</v>
      </c>
      <c r="X218" s="113">
        <f>IF(INDIRECT("W218")="Clássico","12%",IF(INDIRECT("W218")="Premium","17%","-"))</f>
      </c>
      <c r="Y218" s="113" t="s">
        <v>121</v>
      </c>
    </row>
    <row r="219" ht="50.0" customHeight="true">
      <c r="A219" s="113" t="s">
        <v>874</v>
      </c>
      <c r="B219" s="113" t="s">
        <v>875</v>
      </c>
      <c r="C219" s="113" t="s">
        <v>876</v>
      </c>
      <c r="D219" s="113"/>
      <c r="E219" s="114" t="s">
        <v>243</v>
      </c>
      <c r="F219" s="113" t="s">
        <v>877</v>
      </c>
      <c r="G219" s="113" t="s">
        <v>877</v>
      </c>
      <c r="H219" s="113" t="s">
        <v>103</v>
      </c>
      <c r="I219" s="115" t="n">
        <v>161.9</v>
      </c>
      <c r="J219" s="115" t="s">
        <v>80</v>
      </c>
      <c r="K219" s="115" t="s">
        <v>81</v>
      </c>
      <c r="L219" s="115" t="n">
        <v>116.9</v>
      </c>
      <c r="M219" s="115" t="n">
        <v>3.0</v>
      </c>
      <c r="N219" s="115"/>
      <c r="O219" s="115"/>
      <c r="P219" s="115"/>
      <c r="Q219" s="115"/>
      <c r="R219" s="115"/>
      <c r="S219" s="115"/>
      <c r="T219" s="115"/>
      <c r="U219" s="115"/>
      <c r="V219" s="115" t="s">
        <v>82</v>
      </c>
      <c r="W219" s="115" t="s">
        <v>83</v>
      </c>
      <c r="X219" s="113">
        <f>IF(INDIRECT("W219")="Clássico","12%",IF(INDIRECT("W219")="Premium","17%","-"))</f>
      </c>
      <c r="Y219" s="113" t="s">
        <v>245</v>
      </c>
    </row>
    <row r="220" ht="50.0" customHeight="true">
      <c r="A220" s="113" t="s">
        <v>878</v>
      </c>
      <c r="B220" s="113" t="s">
        <v>879</v>
      </c>
      <c r="C220" s="113" t="s">
        <v>880</v>
      </c>
      <c r="D220" s="113"/>
      <c r="E220" s="114" t="s">
        <v>881</v>
      </c>
      <c r="F220" s="113" t="s">
        <v>882</v>
      </c>
      <c r="G220" s="113" t="s">
        <v>882</v>
      </c>
      <c r="H220" s="113" t="s">
        <v>103</v>
      </c>
      <c r="I220" s="115" t="n">
        <v>92.28</v>
      </c>
      <c r="J220" s="115" t="s">
        <v>80</v>
      </c>
      <c r="K220" s="115" t="s">
        <v>81</v>
      </c>
      <c r="L220" s="115" t="n">
        <v>70.82</v>
      </c>
      <c r="M220" s="115" t="n">
        <v>3.0</v>
      </c>
      <c r="N220" s="115"/>
      <c r="O220" s="115"/>
      <c r="P220" s="115"/>
      <c r="Q220" s="115"/>
      <c r="R220" s="115"/>
      <c r="S220" s="115"/>
      <c r="T220" s="115"/>
      <c r="U220" s="115"/>
      <c r="V220" s="115" t="s">
        <v>91</v>
      </c>
      <c r="W220" s="115" t="s">
        <v>92</v>
      </c>
      <c r="X220" s="113">
        <f>IF(INDIRECT("W220")="Clássico","12%",IF(INDIRECT("W220")="Premium","17%","-"))</f>
      </c>
      <c r="Y220" s="113" t="s">
        <v>883</v>
      </c>
    </row>
    <row r="221" ht="50.0" customHeight="true">
      <c r="A221" s="113" t="s">
        <v>884</v>
      </c>
      <c r="B221" s="113" t="s">
        <v>885</v>
      </c>
      <c r="C221" s="113" t="s">
        <v>886</v>
      </c>
      <c r="D221" s="113"/>
      <c r="E221" s="114" t="s">
        <v>480</v>
      </c>
      <c r="F221" s="113" t="s">
        <v>887</v>
      </c>
      <c r="G221" s="113" t="s">
        <v>887</v>
      </c>
      <c r="H221" s="113" t="s">
        <v>103</v>
      </c>
      <c r="I221" s="115" t="n">
        <v>165.7</v>
      </c>
      <c r="J221" s="115" t="s">
        <v>80</v>
      </c>
      <c r="K221" s="115" t="s">
        <v>81</v>
      </c>
      <c r="L221" s="115" t="n">
        <v>177.15</v>
      </c>
      <c r="M221" s="115" t="n">
        <v>3.0</v>
      </c>
      <c r="N221" s="115"/>
      <c r="O221" s="115"/>
      <c r="P221" s="115"/>
      <c r="Q221" s="115"/>
      <c r="R221" s="115"/>
      <c r="S221" s="115"/>
      <c r="T221" s="115"/>
      <c r="U221" s="115"/>
      <c r="V221" s="115" t="s">
        <v>82</v>
      </c>
      <c r="W221" s="115" t="s">
        <v>83</v>
      </c>
      <c r="X221" s="113">
        <f>IF(INDIRECT("W221")="Clássico","12%",IF(INDIRECT("W221")="Premium","17%","-"))</f>
      </c>
      <c r="Y221" s="113" t="s">
        <v>482</v>
      </c>
    </row>
    <row r="222" ht="50.0" customHeight="true">
      <c r="A222" s="113" t="s">
        <v>826</v>
      </c>
      <c r="B222" s="113" t="s">
        <v>888</v>
      </c>
      <c r="C222" s="113" t="s">
        <v>889</v>
      </c>
      <c r="D222" s="113"/>
      <c r="E222" s="114" t="s">
        <v>829</v>
      </c>
      <c r="F222" s="113" t="s">
        <v>890</v>
      </c>
      <c r="G222" s="113" t="s">
        <v>890</v>
      </c>
      <c r="H222" s="113" t="s">
        <v>103</v>
      </c>
      <c r="I222" s="115" t="n">
        <v>849.25</v>
      </c>
      <c r="J222" s="115" t="s">
        <v>80</v>
      </c>
      <c r="K222" s="115" t="s">
        <v>81</v>
      </c>
      <c r="L222" s="115" t="n">
        <v>711.34</v>
      </c>
      <c r="M222" s="115" t="n">
        <v>3.0</v>
      </c>
      <c r="N222" s="115"/>
      <c r="O222" s="115"/>
      <c r="P222" s="115"/>
      <c r="Q222" s="115"/>
      <c r="R222" s="115"/>
      <c r="S222" s="115"/>
      <c r="T222" s="115"/>
      <c r="U222" s="115"/>
      <c r="V222" s="115" t="s">
        <v>82</v>
      </c>
      <c r="W222" s="115" t="s">
        <v>83</v>
      </c>
      <c r="X222" s="113">
        <f>IF(INDIRECT("W222")="Clássico","12%",IF(INDIRECT("W222")="Premium","17%","-"))</f>
      </c>
      <c r="Y222" s="113" t="s">
        <v>551</v>
      </c>
    </row>
    <row r="223" ht="50.0" customHeight="true">
      <c r="A223" s="113" t="s">
        <v>891</v>
      </c>
      <c r="B223" s="113" t="s">
        <v>892</v>
      </c>
      <c r="C223" s="113" t="s">
        <v>893</v>
      </c>
      <c r="D223" s="113"/>
      <c r="E223" s="114" t="s">
        <v>365</v>
      </c>
      <c r="F223" s="113" t="s">
        <v>894</v>
      </c>
      <c r="G223" s="113" t="s">
        <v>127</v>
      </c>
      <c r="H223" s="113" t="s">
        <v>103</v>
      </c>
      <c r="I223" s="115" t="n">
        <v>510.01</v>
      </c>
      <c r="J223" s="115" t="s">
        <v>80</v>
      </c>
      <c r="K223" s="115" t="s">
        <v>81</v>
      </c>
      <c r="L223" s="115" t="n">
        <v>521.46</v>
      </c>
      <c r="M223" s="115" t="n">
        <v>3.0</v>
      </c>
      <c r="N223" s="115"/>
      <c r="O223" s="115"/>
      <c r="P223" s="115"/>
      <c r="Q223" s="115"/>
      <c r="R223" s="115"/>
      <c r="S223" s="115"/>
      <c r="T223" s="115"/>
      <c r="U223" s="115"/>
      <c r="V223" s="115" t="s">
        <v>82</v>
      </c>
      <c r="W223" s="115" t="s">
        <v>83</v>
      </c>
      <c r="X223" s="113">
        <f>IF(INDIRECT("W223")="Clássico","12%",IF(INDIRECT("W223")="Premium","17%","-"))</f>
      </c>
      <c r="Y223" s="113" t="s">
        <v>367</v>
      </c>
    </row>
    <row r="224" ht="50.0" customHeight="true">
      <c r="A224" s="113" t="s">
        <v>22</v>
      </c>
      <c r="B224" s="113" t="s">
        <v>895</v>
      </c>
      <c r="C224" s="113"/>
      <c r="D224" s="113"/>
      <c r="E224" s="113" t="s">
        <v>22</v>
      </c>
      <c r="F224" s="113" t="s">
        <v>180</v>
      </c>
      <c r="G224" s="113" t="s">
        <v>103</v>
      </c>
      <c r="H224" s="113" t="s">
        <v>103</v>
      </c>
      <c r="I224" s="115" t="n">
        <v>254.31</v>
      </c>
      <c r="J224" s="115" t="s">
        <v>80</v>
      </c>
      <c r="K224" s="113" t="s">
        <v>81</v>
      </c>
      <c r="L224" s="115" t="n">
        <v>278.54</v>
      </c>
      <c r="M224" s="115" t="n">
        <v>3.0</v>
      </c>
      <c r="N224" s="115"/>
      <c r="O224" s="115"/>
      <c r="P224" s="115"/>
      <c r="Q224" s="115"/>
      <c r="R224" s="115"/>
      <c r="S224" s="115"/>
      <c r="T224" s="115"/>
      <c r="U224" s="115"/>
      <c r="V224" s="115" t="s">
        <v>82</v>
      </c>
      <c r="W224" s="115" t="s">
        <v>83</v>
      </c>
      <c r="X224" s="113">
        <f>IF(INDIRECT("W224")="Clássico","12%",IF(INDIRECT("W224")="Premium","17%","-"))</f>
      </c>
      <c r="Y224" s="113" t="s">
        <v>181</v>
      </c>
    </row>
    <row r="225" ht="50.0" customHeight="true">
      <c r="A225" s="113" t="s">
        <v>22</v>
      </c>
      <c r="B225" s="113" t="s">
        <v>895</v>
      </c>
      <c r="C225" s="113" t="s">
        <v>896</v>
      </c>
      <c r="D225" s="113" t="s">
        <v>896</v>
      </c>
      <c r="E225" s="114" t="s">
        <v>189</v>
      </c>
      <c r="F225" s="116">
        <f>"     "&amp;F224</f>
      </c>
      <c r="G225" s="113" t="s">
        <v>190</v>
      </c>
      <c r="H225" s="113" t="s">
        <v>103</v>
      </c>
      <c r="I225" s="113">
        <f>I224</f>
      </c>
      <c r="J225" s="113">
        <f>J224&amp;"     "</f>
      </c>
      <c r="K225" s="113" t="s">
        <v>81</v>
      </c>
      <c r="L225" s="113">
        <f>L224</f>
      </c>
      <c r="M225" s="113">
        <f>M224</f>
      </c>
      <c r="N225" s="113">
        <f>N224</f>
      </c>
      <c r="O225" s="113">
        <f>O224</f>
      </c>
      <c r="P225" s="113">
        <f>P224</f>
      </c>
      <c r="Q225" s="113">
        <f>Q224</f>
      </c>
      <c r="R225" s="113">
        <f>R224</f>
      </c>
      <c r="S225" s="113">
        <f>S224</f>
      </c>
      <c r="T225" s="113">
        <f>T224</f>
      </c>
      <c r="U225" s="113">
        <f>U224</f>
      </c>
      <c r="V225" s="113">
        <f>V224&amp;"     "</f>
      </c>
      <c r="W225" s="113">
        <f>W224&amp;"     "</f>
      </c>
      <c r="X225" s="113">
        <f>X224</f>
      </c>
      <c r="Y225" s="113" t="s">
        <v>181</v>
      </c>
    </row>
    <row r="226" ht="50.0" customHeight="true">
      <c r="A226" s="113" t="s">
        <v>22</v>
      </c>
      <c r="B226" s="113" t="s">
        <v>895</v>
      </c>
      <c r="C226" s="113" t="s">
        <v>897</v>
      </c>
      <c r="D226" s="113" t="s">
        <v>897</v>
      </c>
      <c r="E226" s="114" t="s">
        <v>183</v>
      </c>
      <c r="F226" s="116">
        <f>"     "&amp;F224</f>
      </c>
      <c r="G226" s="113" t="s">
        <v>184</v>
      </c>
      <c r="H226" s="113" t="s">
        <v>103</v>
      </c>
      <c r="I226" s="113">
        <f>I224</f>
      </c>
      <c r="J226" s="113">
        <f>J224&amp;"     "</f>
      </c>
      <c r="K226" s="113" t="s">
        <v>81</v>
      </c>
      <c r="L226" s="113">
        <f>L224</f>
      </c>
      <c r="M226" s="113">
        <f>M224</f>
      </c>
      <c r="N226" s="113">
        <f>N224</f>
      </c>
      <c r="O226" s="113">
        <f>O224</f>
      </c>
      <c r="P226" s="113">
        <f>P224</f>
      </c>
      <c r="Q226" s="113">
        <f>Q224</f>
      </c>
      <c r="R226" s="113">
        <f>R224</f>
      </c>
      <c r="S226" s="113">
        <f>S224</f>
      </c>
      <c r="T226" s="113">
        <f>T224</f>
      </c>
      <c r="U226" s="113">
        <f>U224</f>
      </c>
      <c r="V226" s="113">
        <f>V224&amp;"     "</f>
      </c>
      <c r="W226" s="113">
        <f>W224&amp;"     "</f>
      </c>
      <c r="X226" s="113">
        <f>X224</f>
      </c>
      <c r="Y226" s="113" t="s">
        <v>181</v>
      </c>
    </row>
    <row r="227" ht="50.0" customHeight="true">
      <c r="A227" s="113" t="s">
        <v>22</v>
      </c>
      <c r="B227" s="113" t="s">
        <v>895</v>
      </c>
      <c r="C227" s="113" t="s">
        <v>898</v>
      </c>
      <c r="D227" s="113" t="s">
        <v>898</v>
      </c>
      <c r="E227" s="114" t="s">
        <v>186</v>
      </c>
      <c r="F227" s="116">
        <f>"     "&amp;F224</f>
      </c>
      <c r="G227" s="113" t="s">
        <v>187</v>
      </c>
      <c r="H227" s="113" t="s">
        <v>103</v>
      </c>
      <c r="I227" s="113">
        <f>I224</f>
      </c>
      <c r="J227" s="113">
        <f>J224&amp;"     "</f>
      </c>
      <c r="K227" s="113" t="s">
        <v>81</v>
      </c>
      <c r="L227" s="113">
        <f>L224</f>
      </c>
      <c r="M227" s="113">
        <f>M224</f>
      </c>
      <c r="N227" s="113">
        <f>N224</f>
      </c>
      <c r="O227" s="113">
        <f>O224</f>
      </c>
      <c r="P227" s="113">
        <f>P224</f>
      </c>
      <c r="Q227" s="113">
        <f>Q224</f>
      </c>
      <c r="R227" s="113">
        <f>R224</f>
      </c>
      <c r="S227" s="113">
        <f>S224</f>
      </c>
      <c r="T227" s="113">
        <f>T224</f>
      </c>
      <c r="U227" s="113">
        <f>U224</f>
      </c>
      <c r="V227" s="113">
        <f>V224&amp;"     "</f>
      </c>
      <c r="W227" s="113">
        <f>W224&amp;"     "</f>
      </c>
      <c r="X227" s="113">
        <f>X224</f>
      </c>
      <c r="Y227" s="113" t="s">
        <v>181</v>
      </c>
    </row>
    <row r="228" ht="50.0" customHeight="true">
      <c r="A228" s="113" t="s">
        <v>899</v>
      </c>
      <c r="B228" s="113" t="s">
        <v>900</v>
      </c>
      <c r="C228" s="113" t="s">
        <v>901</v>
      </c>
      <c r="D228" s="113"/>
      <c r="E228" s="114" t="s">
        <v>238</v>
      </c>
      <c r="F228" s="113" t="s">
        <v>902</v>
      </c>
      <c r="G228" s="113" t="s">
        <v>127</v>
      </c>
      <c r="H228" s="113" t="s">
        <v>103</v>
      </c>
      <c r="I228" s="115" t="n">
        <v>173.29</v>
      </c>
      <c r="J228" s="115" t="s">
        <v>80</v>
      </c>
      <c r="K228" s="115" t="s">
        <v>81</v>
      </c>
      <c r="L228" s="115" t="n">
        <v>137.91</v>
      </c>
      <c r="M228" s="115" t="n">
        <v>3.0</v>
      </c>
      <c r="N228" s="115"/>
      <c r="O228" s="115"/>
      <c r="P228" s="115"/>
      <c r="Q228" s="115"/>
      <c r="R228" s="115"/>
      <c r="S228" s="115"/>
      <c r="T228" s="115"/>
      <c r="U228" s="115"/>
      <c r="V228" s="115" t="s">
        <v>82</v>
      </c>
      <c r="W228" s="115" t="s">
        <v>92</v>
      </c>
      <c r="X228" s="113">
        <f>IF(INDIRECT("W228")="Clássico","12%",IF(INDIRECT("W228")="Premium","17%","-"))</f>
      </c>
      <c r="Y228" s="113" t="s">
        <v>128</v>
      </c>
    </row>
    <row r="229" ht="50.0" customHeight="true">
      <c r="A229" s="113" t="s">
        <v>903</v>
      </c>
      <c r="B229" s="113" t="s">
        <v>904</v>
      </c>
      <c r="C229" s="113" t="s">
        <v>905</v>
      </c>
      <c r="D229" s="113"/>
      <c r="E229" s="114" t="s">
        <v>906</v>
      </c>
      <c r="F229" s="113" t="s">
        <v>907</v>
      </c>
      <c r="G229" s="113" t="s">
        <v>127</v>
      </c>
      <c r="H229" s="113" t="s">
        <v>304</v>
      </c>
      <c r="I229" s="115" t="n">
        <v>131.52</v>
      </c>
      <c r="J229" s="115" t="s">
        <v>80</v>
      </c>
      <c r="K229" s="115" t="s">
        <v>81</v>
      </c>
      <c r="L229" s="115" t="n">
        <v>125.25</v>
      </c>
      <c r="M229" s="115" t="n">
        <v>3.0</v>
      </c>
      <c r="N229" s="115"/>
      <c r="O229" s="115"/>
      <c r="P229" s="115"/>
      <c r="Q229" s="115"/>
      <c r="R229" s="115"/>
      <c r="S229" s="115"/>
      <c r="T229" s="115"/>
      <c r="U229" s="115"/>
      <c r="V229" s="115" t="s">
        <v>82</v>
      </c>
      <c r="W229" s="115" t="s">
        <v>83</v>
      </c>
      <c r="X229" s="113">
        <f>IF(INDIRECT("W229")="Clássico","12%",IF(INDIRECT("W229")="Premium","17%","-"))</f>
      </c>
      <c r="Y229" s="113" t="s">
        <v>367</v>
      </c>
    </row>
    <row r="230" ht="50.0" customHeight="true">
      <c r="A230" s="113" t="s">
        <v>908</v>
      </c>
      <c r="B230" s="113" t="s">
        <v>909</v>
      </c>
      <c r="C230" s="113" t="s">
        <v>910</v>
      </c>
      <c r="D230" s="113"/>
      <c r="E230" s="114" t="s">
        <v>486</v>
      </c>
      <c r="F230" s="113" t="s">
        <v>911</v>
      </c>
      <c r="G230" s="113" t="s">
        <v>911</v>
      </c>
      <c r="H230" s="113" t="s">
        <v>103</v>
      </c>
      <c r="I230" s="115" t="n">
        <v>627.73</v>
      </c>
      <c r="J230" s="115" t="s">
        <v>80</v>
      </c>
      <c r="K230" s="115" t="s">
        <v>81</v>
      </c>
      <c r="L230" s="115" t="n">
        <v>629.06</v>
      </c>
      <c r="M230" s="115" t="n">
        <v>3.0</v>
      </c>
      <c r="N230" s="115"/>
      <c r="O230" s="115"/>
      <c r="P230" s="115"/>
      <c r="Q230" s="115"/>
      <c r="R230" s="115"/>
      <c r="S230" s="115"/>
      <c r="T230" s="115"/>
      <c r="U230" s="115"/>
      <c r="V230" s="115" t="s">
        <v>82</v>
      </c>
      <c r="W230" s="115" t="s">
        <v>83</v>
      </c>
      <c r="X230" s="113">
        <f>IF(INDIRECT("W230")="Clássico","12%",IF(INDIRECT("W230")="Premium","17%","-"))</f>
      </c>
      <c r="Y230" s="113" t="s">
        <v>488</v>
      </c>
    </row>
    <row r="231" ht="50.0" customHeight="true">
      <c r="A231" s="113" t="s">
        <v>912</v>
      </c>
      <c r="B231" s="113" t="s">
        <v>913</v>
      </c>
      <c r="C231" s="113" t="s">
        <v>914</v>
      </c>
      <c r="D231" s="113"/>
      <c r="E231" s="114" t="s">
        <v>915</v>
      </c>
      <c r="F231" s="113" t="s">
        <v>916</v>
      </c>
      <c r="G231" s="113" t="s">
        <v>916</v>
      </c>
      <c r="H231" s="113" t="s">
        <v>103</v>
      </c>
      <c r="I231" s="115" t="n">
        <v>60.5</v>
      </c>
      <c r="J231" s="115" t="s">
        <v>80</v>
      </c>
      <c r="K231" s="115" t="s">
        <v>81</v>
      </c>
      <c r="L231" s="115" t="n">
        <v>68.41</v>
      </c>
      <c r="M231" s="115" t="n">
        <v>3.0</v>
      </c>
      <c r="N231" s="115"/>
      <c r="O231" s="115"/>
      <c r="P231" s="115"/>
      <c r="Q231" s="115"/>
      <c r="R231" s="115"/>
      <c r="S231" s="115"/>
      <c r="T231" s="115"/>
      <c r="U231" s="115"/>
      <c r="V231" s="115" t="s">
        <v>91</v>
      </c>
      <c r="W231" s="115" t="s">
        <v>92</v>
      </c>
      <c r="X231" s="113">
        <f>IF(INDIRECT("W231")="Clássico","12%",IF(INDIRECT("W231")="Premium","17%","-"))</f>
      </c>
      <c r="Y231" s="113" t="s">
        <v>93</v>
      </c>
    </row>
    <row r="232" ht="50.0" customHeight="true">
      <c r="A232" s="113" t="s">
        <v>917</v>
      </c>
      <c r="B232" s="113" t="s">
        <v>918</v>
      </c>
      <c r="C232" s="113" t="s">
        <v>919</v>
      </c>
      <c r="D232" s="113"/>
      <c r="E232" s="114" t="s">
        <v>920</v>
      </c>
      <c r="F232" s="113" t="s">
        <v>921</v>
      </c>
      <c r="G232" s="113" t="s">
        <v>921</v>
      </c>
      <c r="H232" s="113" t="s">
        <v>90</v>
      </c>
      <c r="I232" s="115" t="n">
        <v>185.95</v>
      </c>
      <c r="J232" s="115" t="s">
        <v>80</v>
      </c>
      <c r="K232" s="115" t="s">
        <v>81</v>
      </c>
      <c r="L232" s="115" t="n">
        <v>186.34</v>
      </c>
      <c r="M232" s="115" t="n">
        <v>3.0</v>
      </c>
      <c r="N232" s="115"/>
      <c r="O232" s="115"/>
      <c r="P232" s="115"/>
      <c r="Q232" s="115"/>
      <c r="R232" s="115"/>
      <c r="S232" s="115"/>
      <c r="T232" s="115"/>
      <c r="U232" s="115"/>
      <c r="V232" s="115" t="s">
        <v>82</v>
      </c>
      <c r="W232" s="115" t="s">
        <v>92</v>
      </c>
      <c r="X232" s="113">
        <f>IF(INDIRECT("W232")="Clássico","12%",IF(INDIRECT("W232")="Premium","17%","-"))</f>
      </c>
      <c r="Y232" s="113" t="s">
        <v>482</v>
      </c>
    </row>
    <row r="233" ht="50.0" customHeight="true">
      <c r="A233" s="113" t="s">
        <v>922</v>
      </c>
      <c r="B233" s="113" t="s">
        <v>923</v>
      </c>
      <c r="C233" s="113" t="s">
        <v>924</v>
      </c>
      <c r="D233" s="113"/>
      <c r="E233" s="114" t="s">
        <v>925</v>
      </c>
      <c r="F233" s="113" t="s">
        <v>926</v>
      </c>
      <c r="G233" s="113" t="s">
        <v>566</v>
      </c>
      <c r="H233" s="113" t="s">
        <v>132</v>
      </c>
      <c r="I233" s="115" t="n">
        <v>425.21</v>
      </c>
      <c r="J233" s="115" t="s">
        <v>80</v>
      </c>
      <c r="K233" s="115" t="s">
        <v>81</v>
      </c>
      <c r="L233" s="115" t="n">
        <v>427.79</v>
      </c>
      <c r="M233" s="115" t="n">
        <v>3.0</v>
      </c>
      <c r="N233" s="115"/>
      <c r="O233" s="115"/>
      <c r="P233" s="115"/>
      <c r="Q233" s="115"/>
      <c r="R233" s="115"/>
      <c r="S233" s="115"/>
      <c r="T233" s="115"/>
      <c r="U233" s="115"/>
      <c r="V233" s="115" t="s">
        <v>82</v>
      </c>
      <c r="W233" s="115" t="s">
        <v>83</v>
      </c>
      <c r="X233" s="113">
        <f>IF(INDIRECT("W233")="Clássico","12%",IF(INDIRECT("W233")="Premium","17%","-"))</f>
      </c>
      <c r="Y233" s="113" t="s">
        <v>414</v>
      </c>
    </row>
    <row r="234" ht="50.0" customHeight="true">
      <c r="A234" s="113" t="s">
        <v>927</v>
      </c>
      <c r="B234" s="113" t="s">
        <v>928</v>
      </c>
      <c r="C234" s="113" t="s">
        <v>929</v>
      </c>
      <c r="D234" s="113"/>
      <c r="E234" s="114" t="s">
        <v>930</v>
      </c>
      <c r="F234" s="113" t="s">
        <v>931</v>
      </c>
      <c r="G234" s="113" t="s">
        <v>931</v>
      </c>
      <c r="H234" s="113" t="s">
        <v>143</v>
      </c>
      <c r="I234" s="115" t="n">
        <v>313.8</v>
      </c>
      <c r="J234" s="115" t="s">
        <v>80</v>
      </c>
      <c r="K234" s="115" t="s">
        <v>81</v>
      </c>
      <c r="L234" s="115" t="n">
        <v>244.24</v>
      </c>
      <c r="M234" s="115" t="n">
        <v>3.0</v>
      </c>
      <c r="N234" s="115"/>
      <c r="O234" s="115"/>
      <c r="P234" s="115"/>
      <c r="Q234" s="115"/>
      <c r="R234" s="115"/>
      <c r="S234" s="115"/>
      <c r="T234" s="115"/>
      <c r="U234" s="115"/>
      <c r="V234" s="115" t="s">
        <v>82</v>
      </c>
      <c r="W234" s="115" t="s">
        <v>83</v>
      </c>
      <c r="X234" s="113">
        <f>IF(INDIRECT("W234")="Clássico","12%",IF(INDIRECT("W234")="Premium","17%","-"))</f>
      </c>
      <c r="Y234" s="113" t="s">
        <v>932</v>
      </c>
    </row>
    <row r="235" ht="50.0" customHeight="true">
      <c r="A235" s="113" t="s">
        <v>22</v>
      </c>
      <c r="B235" s="113" t="s">
        <v>933</v>
      </c>
      <c r="C235" s="113"/>
      <c r="D235" s="113"/>
      <c r="E235" s="113" t="s">
        <v>22</v>
      </c>
      <c r="F235" s="113" t="s">
        <v>934</v>
      </c>
      <c r="G235" s="113" t="s">
        <v>103</v>
      </c>
      <c r="H235" s="113" t="s">
        <v>99</v>
      </c>
      <c r="I235" s="115" t="n">
        <v>222.66</v>
      </c>
      <c r="J235" s="115" t="s">
        <v>80</v>
      </c>
      <c r="K235" s="113" t="s">
        <v>81</v>
      </c>
      <c r="L235" s="115" t="n">
        <v>203.74</v>
      </c>
      <c r="M235" s="115" t="n">
        <v>3.0</v>
      </c>
      <c r="N235" s="115"/>
      <c r="O235" s="115"/>
      <c r="P235" s="115"/>
      <c r="Q235" s="115"/>
      <c r="R235" s="115"/>
      <c r="S235" s="115"/>
      <c r="T235" s="115"/>
      <c r="U235" s="115"/>
      <c r="V235" s="115" t="s">
        <v>82</v>
      </c>
      <c r="W235" s="115" t="s">
        <v>92</v>
      </c>
      <c r="X235" s="113">
        <f>IF(INDIRECT("W235")="Clássico","11.5%",IF(INDIRECT("W235")="Premium","16.5%","-"))</f>
      </c>
      <c r="Y235" s="113" t="s">
        <v>684</v>
      </c>
    </row>
    <row r="236" ht="50.0" customHeight="true">
      <c r="A236" s="113" t="s">
        <v>22</v>
      </c>
      <c r="B236" s="113" t="s">
        <v>933</v>
      </c>
      <c r="C236" s="113" t="s">
        <v>935</v>
      </c>
      <c r="D236" s="113" t="s">
        <v>935</v>
      </c>
      <c r="E236" s="114" t="s">
        <v>686</v>
      </c>
      <c r="F236" s="116">
        <f>"     "&amp;F235</f>
      </c>
      <c r="G236" s="113" t="s">
        <v>687</v>
      </c>
      <c r="H236" s="113" t="s">
        <v>99</v>
      </c>
      <c r="I236" s="113">
        <f>I235</f>
      </c>
      <c r="J236" s="113">
        <f>J235&amp;"     "</f>
      </c>
      <c r="K236" s="113" t="s">
        <v>81</v>
      </c>
      <c r="L236" s="113">
        <f>L235</f>
      </c>
      <c r="M236" s="113">
        <f>M235</f>
      </c>
      <c r="N236" s="113">
        <f>N235</f>
      </c>
      <c r="O236" s="113">
        <f>O235</f>
      </c>
      <c r="P236" s="113">
        <f>P235</f>
      </c>
      <c r="Q236" s="113">
        <f>Q235</f>
      </c>
      <c r="R236" s="113">
        <f>R235</f>
      </c>
      <c r="S236" s="113">
        <f>S235</f>
      </c>
      <c r="T236" s="113">
        <f>T235</f>
      </c>
      <c r="U236" s="113">
        <f>U235</f>
      </c>
      <c r="V236" s="113">
        <f>V235&amp;"     "</f>
      </c>
      <c r="W236" s="113">
        <f>W235&amp;"     "</f>
      </c>
      <c r="X236" s="113">
        <f>X235</f>
      </c>
      <c r="Y236" s="113" t="s">
        <v>684</v>
      </c>
    </row>
    <row r="237" ht="50.0" customHeight="true">
      <c r="A237" s="113" t="s">
        <v>22</v>
      </c>
      <c r="B237" s="113" t="s">
        <v>933</v>
      </c>
      <c r="C237" s="113" t="s">
        <v>936</v>
      </c>
      <c r="D237" s="113" t="s">
        <v>936</v>
      </c>
      <c r="E237" s="114" t="s">
        <v>689</v>
      </c>
      <c r="F237" s="116">
        <f>"     "&amp;F235</f>
      </c>
      <c r="G237" s="113" t="s">
        <v>690</v>
      </c>
      <c r="H237" s="113" t="s">
        <v>103</v>
      </c>
      <c r="I237" s="113">
        <f>I235</f>
      </c>
      <c r="J237" s="113">
        <f>J235&amp;"     "</f>
      </c>
      <c r="K237" s="113" t="s">
        <v>81</v>
      </c>
      <c r="L237" s="113">
        <f>L235</f>
      </c>
      <c r="M237" s="113">
        <f>M235</f>
      </c>
      <c r="N237" s="113">
        <f>N235</f>
      </c>
      <c r="O237" s="113">
        <f>O235</f>
      </c>
      <c r="P237" s="113">
        <f>P235</f>
      </c>
      <c r="Q237" s="113">
        <f>Q235</f>
      </c>
      <c r="R237" s="113">
        <f>R235</f>
      </c>
      <c r="S237" s="113">
        <f>S235</f>
      </c>
      <c r="T237" s="113">
        <f>T235</f>
      </c>
      <c r="U237" s="113">
        <f>U235</f>
      </c>
      <c r="V237" s="113">
        <f>V235&amp;"     "</f>
      </c>
      <c r="W237" s="113">
        <f>W235&amp;"     "</f>
      </c>
      <c r="X237" s="113">
        <f>X235</f>
      </c>
      <c r="Y237" s="113" t="s">
        <v>684</v>
      </c>
    </row>
    <row r="238" ht="50.0" customHeight="true">
      <c r="A238" s="113" t="s">
        <v>937</v>
      </c>
      <c r="B238" s="113" t="s">
        <v>938</v>
      </c>
      <c r="C238" s="113" t="s">
        <v>939</v>
      </c>
      <c r="D238" s="113"/>
      <c r="E238" s="114" t="s">
        <v>238</v>
      </c>
      <c r="F238" s="113" t="s">
        <v>940</v>
      </c>
      <c r="G238" s="113" t="s">
        <v>127</v>
      </c>
      <c r="H238" s="113" t="s">
        <v>103</v>
      </c>
      <c r="I238" s="115" t="n">
        <v>154.31</v>
      </c>
      <c r="J238" s="115" t="s">
        <v>80</v>
      </c>
      <c r="K238" s="115" t="s">
        <v>81</v>
      </c>
      <c r="L238" s="115" t="n">
        <v>148.04</v>
      </c>
      <c r="M238" s="115" t="n">
        <v>3.0</v>
      </c>
      <c r="N238" s="115"/>
      <c r="O238" s="115"/>
      <c r="P238" s="115"/>
      <c r="Q238" s="115"/>
      <c r="R238" s="115"/>
      <c r="S238" s="115"/>
      <c r="T238" s="115"/>
      <c r="U238" s="115"/>
      <c r="V238" s="115" t="s">
        <v>82</v>
      </c>
      <c r="W238" s="115" t="s">
        <v>83</v>
      </c>
      <c r="X238" s="113">
        <f>IF(INDIRECT("W238")="Clássico","12%",IF(INDIRECT("W238")="Premium","17%","-"))</f>
      </c>
      <c r="Y238" s="113" t="s">
        <v>128</v>
      </c>
    </row>
    <row r="239" ht="50.0" customHeight="true">
      <c r="A239" s="113" t="s">
        <v>941</v>
      </c>
      <c r="B239" s="113" t="s">
        <v>942</v>
      </c>
      <c r="C239" s="113" t="s">
        <v>943</v>
      </c>
      <c r="D239" s="113"/>
      <c r="E239" s="114" t="s">
        <v>666</v>
      </c>
      <c r="F239" s="113" t="s">
        <v>944</v>
      </c>
      <c r="G239" s="113" t="s">
        <v>944</v>
      </c>
      <c r="H239" s="113" t="s">
        <v>103</v>
      </c>
      <c r="I239" s="115" t="n">
        <v>144.18</v>
      </c>
      <c r="J239" s="115" t="s">
        <v>80</v>
      </c>
      <c r="K239" s="115" t="s">
        <v>81</v>
      </c>
      <c r="L239" s="115" t="n">
        <v>139.29</v>
      </c>
      <c r="M239" s="115" t="n">
        <v>3.0</v>
      </c>
      <c r="N239" s="115"/>
      <c r="O239" s="115"/>
      <c r="P239" s="115"/>
      <c r="Q239" s="115"/>
      <c r="R239" s="115"/>
      <c r="S239" s="115"/>
      <c r="T239" s="115"/>
      <c r="U239" s="115"/>
      <c r="V239" s="115" t="s">
        <v>82</v>
      </c>
      <c r="W239" s="115" t="s">
        <v>83</v>
      </c>
      <c r="X239" s="113">
        <f>IF(INDIRECT("W239")="Clássico","12%",IF(INDIRECT("W239")="Premium","17%","-"))</f>
      </c>
      <c r="Y239" s="113" t="s">
        <v>668</v>
      </c>
    </row>
    <row r="240" ht="50.0" customHeight="true">
      <c r="A240" s="113" t="s">
        <v>945</v>
      </c>
      <c r="B240" s="113" t="s">
        <v>946</v>
      </c>
      <c r="C240" s="113" t="s">
        <v>947</v>
      </c>
      <c r="D240" s="113"/>
      <c r="E240" s="114" t="s">
        <v>651</v>
      </c>
      <c r="F240" s="113" t="s">
        <v>948</v>
      </c>
      <c r="G240" s="113" t="s">
        <v>948</v>
      </c>
      <c r="H240" s="113" t="s">
        <v>103</v>
      </c>
      <c r="I240" s="115" t="n">
        <v>244.18</v>
      </c>
      <c r="J240" s="115" t="s">
        <v>80</v>
      </c>
      <c r="K240" s="115" t="s">
        <v>81</v>
      </c>
      <c r="L240" s="115" t="n">
        <v>239.18</v>
      </c>
      <c r="M240" s="115" t="n">
        <v>3.0</v>
      </c>
      <c r="N240" s="115"/>
      <c r="O240" s="115"/>
      <c r="P240" s="115"/>
      <c r="Q240" s="115"/>
      <c r="R240" s="115"/>
      <c r="S240" s="115"/>
      <c r="T240" s="115"/>
      <c r="U240" s="115"/>
      <c r="V240" s="115" t="s">
        <v>82</v>
      </c>
      <c r="W240" s="115" t="s">
        <v>92</v>
      </c>
      <c r="X240" s="113">
        <f>IF(INDIRECT("W240")="Clássico","12%",IF(INDIRECT("W240")="Premium","17%","-"))</f>
      </c>
      <c r="Y240" s="113" t="s">
        <v>200</v>
      </c>
    </row>
    <row r="241" ht="50.0" customHeight="true">
      <c r="A241" s="113" t="s">
        <v>949</v>
      </c>
      <c r="B241" s="113" t="s">
        <v>950</v>
      </c>
      <c r="C241" s="113" t="s">
        <v>951</v>
      </c>
      <c r="D241" s="113"/>
      <c r="E241" s="114" t="s">
        <v>595</v>
      </c>
      <c r="F241" s="113" t="s">
        <v>952</v>
      </c>
      <c r="G241" s="113" t="s">
        <v>952</v>
      </c>
      <c r="H241" s="113" t="s">
        <v>132</v>
      </c>
      <c r="I241" s="115" t="n">
        <v>91.01</v>
      </c>
      <c r="J241" s="115" t="s">
        <v>80</v>
      </c>
      <c r="K241" s="115" t="s">
        <v>81</v>
      </c>
      <c r="L241" s="115" t="n">
        <v>86.01</v>
      </c>
      <c r="M241" s="115" t="n">
        <v>3.0</v>
      </c>
      <c r="N241" s="115"/>
      <c r="O241" s="115"/>
      <c r="P241" s="115"/>
      <c r="Q241" s="115"/>
      <c r="R241" s="115"/>
      <c r="S241" s="115"/>
      <c r="T241" s="115"/>
      <c r="U241" s="115"/>
      <c r="V241" s="115" t="s">
        <v>91</v>
      </c>
      <c r="W241" s="115" t="s">
        <v>92</v>
      </c>
      <c r="X241" s="113">
        <f>IF(INDIRECT("W241")="Clássico","12%",IF(INDIRECT("W241")="Premium","17%","-"))</f>
      </c>
      <c r="Y241" s="113" t="s">
        <v>597</v>
      </c>
    </row>
    <row r="242" ht="50.0" customHeight="true">
      <c r="A242" s="113" t="s">
        <v>953</v>
      </c>
      <c r="B242" s="113" t="s">
        <v>954</v>
      </c>
      <c r="C242" s="113" t="s">
        <v>955</v>
      </c>
      <c r="D242" s="113"/>
      <c r="E242" s="114" t="s">
        <v>956</v>
      </c>
      <c r="F242" s="113" t="s">
        <v>957</v>
      </c>
      <c r="G242" s="113" t="s">
        <v>957</v>
      </c>
      <c r="H242" s="113" t="s">
        <v>103</v>
      </c>
      <c r="I242" s="115" t="n">
        <v>103.67</v>
      </c>
      <c r="J242" s="115" t="s">
        <v>80</v>
      </c>
      <c r="K242" s="115" t="s">
        <v>81</v>
      </c>
      <c r="L242" s="115" t="n">
        <v>78.42</v>
      </c>
      <c r="M242" s="115" t="n">
        <v>3.0</v>
      </c>
      <c r="N242" s="115"/>
      <c r="O242" s="115"/>
      <c r="P242" s="115"/>
      <c r="Q242" s="115"/>
      <c r="R242" s="115"/>
      <c r="S242" s="115"/>
      <c r="T242" s="115"/>
      <c r="U242" s="115"/>
      <c r="V242" s="115" t="s">
        <v>82</v>
      </c>
      <c r="W242" s="115" t="s">
        <v>83</v>
      </c>
      <c r="X242" s="113">
        <f>IF(INDIRECT("W242")="Clássico","12%",IF(INDIRECT("W242")="Premium","17%","-"))</f>
      </c>
      <c r="Y242" s="113" t="s">
        <v>958</v>
      </c>
    </row>
    <row r="243" ht="50.0" customHeight="true">
      <c r="A243" s="113" t="s">
        <v>959</v>
      </c>
      <c r="B243" s="113" t="s">
        <v>960</v>
      </c>
      <c r="C243" s="113" t="s">
        <v>961</v>
      </c>
      <c r="D243" s="113"/>
      <c r="E243" s="114" t="s">
        <v>259</v>
      </c>
      <c r="F243" s="113" t="s">
        <v>962</v>
      </c>
      <c r="G243" s="113" t="s">
        <v>962</v>
      </c>
      <c r="H243" s="113" t="s">
        <v>103</v>
      </c>
      <c r="I243" s="115" t="n">
        <v>96.08</v>
      </c>
      <c r="J243" s="115" t="s">
        <v>80</v>
      </c>
      <c r="K243" s="115" t="s">
        <v>81</v>
      </c>
      <c r="L243" s="115" t="n">
        <v>108.8</v>
      </c>
      <c r="M243" s="115" t="n">
        <v>3.0</v>
      </c>
      <c r="N243" s="115"/>
      <c r="O243" s="115"/>
      <c r="P243" s="115"/>
      <c r="Q243" s="115"/>
      <c r="R243" s="115"/>
      <c r="S243" s="115"/>
      <c r="T243" s="115"/>
      <c r="U243" s="115"/>
      <c r="V243" s="115" t="s">
        <v>91</v>
      </c>
      <c r="W243" s="115" t="s">
        <v>92</v>
      </c>
      <c r="X243" s="113">
        <f>IF(INDIRECT("W243")="Clássico","12%",IF(INDIRECT("W243")="Premium","17%","-"))</f>
      </c>
      <c r="Y243" s="113" t="s">
        <v>93</v>
      </c>
    </row>
    <row r="244" ht="50.0" customHeight="true">
      <c r="A244" s="113" t="s">
        <v>963</v>
      </c>
      <c r="B244" s="113" t="s">
        <v>964</v>
      </c>
      <c r="C244" s="113" t="s">
        <v>965</v>
      </c>
      <c r="D244" s="113"/>
      <c r="E244" s="114" t="s">
        <v>966</v>
      </c>
      <c r="F244" s="113" t="s">
        <v>967</v>
      </c>
      <c r="G244" s="113" t="s">
        <v>967</v>
      </c>
      <c r="H244" s="113" t="s">
        <v>103</v>
      </c>
      <c r="I244" s="115" t="n">
        <v>502.41</v>
      </c>
      <c r="J244" s="115" t="s">
        <v>80</v>
      </c>
      <c r="K244" s="115" t="s">
        <v>81</v>
      </c>
      <c r="L244" s="115" t="n">
        <v>207.53</v>
      </c>
      <c r="M244" s="115" t="n">
        <v>3.0</v>
      </c>
      <c r="N244" s="115"/>
      <c r="O244" s="115"/>
      <c r="P244" s="115"/>
      <c r="Q244" s="115"/>
      <c r="R244" s="115"/>
      <c r="S244" s="115"/>
      <c r="T244" s="115"/>
      <c r="U244" s="115"/>
      <c r="V244" s="115" t="s">
        <v>82</v>
      </c>
      <c r="W244" s="115" t="s">
        <v>83</v>
      </c>
      <c r="X244" s="113">
        <f>IF(INDIRECT("W244")="Clássico","12%",IF(INDIRECT("W244")="Premium","17%","-"))</f>
      </c>
      <c r="Y244" s="113" t="s">
        <v>200</v>
      </c>
    </row>
    <row r="245" ht="50.0" customHeight="true">
      <c r="A245" s="113" t="s">
        <v>968</v>
      </c>
      <c r="B245" s="113" t="s">
        <v>969</v>
      </c>
      <c r="C245" s="113" t="s">
        <v>970</v>
      </c>
      <c r="D245" s="113"/>
      <c r="E245" s="114" t="s">
        <v>710</v>
      </c>
      <c r="F245" s="113" t="s">
        <v>971</v>
      </c>
      <c r="G245" s="113" t="s">
        <v>971</v>
      </c>
      <c r="H245" s="113" t="s">
        <v>99</v>
      </c>
      <c r="I245" s="115" t="n">
        <v>591.02</v>
      </c>
      <c r="J245" s="115" t="s">
        <v>80</v>
      </c>
      <c r="K245" s="115" t="s">
        <v>81</v>
      </c>
      <c r="L245" s="115" t="n">
        <v>586.02</v>
      </c>
      <c r="M245" s="115" t="n">
        <v>3.0</v>
      </c>
      <c r="N245" s="115"/>
      <c r="O245" s="115"/>
      <c r="P245" s="115"/>
      <c r="Q245" s="115"/>
      <c r="R245" s="115"/>
      <c r="S245" s="115"/>
      <c r="T245" s="115"/>
      <c r="U245" s="115"/>
      <c r="V245" s="115" t="s">
        <v>82</v>
      </c>
      <c r="W245" s="115" t="s">
        <v>92</v>
      </c>
      <c r="X245" s="113">
        <f>IF(INDIRECT("W245")="Clássico","12%",IF(INDIRECT("W245")="Premium","17%","-"))</f>
      </c>
      <c r="Y245" s="113" t="s">
        <v>712</v>
      </c>
    </row>
    <row r="246" ht="50.0" customHeight="true">
      <c r="A246" s="113" t="s">
        <v>972</v>
      </c>
      <c r="B246" s="113" t="s">
        <v>973</v>
      </c>
      <c r="C246" s="113" t="s">
        <v>974</v>
      </c>
      <c r="D246" s="113"/>
      <c r="E246" s="114" t="s">
        <v>285</v>
      </c>
      <c r="F246" s="113" t="s">
        <v>975</v>
      </c>
      <c r="G246" s="113" t="s">
        <v>493</v>
      </c>
      <c r="H246" s="113" t="s">
        <v>103</v>
      </c>
      <c r="I246" s="115" t="n">
        <v>311.27</v>
      </c>
      <c r="J246" s="115" t="s">
        <v>80</v>
      </c>
      <c r="K246" s="115" t="s">
        <v>81</v>
      </c>
      <c r="L246" s="115" t="n">
        <v>306.27</v>
      </c>
      <c r="M246" s="115" t="n">
        <v>3.0</v>
      </c>
      <c r="N246" s="115"/>
      <c r="O246" s="115"/>
      <c r="P246" s="115"/>
      <c r="Q246" s="115"/>
      <c r="R246" s="115"/>
      <c r="S246" s="115"/>
      <c r="T246" s="115"/>
      <c r="U246" s="115"/>
      <c r="V246" s="115" t="s">
        <v>82</v>
      </c>
      <c r="W246" s="115" t="s">
        <v>92</v>
      </c>
      <c r="X246" s="113">
        <f>IF(INDIRECT("W246")="Clássico","12%",IF(INDIRECT("W246")="Premium","17%","-"))</f>
      </c>
      <c r="Y246" s="113" t="s">
        <v>229</v>
      </c>
    </row>
    <row r="247" ht="50.0" customHeight="true">
      <c r="A247" s="113" t="s">
        <v>22</v>
      </c>
      <c r="B247" s="113" t="s">
        <v>976</v>
      </c>
      <c r="C247" s="113"/>
      <c r="D247" s="113"/>
      <c r="E247" s="113" t="s">
        <v>22</v>
      </c>
      <c r="F247" s="113" t="s">
        <v>977</v>
      </c>
      <c r="G247" s="113" t="s">
        <v>103</v>
      </c>
      <c r="H247" s="113" t="s">
        <v>103</v>
      </c>
      <c r="I247" s="115" t="n">
        <v>358.11</v>
      </c>
      <c r="J247" s="115" t="s">
        <v>80</v>
      </c>
      <c r="K247" s="113" t="s">
        <v>81</v>
      </c>
      <c r="L247" s="115" t="n">
        <v>332.85</v>
      </c>
      <c r="M247" s="115" t="n">
        <v>3.0</v>
      </c>
      <c r="N247" s="115"/>
      <c r="O247" s="115"/>
      <c r="P247" s="115"/>
      <c r="Q247" s="115"/>
      <c r="R247" s="115"/>
      <c r="S247" s="115"/>
      <c r="T247" s="115"/>
      <c r="U247" s="115"/>
      <c r="V247" s="115" t="s">
        <v>82</v>
      </c>
      <c r="W247" s="115" t="s">
        <v>83</v>
      </c>
      <c r="X247" s="113">
        <f>IF(INDIRECT("W247")="Clássico","11.5%",IF(INDIRECT("W247")="Premium","16.5%","-"))</f>
      </c>
      <c r="Y247" s="113" t="s">
        <v>684</v>
      </c>
    </row>
    <row r="248" ht="50.0" customHeight="true">
      <c r="A248" s="113" t="s">
        <v>22</v>
      </c>
      <c r="B248" s="113" t="s">
        <v>976</v>
      </c>
      <c r="C248" s="113" t="s">
        <v>978</v>
      </c>
      <c r="D248" s="113" t="s">
        <v>978</v>
      </c>
      <c r="E248" s="114" t="s">
        <v>686</v>
      </c>
      <c r="F248" s="116">
        <f>"     "&amp;F247</f>
      </c>
      <c r="G248" s="113" t="s">
        <v>687</v>
      </c>
      <c r="H248" s="113" t="s">
        <v>103</v>
      </c>
      <c r="I248" s="113">
        <f>I247</f>
      </c>
      <c r="J248" s="113">
        <f>J247&amp;"     "</f>
      </c>
      <c r="K248" s="113" t="s">
        <v>81</v>
      </c>
      <c r="L248" s="113">
        <f>L247</f>
      </c>
      <c r="M248" s="113">
        <f>M247</f>
      </c>
      <c r="N248" s="113">
        <f>N247</f>
      </c>
      <c r="O248" s="113">
        <f>O247</f>
      </c>
      <c r="P248" s="113">
        <f>P247</f>
      </c>
      <c r="Q248" s="113">
        <f>Q247</f>
      </c>
      <c r="R248" s="113">
        <f>R247</f>
      </c>
      <c r="S248" s="113">
        <f>S247</f>
      </c>
      <c r="T248" s="113">
        <f>T247</f>
      </c>
      <c r="U248" s="113">
        <f>U247</f>
      </c>
      <c r="V248" s="113">
        <f>V247&amp;"     "</f>
      </c>
      <c r="W248" s="113">
        <f>W247&amp;"     "</f>
      </c>
      <c r="X248" s="113">
        <f>X247</f>
      </c>
      <c r="Y248" s="113" t="s">
        <v>684</v>
      </c>
    </row>
    <row r="249" ht="50.0" customHeight="true">
      <c r="A249" s="113" t="s">
        <v>22</v>
      </c>
      <c r="B249" s="113" t="s">
        <v>976</v>
      </c>
      <c r="C249" s="113" t="s">
        <v>979</v>
      </c>
      <c r="D249" s="113" t="s">
        <v>979</v>
      </c>
      <c r="E249" s="114" t="s">
        <v>689</v>
      </c>
      <c r="F249" s="116">
        <f>"     "&amp;F247</f>
      </c>
      <c r="G249" s="113" t="s">
        <v>690</v>
      </c>
      <c r="H249" s="113" t="s">
        <v>103</v>
      </c>
      <c r="I249" s="113">
        <f>I247</f>
      </c>
      <c r="J249" s="113">
        <f>J247&amp;"     "</f>
      </c>
      <c r="K249" s="113" t="s">
        <v>81</v>
      </c>
      <c r="L249" s="113">
        <f>L247</f>
      </c>
      <c r="M249" s="113">
        <f>M247</f>
      </c>
      <c r="N249" s="113">
        <f>N247</f>
      </c>
      <c r="O249" s="113">
        <f>O247</f>
      </c>
      <c r="P249" s="113">
        <f>P247</f>
      </c>
      <c r="Q249" s="113">
        <f>Q247</f>
      </c>
      <c r="R249" s="113">
        <f>R247</f>
      </c>
      <c r="S249" s="113">
        <f>S247</f>
      </c>
      <c r="T249" s="113">
        <f>T247</f>
      </c>
      <c r="U249" s="113">
        <f>U247</f>
      </c>
      <c r="V249" s="113">
        <f>V247&amp;"     "</f>
      </c>
      <c r="W249" s="113">
        <f>W247&amp;"     "</f>
      </c>
      <c r="X249" s="113">
        <f>X247</f>
      </c>
      <c r="Y249" s="113" t="s">
        <v>684</v>
      </c>
    </row>
    <row r="250" ht="50.0" customHeight="true">
      <c r="A250" s="113" t="s">
        <v>980</v>
      </c>
      <c r="B250" s="113" t="s">
        <v>981</v>
      </c>
      <c r="C250" s="113" t="s">
        <v>982</v>
      </c>
      <c r="D250" s="113"/>
      <c r="E250" s="114" t="s">
        <v>983</v>
      </c>
      <c r="F250" s="113" t="s">
        <v>984</v>
      </c>
      <c r="G250" s="113" t="s">
        <v>103</v>
      </c>
      <c r="H250" s="113" t="s">
        <v>103</v>
      </c>
      <c r="I250" s="115" t="n">
        <v>79.62</v>
      </c>
      <c r="J250" s="115" t="s">
        <v>80</v>
      </c>
      <c r="K250" s="115" t="s">
        <v>81</v>
      </c>
      <c r="L250" s="115" t="n">
        <v>39.9</v>
      </c>
      <c r="M250" s="115" t="n">
        <v>3.0</v>
      </c>
      <c r="N250" s="115"/>
      <c r="O250" s="115"/>
      <c r="P250" s="115"/>
      <c r="Q250" s="115"/>
      <c r="R250" s="115"/>
      <c r="S250" s="115"/>
      <c r="T250" s="115"/>
      <c r="U250" s="115"/>
      <c r="V250" s="115" t="s">
        <v>91</v>
      </c>
      <c r="W250" s="115" t="s">
        <v>92</v>
      </c>
      <c r="X250" s="113">
        <f>IF(INDIRECT("W250")="Clássico","11.5%",IF(INDIRECT("W250")="Premium","16.5%","-"))</f>
      </c>
      <c r="Y250" s="113" t="s">
        <v>985</v>
      </c>
    </row>
    <row r="251" ht="50.0" customHeight="true">
      <c r="A251" s="113" t="s">
        <v>986</v>
      </c>
      <c r="B251" s="113" t="s">
        <v>987</v>
      </c>
      <c r="C251" s="113" t="s">
        <v>988</v>
      </c>
      <c r="D251" s="113"/>
      <c r="E251" s="114" t="s">
        <v>125</v>
      </c>
      <c r="F251" s="113" t="s">
        <v>989</v>
      </c>
      <c r="G251" s="113" t="s">
        <v>127</v>
      </c>
      <c r="H251" s="113" t="s">
        <v>103</v>
      </c>
      <c r="I251" s="115" t="n">
        <v>146.82</v>
      </c>
      <c r="J251" s="115" t="s">
        <v>80</v>
      </c>
      <c r="K251" s="115" t="s">
        <v>81</v>
      </c>
      <c r="L251" s="115" t="n">
        <v>136.27</v>
      </c>
      <c r="M251" s="115" t="n">
        <v>3.0</v>
      </c>
      <c r="N251" s="115"/>
      <c r="O251" s="115"/>
      <c r="P251" s="115"/>
      <c r="Q251" s="115"/>
      <c r="R251" s="115"/>
      <c r="S251" s="115"/>
      <c r="T251" s="115"/>
      <c r="U251" s="115"/>
      <c r="V251" s="115" t="s">
        <v>82</v>
      </c>
      <c r="W251" s="115" t="s">
        <v>92</v>
      </c>
      <c r="X251" s="113">
        <f>IF(INDIRECT("W251")="Clássico","12%",IF(INDIRECT("W251")="Premium","17%","-"))</f>
      </c>
      <c r="Y251" s="113" t="s">
        <v>128</v>
      </c>
    </row>
    <row r="252" ht="50.0" customHeight="true">
      <c r="A252" s="113" t="s">
        <v>990</v>
      </c>
      <c r="B252" s="113" t="s">
        <v>991</v>
      </c>
      <c r="C252" s="113" t="s">
        <v>992</v>
      </c>
      <c r="D252" s="113"/>
      <c r="E252" s="114" t="s">
        <v>436</v>
      </c>
      <c r="F252" s="113" t="s">
        <v>993</v>
      </c>
      <c r="G252" s="113" t="s">
        <v>993</v>
      </c>
      <c r="H252" s="113" t="s">
        <v>143</v>
      </c>
      <c r="I252" s="115" t="n">
        <v>236.59</v>
      </c>
      <c r="J252" s="115" t="s">
        <v>80</v>
      </c>
      <c r="K252" s="115" t="s">
        <v>81</v>
      </c>
      <c r="L252" s="115" t="n">
        <v>239.18</v>
      </c>
      <c r="M252" s="115" t="n">
        <v>3.0</v>
      </c>
      <c r="N252" s="115"/>
      <c r="O252" s="115"/>
      <c r="P252" s="115"/>
      <c r="Q252" s="115"/>
      <c r="R252" s="115"/>
      <c r="S252" s="115"/>
      <c r="T252" s="115"/>
      <c r="U252" s="115"/>
      <c r="V252" s="115" t="s">
        <v>82</v>
      </c>
      <c r="W252" s="115" t="s">
        <v>92</v>
      </c>
      <c r="X252" s="113">
        <f>IF(INDIRECT("W252")="Clássico","12%",IF(INDIRECT("W252")="Premium","17%","-"))</f>
      </c>
      <c r="Y252" s="113" t="s">
        <v>367</v>
      </c>
    </row>
    <row r="253" ht="50.0" customHeight="true">
      <c r="A253" s="113" t="s">
        <v>994</v>
      </c>
      <c r="B253" s="113" t="s">
        <v>995</v>
      </c>
      <c r="C253" s="113" t="s">
        <v>996</v>
      </c>
      <c r="D253" s="113"/>
      <c r="E253" s="114" t="s">
        <v>431</v>
      </c>
      <c r="F253" s="113" t="s">
        <v>997</v>
      </c>
      <c r="G253" s="113" t="s">
        <v>566</v>
      </c>
      <c r="H253" s="113" t="s">
        <v>157</v>
      </c>
      <c r="I253" s="115" t="n">
        <v>474.56</v>
      </c>
      <c r="J253" s="115" t="s">
        <v>80</v>
      </c>
      <c r="K253" s="115" t="s">
        <v>81</v>
      </c>
      <c r="L253" s="115" t="n">
        <v>448.04</v>
      </c>
      <c r="M253" s="115" t="n">
        <v>3.0</v>
      </c>
      <c r="N253" s="115"/>
      <c r="O253" s="115"/>
      <c r="P253" s="115"/>
      <c r="Q253" s="115"/>
      <c r="R253" s="115"/>
      <c r="S253" s="115"/>
      <c r="T253" s="115"/>
      <c r="U253" s="115"/>
      <c r="V253" s="115" t="s">
        <v>82</v>
      </c>
      <c r="W253" s="115" t="s">
        <v>83</v>
      </c>
      <c r="X253" s="113">
        <f>IF(INDIRECT("W253")="Clássico","12%",IF(INDIRECT("W253")="Premium","17%","-"))</f>
      </c>
      <c r="Y253" s="113" t="s">
        <v>414</v>
      </c>
    </row>
    <row r="254" ht="50.0" customHeight="true">
      <c r="A254" s="113" t="s">
        <v>22</v>
      </c>
      <c r="B254" s="113" t="s">
        <v>998</v>
      </c>
      <c r="C254" s="113"/>
      <c r="D254" s="113"/>
      <c r="E254" s="113" t="s">
        <v>22</v>
      </c>
      <c r="F254" s="113" t="s">
        <v>999</v>
      </c>
      <c r="G254" s="113" t="s">
        <v>103</v>
      </c>
      <c r="H254" s="113" t="s">
        <v>103</v>
      </c>
      <c r="I254" s="115" t="n">
        <v>59.37</v>
      </c>
      <c r="J254" s="115" t="s">
        <v>80</v>
      </c>
      <c r="K254" s="113" t="s">
        <v>81</v>
      </c>
      <c r="L254" s="115" t="n">
        <v>54.37</v>
      </c>
      <c r="M254" s="115" t="n">
        <v>3.0</v>
      </c>
      <c r="N254" s="115"/>
      <c r="O254" s="115"/>
      <c r="P254" s="115"/>
      <c r="Q254" s="115"/>
      <c r="R254" s="115"/>
      <c r="S254" s="115"/>
      <c r="T254" s="115"/>
      <c r="U254" s="115"/>
      <c r="V254" s="115" t="s">
        <v>91</v>
      </c>
      <c r="W254" s="115" t="s">
        <v>92</v>
      </c>
      <c r="X254" s="113">
        <f>IF(INDIRECT("W254")="Clássico","13%",IF(INDIRECT("W254")="Premium","18%","-"))</f>
      </c>
      <c r="Y254" s="113" t="s">
        <v>1000</v>
      </c>
    </row>
    <row r="255" ht="50.0" customHeight="true">
      <c r="A255" s="113" t="s">
        <v>22</v>
      </c>
      <c r="B255" s="113" t="s">
        <v>998</v>
      </c>
      <c r="C255" s="113" t="s">
        <v>1001</v>
      </c>
      <c r="D255" s="113" t="s">
        <v>1001</v>
      </c>
      <c r="E255" s="114" t="s">
        <v>1002</v>
      </c>
      <c r="F255" s="116">
        <f>"     "&amp;F254</f>
      </c>
      <c r="G255" s="113" t="s">
        <v>1003</v>
      </c>
      <c r="H255" s="113" t="s">
        <v>103</v>
      </c>
      <c r="I255" s="113">
        <f>I254</f>
      </c>
      <c r="J255" s="113">
        <f>J254&amp;"     "</f>
      </c>
      <c r="K255" s="113" t="s">
        <v>81</v>
      </c>
      <c r="L255" s="113">
        <f>L254</f>
      </c>
      <c r="M255" s="113">
        <f>M254</f>
      </c>
      <c r="N255" s="113">
        <f>N254</f>
      </c>
      <c r="O255" s="113">
        <f>O254</f>
      </c>
      <c r="P255" s="113">
        <f>P254</f>
      </c>
      <c r="Q255" s="113">
        <f>Q254</f>
      </c>
      <c r="R255" s="113">
        <f>R254</f>
      </c>
      <c r="S255" s="113">
        <f>S254</f>
      </c>
      <c r="T255" s="113">
        <f>T254</f>
      </c>
      <c r="U255" s="113">
        <f>U254</f>
      </c>
      <c r="V255" s="113">
        <f>V254&amp;"     "</f>
      </c>
      <c r="W255" s="113">
        <f>W254&amp;"     "</f>
      </c>
      <c r="X255" s="113">
        <f>X254</f>
      </c>
      <c r="Y255" s="113" t="s">
        <v>1000</v>
      </c>
    </row>
    <row r="256" ht="50.0" customHeight="true">
      <c r="A256" s="113" t="s">
        <v>22</v>
      </c>
      <c r="B256" s="113" t="s">
        <v>998</v>
      </c>
      <c r="C256" s="113" t="s">
        <v>1004</v>
      </c>
      <c r="D256" s="113" t="s">
        <v>1004</v>
      </c>
      <c r="E256" s="114" t="s">
        <v>1005</v>
      </c>
      <c r="F256" s="116">
        <f>"     "&amp;F254</f>
      </c>
      <c r="G256" s="113" t="s">
        <v>1006</v>
      </c>
      <c r="H256" s="113" t="s">
        <v>103</v>
      </c>
      <c r="I256" s="113">
        <f>I254</f>
      </c>
      <c r="J256" s="113">
        <f>J254&amp;"     "</f>
      </c>
      <c r="K256" s="113" t="s">
        <v>81</v>
      </c>
      <c r="L256" s="113">
        <f>L254</f>
      </c>
      <c r="M256" s="113">
        <f>M254</f>
      </c>
      <c r="N256" s="113">
        <f>N254</f>
      </c>
      <c r="O256" s="113">
        <f>O254</f>
      </c>
      <c r="P256" s="113">
        <f>P254</f>
      </c>
      <c r="Q256" s="113">
        <f>Q254</f>
      </c>
      <c r="R256" s="113">
        <f>R254</f>
      </c>
      <c r="S256" s="113">
        <f>S254</f>
      </c>
      <c r="T256" s="113">
        <f>T254</f>
      </c>
      <c r="U256" s="113">
        <f>U254</f>
      </c>
      <c r="V256" s="113">
        <f>V254&amp;"     "</f>
      </c>
      <c r="W256" s="113">
        <f>W254&amp;"     "</f>
      </c>
      <c r="X256" s="113">
        <f>X254</f>
      </c>
      <c r="Y256" s="113" t="s">
        <v>1000</v>
      </c>
    </row>
    <row r="257" ht="50.0" customHeight="true">
      <c r="A257" s="113" t="s">
        <v>22</v>
      </c>
      <c r="B257" s="113" t="s">
        <v>998</v>
      </c>
      <c r="C257" s="113" t="s">
        <v>1007</v>
      </c>
      <c r="D257" s="113" t="s">
        <v>1007</v>
      </c>
      <c r="E257" s="114" t="s">
        <v>1008</v>
      </c>
      <c r="F257" s="116">
        <f>"     "&amp;F254</f>
      </c>
      <c r="G257" s="113" t="s">
        <v>1009</v>
      </c>
      <c r="H257" s="113" t="s">
        <v>103</v>
      </c>
      <c r="I257" s="113">
        <f>I254</f>
      </c>
      <c r="J257" s="113">
        <f>J254&amp;"     "</f>
      </c>
      <c r="K257" s="113" t="s">
        <v>81</v>
      </c>
      <c r="L257" s="113">
        <f>L254</f>
      </c>
      <c r="M257" s="113">
        <f>M254</f>
      </c>
      <c r="N257" s="113">
        <f>N254</f>
      </c>
      <c r="O257" s="113">
        <f>O254</f>
      </c>
      <c r="P257" s="113">
        <f>P254</f>
      </c>
      <c r="Q257" s="113">
        <f>Q254</f>
      </c>
      <c r="R257" s="113">
        <f>R254</f>
      </c>
      <c r="S257" s="113">
        <f>S254</f>
      </c>
      <c r="T257" s="113">
        <f>T254</f>
      </c>
      <c r="U257" s="113">
        <f>U254</f>
      </c>
      <c r="V257" s="113">
        <f>V254&amp;"     "</f>
      </c>
      <c r="W257" s="113">
        <f>W254&amp;"     "</f>
      </c>
      <c r="X257" s="113">
        <f>X254</f>
      </c>
      <c r="Y257" s="113" t="s">
        <v>1000</v>
      </c>
    </row>
    <row r="258" ht="50.0" customHeight="true">
      <c r="A258" s="113" t="s">
        <v>22</v>
      </c>
      <c r="B258" s="113" t="s">
        <v>998</v>
      </c>
      <c r="C258" s="113" t="s">
        <v>1010</v>
      </c>
      <c r="D258" s="113" t="s">
        <v>1010</v>
      </c>
      <c r="E258" s="114" t="s">
        <v>1011</v>
      </c>
      <c r="F258" s="116">
        <f>"     "&amp;F254</f>
      </c>
      <c r="G258" s="113" t="s">
        <v>1012</v>
      </c>
      <c r="H258" s="113" t="s">
        <v>103</v>
      </c>
      <c r="I258" s="113">
        <f>I254</f>
      </c>
      <c r="J258" s="113">
        <f>J254&amp;"     "</f>
      </c>
      <c r="K258" s="113" t="s">
        <v>81</v>
      </c>
      <c r="L258" s="113">
        <f>L254</f>
      </c>
      <c r="M258" s="113">
        <f>M254</f>
      </c>
      <c r="N258" s="113">
        <f>N254</f>
      </c>
      <c r="O258" s="113">
        <f>O254</f>
      </c>
      <c r="P258" s="113">
        <f>P254</f>
      </c>
      <c r="Q258" s="113">
        <f>Q254</f>
      </c>
      <c r="R258" s="113">
        <f>R254</f>
      </c>
      <c r="S258" s="113">
        <f>S254</f>
      </c>
      <c r="T258" s="113">
        <f>T254</f>
      </c>
      <c r="U258" s="113">
        <f>U254</f>
      </c>
      <c r="V258" s="113">
        <f>V254&amp;"     "</f>
      </c>
      <c r="W258" s="113">
        <f>W254&amp;"     "</f>
      </c>
      <c r="X258" s="113">
        <f>X254</f>
      </c>
      <c r="Y258" s="113" t="s">
        <v>1000</v>
      </c>
    </row>
    <row r="259" ht="50.0" customHeight="true">
      <c r="A259" s="113" t="s">
        <v>1013</v>
      </c>
      <c r="B259" s="113" t="s">
        <v>1014</v>
      </c>
      <c r="C259" s="113" t="s">
        <v>1015</v>
      </c>
      <c r="D259" s="113"/>
      <c r="E259" s="114" t="s">
        <v>177</v>
      </c>
      <c r="F259" s="113" t="s">
        <v>1016</v>
      </c>
      <c r="G259" s="113" t="s">
        <v>1016</v>
      </c>
      <c r="H259" s="113" t="s">
        <v>143</v>
      </c>
      <c r="I259" s="115" t="n">
        <v>96.08</v>
      </c>
      <c r="J259" s="115" t="s">
        <v>80</v>
      </c>
      <c r="K259" s="115" t="s">
        <v>81</v>
      </c>
      <c r="L259" s="115" t="n">
        <v>91.08</v>
      </c>
      <c r="M259" s="115" t="n">
        <v>3.0</v>
      </c>
      <c r="N259" s="115"/>
      <c r="O259" s="115"/>
      <c r="P259" s="115"/>
      <c r="Q259" s="115"/>
      <c r="R259" s="115"/>
      <c r="S259" s="115"/>
      <c r="T259" s="115"/>
      <c r="U259" s="115"/>
      <c r="V259" s="115" t="s">
        <v>91</v>
      </c>
      <c r="W259" s="115" t="s">
        <v>92</v>
      </c>
      <c r="X259" s="113">
        <f>IF(INDIRECT("W259")="Clássico","12%",IF(INDIRECT("W259")="Premium","17%","-"))</f>
      </c>
      <c r="Y259" s="113" t="s">
        <v>100</v>
      </c>
    </row>
    <row r="260" ht="50.0" customHeight="true">
      <c r="A260" s="113" t="s">
        <v>1017</v>
      </c>
      <c r="B260" s="113" t="s">
        <v>1018</v>
      </c>
      <c r="C260" s="113" t="s">
        <v>1019</v>
      </c>
      <c r="D260" s="113"/>
      <c r="E260" s="114" t="s">
        <v>1020</v>
      </c>
      <c r="F260" s="113" t="s">
        <v>1021</v>
      </c>
      <c r="G260" s="113" t="s">
        <v>493</v>
      </c>
      <c r="H260" s="113" t="s">
        <v>103</v>
      </c>
      <c r="I260" s="115" t="n">
        <v>147.98</v>
      </c>
      <c r="J260" s="115" t="s">
        <v>80</v>
      </c>
      <c r="K260" s="115" t="s">
        <v>81</v>
      </c>
      <c r="L260" s="115" t="n">
        <v>149.31</v>
      </c>
      <c r="M260" s="115" t="n">
        <v>3.0</v>
      </c>
      <c r="N260" s="115"/>
      <c r="O260" s="115"/>
      <c r="P260" s="115"/>
      <c r="Q260" s="115"/>
      <c r="R260" s="115"/>
      <c r="S260" s="115"/>
      <c r="T260" s="115"/>
      <c r="U260" s="115"/>
      <c r="V260" s="115" t="s">
        <v>82</v>
      </c>
      <c r="W260" s="115" t="s">
        <v>92</v>
      </c>
      <c r="X260" s="113">
        <f>IF(INDIRECT("W260")="Clássico","13%",IF(INDIRECT("W260")="Premium","18%","-"))</f>
      </c>
      <c r="Y260" s="113" t="s">
        <v>1022</v>
      </c>
    </row>
    <row r="261" ht="50.0" customHeight="true">
      <c r="A261" s="113" t="s">
        <v>1023</v>
      </c>
      <c r="B261" s="113" t="s">
        <v>1024</v>
      </c>
      <c r="C261" s="113" t="s">
        <v>1025</v>
      </c>
      <c r="D261" s="113"/>
      <c r="E261" s="114" t="s">
        <v>829</v>
      </c>
      <c r="F261" s="113" t="s">
        <v>1026</v>
      </c>
      <c r="G261" s="113" t="s">
        <v>1026</v>
      </c>
      <c r="H261" s="113" t="s">
        <v>103</v>
      </c>
      <c r="I261" s="115" t="n">
        <v>694.82</v>
      </c>
      <c r="J261" s="115" t="s">
        <v>80</v>
      </c>
      <c r="K261" s="115" t="s">
        <v>81</v>
      </c>
      <c r="L261" s="115" t="n">
        <v>692.35</v>
      </c>
      <c r="M261" s="115" t="n">
        <v>3.0</v>
      </c>
      <c r="N261" s="115"/>
      <c r="O261" s="115"/>
      <c r="P261" s="115"/>
      <c r="Q261" s="115"/>
      <c r="R261" s="115"/>
      <c r="S261" s="115"/>
      <c r="T261" s="115"/>
      <c r="U261" s="115"/>
      <c r="V261" s="115" t="s">
        <v>82</v>
      </c>
      <c r="W261" s="115" t="s">
        <v>92</v>
      </c>
      <c r="X261" s="113">
        <f>IF(INDIRECT("W261")="Clássico","12%",IF(INDIRECT("W261")="Premium","17%","-"))</f>
      </c>
      <c r="Y261" s="113" t="s">
        <v>551</v>
      </c>
    </row>
    <row r="262" ht="50.0" customHeight="true">
      <c r="A262" s="113" t="s">
        <v>1027</v>
      </c>
      <c r="B262" s="113" t="s">
        <v>1028</v>
      </c>
      <c r="C262" s="113" t="s">
        <v>1029</v>
      </c>
      <c r="D262" s="113"/>
      <c r="E262" s="114" t="s">
        <v>1030</v>
      </c>
      <c r="F262" s="113" t="s">
        <v>1031</v>
      </c>
      <c r="G262" s="113" t="s">
        <v>1031</v>
      </c>
      <c r="H262" s="113" t="s">
        <v>103</v>
      </c>
      <c r="I262" s="115" t="n">
        <v>208.74</v>
      </c>
      <c r="J262" s="115" t="s">
        <v>80</v>
      </c>
      <c r="K262" s="115" t="s">
        <v>81</v>
      </c>
      <c r="L262" s="115" t="n">
        <v>203.74</v>
      </c>
      <c r="M262" s="115" t="n">
        <v>3.0</v>
      </c>
      <c r="N262" s="115"/>
      <c r="O262" s="115"/>
      <c r="P262" s="115"/>
      <c r="Q262" s="115"/>
      <c r="R262" s="115"/>
      <c r="S262" s="115"/>
      <c r="T262" s="115"/>
      <c r="U262" s="115"/>
      <c r="V262" s="115" t="s">
        <v>82</v>
      </c>
      <c r="W262" s="115" t="s">
        <v>83</v>
      </c>
      <c r="X262" s="113">
        <f>IF(INDIRECT("W262")="Clássico","12%",IF(INDIRECT("W262")="Premium","17%","-"))</f>
      </c>
      <c r="Y262" s="113" t="s">
        <v>1032</v>
      </c>
    </row>
    <row r="263" ht="50.0" customHeight="true">
      <c r="A263" s="113" t="s">
        <v>1033</v>
      </c>
      <c r="B263" s="113" t="s">
        <v>1034</v>
      </c>
      <c r="C263" s="113" t="s">
        <v>1035</v>
      </c>
      <c r="D263" s="113"/>
      <c r="E263" s="114" t="s">
        <v>588</v>
      </c>
      <c r="F263" s="113" t="s">
        <v>776</v>
      </c>
      <c r="G263" s="113" t="s">
        <v>103</v>
      </c>
      <c r="H263" s="113" t="s">
        <v>103</v>
      </c>
      <c r="I263" s="115" t="n">
        <v>88.48</v>
      </c>
      <c r="J263" s="115" t="s">
        <v>80</v>
      </c>
      <c r="K263" s="115" t="s">
        <v>81</v>
      </c>
      <c r="L263" s="115" t="n">
        <v>114.74</v>
      </c>
      <c r="M263" s="115" t="n">
        <v>3.0</v>
      </c>
      <c r="N263" s="115"/>
      <c r="O263" s="115"/>
      <c r="P263" s="115"/>
      <c r="Q263" s="115"/>
      <c r="R263" s="115"/>
      <c r="S263" s="115"/>
      <c r="T263" s="115"/>
      <c r="U263" s="115"/>
      <c r="V263" s="115" t="s">
        <v>91</v>
      </c>
      <c r="W263" s="115" t="s">
        <v>83</v>
      </c>
      <c r="X263" s="113">
        <f>IF(INDIRECT("W263")="Clássico","12%",IF(INDIRECT("W263")="Premium","17%","-"))</f>
      </c>
      <c r="Y263" s="113" t="s">
        <v>777</v>
      </c>
    </row>
    <row r="264" ht="50.0" customHeight="true">
      <c r="A264" s="113" t="s">
        <v>1036</v>
      </c>
      <c r="B264" s="113" t="s">
        <v>1037</v>
      </c>
      <c r="C264" s="113" t="s">
        <v>1038</v>
      </c>
      <c r="D264" s="113"/>
      <c r="E264" s="114" t="s">
        <v>1039</v>
      </c>
      <c r="F264" s="113" t="s">
        <v>1040</v>
      </c>
      <c r="G264" s="113" t="s">
        <v>1040</v>
      </c>
      <c r="H264" s="113" t="s">
        <v>103</v>
      </c>
      <c r="I264" s="115" t="n">
        <v>730.26</v>
      </c>
      <c r="J264" s="115" t="s">
        <v>80</v>
      </c>
      <c r="K264" s="115" t="s">
        <v>81</v>
      </c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 t="s">
        <v>82</v>
      </c>
      <c r="W264" s="115" t="s">
        <v>92</v>
      </c>
      <c r="X264" s="113">
        <f>IF(INDIRECT("W264")="Clássico","12%",IF(INDIRECT("W264")="Premium","17%","-"))</f>
      </c>
      <c r="Y264" s="113" t="s">
        <v>1041</v>
      </c>
    </row>
    <row r="265" ht="50.0" customHeight="true">
      <c r="A265" s="113" t="s">
        <v>1042</v>
      </c>
      <c r="B265" s="113" t="s">
        <v>1043</v>
      </c>
      <c r="C265" s="113" t="s">
        <v>1044</v>
      </c>
      <c r="D265" s="113"/>
      <c r="E265" s="114" t="s">
        <v>1045</v>
      </c>
      <c r="F265" s="113" t="s">
        <v>1046</v>
      </c>
      <c r="G265" s="113" t="s">
        <v>1047</v>
      </c>
      <c r="H265" s="113" t="s">
        <v>103</v>
      </c>
      <c r="I265" s="115" t="n">
        <v>140.38</v>
      </c>
      <c r="J265" s="115" t="s">
        <v>80</v>
      </c>
      <c r="K265" s="115" t="s">
        <v>81</v>
      </c>
      <c r="L265" s="115" t="n">
        <v>102.47</v>
      </c>
      <c r="M265" s="115" t="n">
        <v>3.0</v>
      </c>
      <c r="N265" s="115"/>
      <c r="O265" s="115"/>
      <c r="P265" s="115"/>
      <c r="Q265" s="115"/>
      <c r="R265" s="115"/>
      <c r="S265" s="115"/>
      <c r="T265" s="115"/>
      <c r="U265" s="115"/>
      <c r="V265" s="115" t="s">
        <v>82</v>
      </c>
      <c r="W265" s="115" t="s">
        <v>83</v>
      </c>
      <c r="X265" s="113">
        <f>IF(INDIRECT("W265")="Clássico","12%",IF(INDIRECT("W265")="Premium","17%","-"))</f>
      </c>
      <c r="Y265" s="113" t="s">
        <v>1048</v>
      </c>
    </row>
    <row r="266" ht="50.0" customHeight="true">
      <c r="A266" s="113" t="s">
        <v>1049</v>
      </c>
      <c r="B266" s="113" t="s">
        <v>1050</v>
      </c>
      <c r="C266" s="113" t="s">
        <v>1051</v>
      </c>
      <c r="D266" s="113"/>
      <c r="E266" s="114" t="s">
        <v>510</v>
      </c>
      <c r="F266" s="113" t="s">
        <v>1052</v>
      </c>
      <c r="G266" s="113" t="s">
        <v>1052</v>
      </c>
      <c r="H266" s="113" t="s">
        <v>103</v>
      </c>
      <c r="I266" s="115" t="n">
        <v>303.8</v>
      </c>
      <c r="J266" s="115" t="s">
        <v>80</v>
      </c>
      <c r="K266" s="115" t="s">
        <v>81</v>
      </c>
      <c r="L266" s="115" t="n">
        <v>339.18</v>
      </c>
      <c r="M266" s="115" t="n">
        <v>3.0</v>
      </c>
      <c r="N266" s="115"/>
      <c r="O266" s="115"/>
      <c r="P266" s="115"/>
      <c r="Q266" s="115"/>
      <c r="R266" s="115"/>
      <c r="S266" s="115"/>
      <c r="T266" s="115"/>
      <c r="U266" s="115"/>
      <c r="V266" s="115" t="s">
        <v>82</v>
      </c>
      <c r="W266" s="115" t="s">
        <v>83</v>
      </c>
      <c r="X266" s="113">
        <f>IF(INDIRECT("W266")="Clássico","12%",IF(INDIRECT("W266")="Premium","17%","-"))</f>
      </c>
      <c r="Y266" s="113" t="s">
        <v>512</v>
      </c>
    </row>
    <row r="267" ht="50.0" customHeight="true">
      <c r="A267" s="113" t="s">
        <v>1053</v>
      </c>
      <c r="B267" s="113" t="s">
        <v>1054</v>
      </c>
      <c r="C267" s="113" t="s">
        <v>1055</v>
      </c>
      <c r="D267" s="113"/>
      <c r="E267" s="114" t="s">
        <v>720</v>
      </c>
      <c r="F267" s="113" t="s">
        <v>1056</v>
      </c>
      <c r="G267" s="113" t="s">
        <v>1056</v>
      </c>
      <c r="H267" s="113" t="s">
        <v>234</v>
      </c>
      <c r="I267" s="115" t="n">
        <v>146.71</v>
      </c>
      <c r="J267" s="115" t="s">
        <v>80</v>
      </c>
      <c r="K267" s="115" t="s">
        <v>81</v>
      </c>
      <c r="L267" s="115" t="n">
        <v>88.66</v>
      </c>
      <c r="M267" s="115" t="n">
        <v>3.0</v>
      </c>
      <c r="N267" s="115"/>
      <c r="O267" s="115"/>
      <c r="P267" s="115"/>
      <c r="Q267" s="115"/>
      <c r="R267" s="115"/>
      <c r="S267" s="115"/>
      <c r="T267" s="115"/>
      <c r="U267" s="115"/>
      <c r="V267" s="115" t="s">
        <v>82</v>
      </c>
      <c r="W267" s="115" t="s">
        <v>83</v>
      </c>
      <c r="X267" s="113">
        <f>IF(INDIRECT("W267")="Clássico","12%",IF(INDIRECT("W267")="Premium","17%","-"))</f>
      </c>
      <c r="Y267" s="113" t="s">
        <v>1057</v>
      </c>
    </row>
    <row r="268" ht="50.0" customHeight="true">
      <c r="A268" s="113" t="s">
        <v>1058</v>
      </c>
      <c r="B268" s="113" t="s">
        <v>1059</v>
      </c>
      <c r="C268" s="113" t="s">
        <v>1060</v>
      </c>
      <c r="D268" s="113"/>
      <c r="E268" s="114" t="s">
        <v>1061</v>
      </c>
      <c r="F268" s="113" t="s">
        <v>1062</v>
      </c>
      <c r="G268" s="113" t="s">
        <v>1062</v>
      </c>
      <c r="H268" s="113" t="s">
        <v>132</v>
      </c>
      <c r="I268" s="115" t="n">
        <v>60.63</v>
      </c>
      <c r="J268" s="115" t="s">
        <v>80</v>
      </c>
      <c r="K268" s="115" t="s">
        <v>81</v>
      </c>
      <c r="L268" s="115" t="n">
        <v>56.96</v>
      </c>
      <c r="M268" s="115" t="n">
        <v>3.0</v>
      </c>
      <c r="N268" s="115"/>
      <c r="O268" s="115"/>
      <c r="P268" s="115"/>
      <c r="Q268" s="115"/>
      <c r="R268" s="115"/>
      <c r="S268" s="115"/>
      <c r="T268" s="115"/>
      <c r="U268" s="115"/>
      <c r="V268" s="115" t="s">
        <v>91</v>
      </c>
      <c r="W268" s="115" t="s">
        <v>92</v>
      </c>
      <c r="X268" s="113">
        <f>IF(INDIRECT("W268")="Clássico","12%",IF(INDIRECT("W268")="Premium","17%","-"))</f>
      </c>
      <c r="Y268" s="113" t="s">
        <v>1063</v>
      </c>
    </row>
    <row r="269" ht="50.0" customHeight="true">
      <c r="A269" s="113" t="s">
        <v>1064</v>
      </c>
      <c r="B269" s="113" t="s">
        <v>1065</v>
      </c>
      <c r="C269" s="113" t="s">
        <v>1066</v>
      </c>
      <c r="D269" s="113"/>
      <c r="E269" s="114" t="s">
        <v>1067</v>
      </c>
      <c r="F269" s="113" t="s">
        <v>1068</v>
      </c>
      <c r="G269" s="113" t="s">
        <v>1047</v>
      </c>
      <c r="H269" s="113" t="s">
        <v>132</v>
      </c>
      <c r="I269" s="115" t="n">
        <v>66.96</v>
      </c>
      <c r="J269" s="115" t="s">
        <v>80</v>
      </c>
      <c r="K269" s="115" t="s">
        <v>81</v>
      </c>
      <c r="L269" s="115" t="n">
        <v>61.75</v>
      </c>
      <c r="M269" s="115" t="n">
        <v>3.0</v>
      </c>
      <c r="N269" s="115"/>
      <c r="O269" s="115"/>
      <c r="P269" s="115"/>
      <c r="Q269" s="115"/>
      <c r="R269" s="115"/>
      <c r="S269" s="115"/>
      <c r="T269" s="115"/>
      <c r="U269" s="115"/>
      <c r="V269" s="115" t="s">
        <v>91</v>
      </c>
      <c r="W269" s="115" t="s">
        <v>83</v>
      </c>
      <c r="X269" s="113">
        <f>IF(INDIRECT("W269")="Clássico","12%",IF(INDIRECT("W269")="Premium","17%","-"))</f>
      </c>
      <c r="Y269" s="113" t="s">
        <v>1048</v>
      </c>
    </row>
    <row r="270" ht="50.0" customHeight="true">
      <c r="A270" s="113" t="s">
        <v>1069</v>
      </c>
      <c r="B270" s="113" t="s">
        <v>1070</v>
      </c>
      <c r="C270" s="113" t="s">
        <v>1071</v>
      </c>
      <c r="D270" s="113"/>
      <c r="E270" s="114" t="s">
        <v>1072</v>
      </c>
      <c r="F270" s="113" t="s">
        <v>1073</v>
      </c>
      <c r="G270" s="113" t="s">
        <v>1073</v>
      </c>
      <c r="H270" s="113" t="s">
        <v>103</v>
      </c>
      <c r="I270" s="115" t="n">
        <v>127.72</v>
      </c>
      <c r="J270" s="115" t="s">
        <v>80</v>
      </c>
      <c r="K270" s="115" t="s">
        <v>81</v>
      </c>
      <c r="L270" s="115" t="n">
        <v>94.37</v>
      </c>
      <c r="M270" s="115" t="n">
        <v>3.0</v>
      </c>
      <c r="N270" s="115"/>
      <c r="O270" s="115"/>
      <c r="P270" s="115"/>
      <c r="Q270" s="115"/>
      <c r="R270" s="115"/>
      <c r="S270" s="115"/>
      <c r="T270" s="115"/>
      <c r="U270" s="115"/>
      <c r="V270" s="115" t="s">
        <v>82</v>
      </c>
      <c r="W270" s="115" t="s">
        <v>83</v>
      </c>
      <c r="X270" s="113">
        <f>IF(INDIRECT("W270")="Clássico","12%",IF(INDIRECT("W270")="Premium","17%","-"))</f>
      </c>
      <c r="Y270" s="113" t="s">
        <v>1074</v>
      </c>
    </row>
    <row r="271" ht="50.0" customHeight="true">
      <c r="A271" s="113" t="s">
        <v>22</v>
      </c>
      <c r="B271" s="113" t="s">
        <v>1075</v>
      </c>
      <c r="C271" s="113"/>
      <c r="D271" s="113"/>
      <c r="E271" s="113" t="s">
        <v>22</v>
      </c>
      <c r="F271" s="113" t="s">
        <v>1076</v>
      </c>
      <c r="G271" s="113" t="s">
        <v>103</v>
      </c>
      <c r="H271" s="113" t="s">
        <v>103</v>
      </c>
      <c r="I271" s="115" t="n">
        <v>58.86</v>
      </c>
      <c r="J271" s="115" t="s">
        <v>80</v>
      </c>
      <c r="K271" s="113" t="s">
        <v>81</v>
      </c>
      <c r="L271" s="115" t="n">
        <v>54.37</v>
      </c>
      <c r="M271" s="115" t="n">
        <v>3.0</v>
      </c>
      <c r="N271" s="115"/>
      <c r="O271" s="115"/>
      <c r="P271" s="115"/>
      <c r="Q271" s="115"/>
      <c r="R271" s="115"/>
      <c r="S271" s="115"/>
      <c r="T271" s="115"/>
      <c r="U271" s="115"/>
      <c r="V271" s="115" t="s">
        <v>91</v>
      </c>
      <c r="W271" s="115" t="s">
        <v>92</v>
      </c>
      <c r="X271" s="113">
        <f>IF(INDIRECT("W271")="Clássico","13%",IF(INDIRECT("W271")="Premium","18%","-"))</f>
      </c>
      <c r="Y271" s="113" t="s">
        <v>1000</v>
      </c>
    </row>
    <row r="272" ht="50.0" customHeight="true">
      <c r="A272" s="113" t="s">
        <v>22</v>
      </c>
      <c r="B272" s="113" t="s">
        <v>1075</v>
      </c>
      <c r="C272" s="113" t="s">
        <v>1077</v>
      </c>
      <c r="D272" s="113" t="s">
        <v>1077</v>
      </c>
      <c r="E272" s="114" t="s">
        <v>1008</v>
      </c>
      <c r="F272" s="116">
        <f>"     "&amp;F271</f>
      </c>
      <c r="G272" s="113" t="s">
        <v>1078</v>
      </c>
      <c r="H272" s="113" t="s">
        <v>103</v>
      </c>
      <c r="I272" s="113">
        <f>I271</f>
      </c>
      <c r="J272" s="113">
        <f>J271&amp;"     "</f>
      </c>
      <c r="K272" s="113" t="s">
        <v>81</v>
      </c>
      <c r="L272" s="113">
        <f>L271</f>
      </c>
      <c r="M272" s="113">
        <f>M271</f>
      </c>
      <c r="N272" s="113">
        <f>N271</f>
      </c>
      <c r="O272" s="113">
        <f>O271</f>
      </c>
      <c r="P272" s="113">
        <f>P271</f>
      </c>
      <c r="Q272" s="113">
        <f>Q271</f>
      </c>
      <c r="R272" s="113">
        <f>R271</f>
      </c>
      <c r="S272" s="113">
        <f>S271</f>
      </c>
      <c r="T272" s="113">
        <f>T271</f>
      </c>
      <c r="U272" s="113">
        <f>U271</f>
      </c>
      <c r="V272" s="113">
        <f>V271&amp;"     "</f>
      </c>
      <c r="W272" s="113">
        <f>W271&amp;"     "</f>
      </c>
      <c r="X272" s="113">
        <f>X271</f>
      </c>
      <c r="Y272" s="113" t="s">
        <v>1000</v>
      </c>
    </row>
    <row r="273" ht="50.0" customHeight="true">
      <c r="A273" s="113" t="s">
        <v>22</v>
      </c>
      <c r="B273" s="113" t="s">
        <v>1075</v>
      </c>
      <c r="C273" s="113" t="s">
        <v>1079</v>
      </c>
      <c r="D273" s="113" t="s">
        <v>1079</v>
      </c>
      <c r="E273" s="114" t="s">
        <v>1011</v>
      </c>
      <c r="F273" s="116">
        <f>"     "&amp;F271</f>
      </c>
      <c r="G273" s="113" t="s">
        <v>1080</v>
      </c>
      <c r="H273" s="113" t="s">
        <v>103</v>
      </c>
      <c r="I273" s="113">
        <f>I271</f>
      </c>
      <c r="J273" s="113">
        <f>J271&amp;"     "</f>
      </c>
      <c r="K273" s="113" t="s">
        <v>81</v>
      </c>
      <c r="L273" s="113">
        <f>L271</f>
      </c>
      <c r="M273" s="113">
        <f>M271</f>
      </c>
      <c r="N273" s="113">
        <f>N271</f>
      </c>
      <c r="O273" s="113">
        <f>O271</f>
      </c>
      <c r="P273" s="113">
        <f>P271</f>
      </c>
      <c r="Q273" s="113">
        <f>Q271</f>
      </c>
      <c r="R273" s="113">
        <f>R271</f>
      </c>
      <c r="S273" s="113">
        <f>S271</f>
      </c>
      <c r="T273" s="113">
        <f>T271</f>
      </c>
      <c r="U273" s="113">
        <f>U271</f>
      </c>
      <c r="V273" s="113">
        <f>V271&amp;"     "</f>
      </c>
      <c r="W273" s="113">
        <f>W271&amp;"     "</f>
      </c>
      <c r="X273" s="113">
        <f>X271</f>
      </c>
      <c r="Y273" s="113" t="s">
        <v>1000</v>
      </c>
    </row>
    <row r="274" ht="50.0" customHeight="true">
      <c r="A274" s="113" t="s">
        <v>22</v>
      </c>
      <c r="B274" s="113" t="s">
        <v>1075</v>
      </c>
      <c r="C274" s="113" t="s">
        <v>1081</v>
      </c>
      <c r="D274" s="113" t="s">
        <v>1081</v>
      </c>
      <c r="E274" s="114" t="s">
        <v>1005</v>
      </c>
      <c r="F274" s="116">
        <f>"     "&amp;F271</f>
      </c>
      <c r="G274" s="113" t="s">
        <v>1006</v>
      </c>
      <c r="H274" s="113" t="s">
        <v>103</v>
      </c>
      <c r="I274" s="113">
        <f>I271</f>
      </c>
      <c r="J274" s="113">
        <f>J271&amp;"     "</f>
      </c>
      <c r="K274" s="113" t="s">
        <v>81</v>
      </c>
      <c r="L274" s="113">
        <f>L271</f>
      </c>
      <c r="M274" s="113">
        <f>M271</f>
      </c>
      <c r="N274" s="113">
        <f>N271</f>
      </c>
      <c r="O274" s="113">
        <f>O271</f>
      </c>
      <c r="P274" s="113">
        <f>P271</f>
      </c>
      <c r="Q274" s="113">
        <f>Q271</f>
      </c>
      <c r="R274" s="113">
        <f>R271</f>
      </c>
      <c r="S274" s="113">
        <f>S271</f>
      </c>
      <c r="T274" s="113">
        <f>T271</f>
      </c>
      <c r="U274" s="113">
        <f>U271</f>
      </c>
      <c r="V274" s="113">
        <f>V271&amp;"     "</f>
      </c>
      <c r="W274" s="113">
        <f>W271&amp;"     "</f>
      </c>
      <c r="X274" s="113">
        <f>X271</f>
      </c>
      <c r="Y274" s="113" t="s">
        <v>1000</v>
      </c>
    </row>
    <row r="275" ht="50.0" customHeight="true">
      <c r="A275" s="113" t="s">
        <v>22</v>
      </c>
      <c r="B275" s="113" t="s">
        <v>1075</v>
      </c>
      <c r="C275" s="113" t="s">
        <v>1082</v>
      </c>
      <c r="D275" s="113" t="s">
        <v>1082</v>
      </c>
      <c r="E275" s="114" t="s">
        <v>1002</v>
      </c>
      <c r="F275" s="116">
        <f>"     "&amp;F271</f>
      </c>
      <c r="G275" s="113" t="s">
        <v>1003</v>
      </c>
      <c r="H275" s="113" t="s">
        <v>103</v>
      </c>
      <c r="I275" s="113">
        <f>I271</f>
      </c>
      <c r="J275" s="113">
        <f>J271&amp;"     "</f>
      </c>
      <c r="K275" s="113" t="s">
        <v>81</v>
      </c>
      <c r="L275" s="113">
        <f>L271</f>
      </c>
      <c r="M275" s="113">
        <f>M271</f>
      </c>
      <c r="N275" s="113">
        <f>N271</f>
      </c>
      <c r="O275" s="113">
        <f>O271</f>
      </c>
      <c r="P275" s="113">
        <f>P271</f>
      </c>
      <c r="Q275" s="113">
        <f>Q271</f>
      </c>
      <c r="R275" s="113">
        <f>R271</f>
      </c>
      <c r="S275" s="113">
        <f>S271</f>
      </c>
      <c r="T275" s="113">
        <f>T271</f>
      </c>
      <c r="U275" s="113">
        <f>U271</f>
      </c>
      <c r="V275" s="113">
        <f>V271&amp;"     "</f>
      </c>
      <c r="W275" s="113">
        <f>W271&amp;"     "</f>
      </c>
      <c r="X275" s="113">
        <f>X271</f>
      </c>
      <c r="Y275" s="113" t="s">
        <v>1000</v>
      </c>
    </row>
    <row r="276" ht="50.0" customHeight="true">
      <c r="A276" s="113" t="s">
        <v>22</v>
      </c>
      <c r="B276" s="113" t="s">
        <v>1083</v>
      </c>
      <c r="C276" s="113"/>
      <c r="D276" s="113"/>
      <c r="E276" s="113" t="s">
        <v>1084</v>
      </c>
      <c r="F276" s="113" t="s">
        <v>1085</v>
      </c>
      <c r="G276" s="113" t="s">
        <v>103</v>
      </c>
      <c r="H276" s="113" t="s">
        <v>103</v>
      </c>
      <c r="I276" s="115" t="n">
        <v>120.13</v>
      </c>
      <c r="J276" s="115" t="s">
        <v>80</v>
      </c>
      <c r="K276" s="113" t="s">
        <v>81</v>
      </c>
      <c r="L276" s="115" t="n">
        <v>140.44</v>
      </c>
      <c r="M276" s="115" t="n">
        <v>3.0</v>
      </c>
      <c r="N276" s="115"/>
      <c r="O276" s="115"/>
      <c r="P276" s="115"/>
      <c r="Q276" s="115"/>
      <c r="R276" s="115"/>
      <c r="S276" s="115"/>
      <c r="T276" s="115"/>
      <c r="U276" s="115"/>
      <c r="V276" s="115" t="s">
        <v>82</v>
      </c>
      <c r="W276" s="115" t="s">
        <v>83</v>
      </c>
      <c r="X276" s="113">
        <f>IF(INDIRECT("W276")="Clássico","12%",IF(INDIRECT("W276")="Premium","17%","-"))</f>
      </c>
      <c r="Y276" s="113" t="s">
        <v>627</v>
      </c>
    </row>
    <row r="277" ht="50.0" customHeight="true">
      <c r="A277" s="113" t="s">
        <v>22</v>
      </c>
      <c r="B277" s="113" t="s">
        <v>1083</v>
      </c>
      <c r="C277" s="113" t="s">
        <v>1086</v>
      </c>
      <c r="D277" s="113" t="s">
        <v>1086</v>
      </c>
      <c r="E277" s="114" t="s">
        <v>1087</v>
      </c>
      <c r="F277" s="116">
        <f>"     "&amp;F276</f>
      </c>
      <c r="G277" s="113" t="s">
        <v>690</v>
      </c>
      <c r="H277" s="113" t="s">
        <v>103</v>
      </c>
      <c r="I277" s="113">
        <f>I276</f>
      </c>
      <c r="J277" s="113">
        <f>J276&amp;"     "</f>
      </c>
      <c r="K277" s="113" t="s">
        <v>81</v>
      </c>
      <c r="L277" s="113">
        <f>L276</f>
      </c>
      <c r="M277" s="113">
        <f>M276</f>
      </c>
      <c r="N277" s="113">
        <f>N276</f>
      </c>
      <c r="O277" s="113">
        <f>O276</f>
      </c>
      <c r="P277" s="113">
        <f>P276</f>
      </c>
      <c r="Q277" s="113">
        <f>Q276</f>
      </c>
      <c r="R277" s="113">
        <f>R276</f>
      </c>
      <c r="S277" s="113">
        <f>S276</f>
      </c>
      <c r="T277" s="113">
        <f>T276</f>
      </c>
      <c r="U277" s="113">
        <f>U276</f>
      </c>
      <c r="V277" s="113">
        <f>V276&amp;"     "</f>
      </c>
      <c r="W277" s="113">
        <f>W276&amp;"     "</f>
      </c>
      <c r="X277" s="113">
        <f>X276</f>
      </c>
      <c r="Y277" s="113" t="s">
        <v>627</v>
      </c>
    </row>
    <row r="278" ht="50.0" customHeight="true">
      <c r="A278" s="113" t="s">
        <v>22</v>
      </c>
      <c r="B278" s="113" t="s">
        <v>1083</v>
      </c>
      <c r="C278" s="113" t="s">
        <v>1088</v>
      </c>
      <c r="D278" s="113" t="s">
        <v>1088</v>
      </c>
      <c r="E278" s="114" t="s">
        <v>1089</v>
      </c>
      <c r="F278" s="116">
        <f>"     "&amp;F276</f>
      </c>
      <c r="G278" s="113" t="s">
        <v>687</v>
      </c>
      <c r="H278" s="113" t="s">
        <v>103</v>
      </c>
      <c r="I278" s="113">
        <f>I276</f>
      </c>
      <c r="J278" s="113">
        <f>J276&amp;"     "</f>
      </c>
      <c r="K278" s="113" t="s">
        <v>81</v>
      </c>
      <c r="L278" s="113">
        <f>L276</f>
      </c>
      <c r="M278" s="113">
        <f>M276</f>
      </c>
      <c r="N278" s="113">
        <f>N276</f>
      </c>
      <c r="O278" s="113">
        <f>O276</f>
      </c>
      <c r="P278" s="113">
        <f>P276</f>
      </c>
      <c r="Q278" s="113">
        <f>Q276</f>
      </c>
      <c r="R278" s="113">
        <f>R276</f>
      </c>
      <c r="S278" s="113">
        <f>S276</f>
      </c>
      <c r="T278" s="113">
        <f>T276</f>
      </c>
      <c r="U278" s="113">
        <f>U276</f>
      </c>
      <c r="V278" s="113">
        <f>V276&amp;"     "</f>
      </c>
      <c r="W278" s="113">
        <f>W276&amp;"     "</f>
      </c>
      <c r="X278" s="113">
        <f>X276</f>
      </c>
      <c r="Y278" s="113" t="s">
        <v>627</v>
      </c>
    </row>
    <row r="279" ht="50.0" customHeight="true">
      <c r="A279" s="113" t="s">
        <v>22</v>
      </c>
      <c r="B279" s="113" t="s">
        <v>1090</v>
      </c>
      <c r="C279" s="113"/>
      <c r="D279" s="113"/>
      <c r="E279" s="113" t="s">
        <v>22</v>
      </c>
      <c r="F279" s="113" t="s">
        <v>449</v>
      </c>
      <c r="G279" s="113" t="s">
        <v>103</v>
      </c>
      <c r="H279" s="113" t="s">
        <v>103</v>
      </c>
      <c r="I279" s="115" t="n">
        <v>236.59</v>
      </c>
      <c r="J279" s="115" t="s">
        <v>80</v>
      </c>
      <c r="K279" s="113" t="s">
        <v>81</v>
      </c>
      <c r="L279" s="115" t="n">
        <v>244.05</v>
      </c>
      <c r="M279" s="115" t="n">
        <v>3.0</v>
      </c>
      <c r="N279" s="115"/>
      <c r="O279" s="115"/>
      <c r="P279" s="115"/>
      <c r="Q279" s="115"/>
      <c r="R279" s="115"/>
      <c r="S279" s="115"/>
      <c r="T279" s="115"/>
      <c r="U279" s="115"/>
      <c r="V279" s="115" t="s">
        <v>82</v>
      </c>
      <c r="W279" s="115" t="s">
        <v>92</v>
      </c>
      <c r="X279" s="113">
        <f>IF(INDIRECT("W279")="Clássico","12%",IF(INDIRECT("W279")="Premium","17%","-"))</f>
      </c>
      <c r="Y279" s="113" t="s">
        <v>450</v>
      </c>
    </row>
    <row r="280" ht="50.0" customHeight="true">
      <c r="A280" s="113" t="s">
        <v>22</v>
      </c>
      <c r="B280" s="113" t="s">
        <v>1090</v>
      </c>
      <c r="C280" s="113" t="s">
        <v>1091</v>
      </c>
      <c r="D280" s="113" t="s">
        <v>1091</v>
      </c>
      <c r="E280" s="114" t="s">
        <v>452</v>
      </c>
      <c r="F280" s="116">
        <f>"     "&amp;F279</f>
      </c>
      <c r="G280" s="113" t="s">
        <v>453</v>
      </c>
      <c r="H280" s="113" t="s">
        <v>103</v>
      </c>
      <c r="I280" s="113">
        <f>I279</f>
      </c>
      <c r="J280" s="113">
        <f>J279&amp;"     "</f>
      </c>
      <c r="K280" s="113" t="s">
        <v>81</v>
      </c>
      <c r="L280" s="113">
        <f>L279</f>
      </c>
      <c r="M280" s="113">
        <f>M279</f>
      </c>
      <c r="N280" s="113">
        <f>N279</f>
      </c>
      <c r="O280" s="113">
        <f>O279</f>
      </c>
      <c r="P280" s="113">
        <f>P279</f>
      </c>
      <c r="Q280" s="113">
        <f>Q279</f>
      </c>
      <c r="R280" s="113">
        <f>R279</f>
      </c>
      <c r="S280" s="113">
        <f>S279</f>
      </c>
      <c r="T280" s="113">
        <f>T279</f>
      </c>
      <c r="U280" s="113">
        <f>U279</f>
      </c>
      <c r="V280" s="113">
        <f>V279&amp;"     "</f>
      </c>
      <c r="W280" s="113">
        <f>W279&amp;"     "</f>
      </c>
      <c r="X280" s="113">
        <f>X279</f>
      </c>
      <c r="Y280" s="113" t="s">
        <v>450</v>
      </c>
    </row>
    <row r="281" ht="50.0" customHeight="true">
      <c r="A281" s="113" t="s">
        <v>22</v>
      </c>
      <c r="B281" s="113" t="s">
        <v>1090</v>
      </c>
      <c r="C281" s="113" t="s">
        <v>1092</v>
      </c>
      <c r="D281" s="113" t="s">
        <v>1092</v>
      </c>
      <c r="E281" s="114" t="s">
        <v>455</v>
      </c>
      <c r="F281" s="116">
        <f>"     "&amp;F279</f>
      </c>
      <c r="G281" s="113" t="s">
        <v>456</v>
      </c>
      <c r="H281" s="113" t="s">
        <v>103</v>
      </c>
      <c r="I281" s="113">
        <f>I279</f>
      </c>
      <c r="J281" s="113">
        <f>J279&amp;"     "</f>
      </c>
      <c r="K281" s="113" t="s">
        <v>81</v>
      </c>
      <c r="L281" s="113">
        <f>L279</f>
      </c>
      <c r="M281" s="113">
        <f>M279</f>
      </c>
      <c r="N281" s="113">
        <f>N279</f>
      </c>
      <c r="O281" s="113">
        <f>O279</f>
      </c>
      <c r="P281" s="113">
        <f>P279</f>
      </c>
      <c r="Q281" s="113">
        <f>Q279</f>
      </c>
      <c r="R281" s="113">
        <f>R279</f>
      </c>
      <c r="S281" s="113">
        <f>S279</f>
      </c>
      <c r="T281" s="113">
        <f>T279</f>
      </c>
      <c r="U281" s="113">
        <f>U279</f>
      </c>
      <c r="V281" s="113">
        <f>V279&amp;"     "</f>
      </c>
      <c r="W281" s="113">
        <f>W279&amp;"     "</f>
      </c>
      <c r="X281" s="113">
        <f>X279</f>
      </c>
      <c r="Y281" s="113" t="s">
        <v>450</v>
      </c>
    </row>
    <row r="282" ht="50.0" customHeight="true">
      <c r="A282" s="113" t="s">
        <v>1093</v>
      </c>
      <c r="B282" s="113" t="s">
        <v>1094</v>
      </c>
      <c r="C282" s="113" t="s">
        <v>1095</v>
      </c>
      <c r="D282" s="113"/>
      <c r="E282" s="114" t="s">
        <v>1096</v>
      </c>
      <c r="F282" s="113" t="s">
        <v>1097</v>
      </c>
      <c r="G282" s="113" t="s">
        <v>1097</v>
      </c>
      <c r="H282" s="113" t="s">
        <v>103</v>
      </c>
      <c r="I282" s="115" t="n">
        <v>75.82</v>
      </c>
      <c r="J282" s="115" t="s">
        <v>80</v>
      </c>
      <c r="K282" s="115" t="s">
        <v>81</v>
      </c>
      <c r="L282" s="115" t="n">
        <v>70.82</v>
      </c>
      <c r="M282" s="115" t="n">
        <v>3.0</v>
      </c>
      <c r="N282" s="115"/>
      <c r="O282" s="115"/>
      <c r="P282" s="115"/>
      <c r="Q282" s="115"/>
      <c r="R282" s="115"/>
      <c r="S282" s="115"/>
      <c r="T282" s="115"/>
      <c r="U282" s="115"/>
      <c r="V282" s="115" t="s">
        <v>91</v>
      </c>
      <c r="W282" s="115" t="s">
        <v>92</v>
      </c>
      <c r="X282" s="113">
        <f>IF(INDIRECT("W282")="Clássico","12%",IF(INDIRECT("W282")="Premium","17%","-"))</f>
      </c>
      <c r="Y282" s="113" t="s">
        <v>1098</v>
      </c>
    </row>
    <row r="283" ht="50.0" customHeight="true">
      <c r="A283" s="113" t="s">
        <v>1099</v>
      </c>
      <c r="B283" s="113" t="s">
        <v>1100</v>
      </c>
      <c r="C283" s="113" t="s">
        <v>1101</v>
      </c>
      <c r="D283" s="113"/>
      <c r="E283" s="114" t="s">
        <v>966</v>
      </c>
      <c r="F283" s="113" t="s">
        <v>1102</v>
      </c>
      <c r="G283" s="113" t="s">
        <v>1102</v>
      </c>
      <c r="H283" s="113" t="s">
        <v>103</v>
      </c>
      <c r="I283" s="115" t="n">
        <v>223.93</v>
      </c>
      <c r="J283" s="115" t="s">
        <v>80</v>
      </c>
      <c r="K283" s="115" t="s">
        <v>81</v>
      </c>
      <c r="L283" s="115" t="n">
        <v>218.07</v>
      </c>
      <c r="M283" s="115" t="n">
        <v>3.0</v>
      </c>
      <c r="N283" s="115"/>
      <c r="O283" s="115"/>
      <c r="P283" s="115"/>
      <c r="Q283" s="115"/>
      <c r="R283" s="115"/>
      <c r="S283" s="115"/>
      <c r="T283" s="115"/>
      <c r="U283" s="115"/>
      <c r="V283" s="115" t="s">
        <v>82</v>
      </c>
      <c r="W283" s="115" t="s">
        <v>83</v>
      </c>
      <c r="X283" s="113">
        <f>IF(INDIRECT("W283")="Clássico","12%",IF(INDIRECT("W283")="Premium","17%","-"))</f>
      </c>
      <c r="Y283" s="113" t="s">
        <v>200</v>
      </c>
    </row>
    <row r="284" ht="50.0" customHeight="true">
      <c r="A284" s="113" t="s">
        <v>22</v>
      </c>
      <c r="B284" s="113" t="s">
        <v>1103</v>
      </c>
      <c r="C284" s="113"/>
      <c r="D284" s="113"/>
      <c r="E284" s="113" t="s">
        <v>22</v>
      </c>
      <c r="F284" s="113" t="s">
        <v>1104</v>
      </c>
      <c r="G284" s="113" t="s">
        <v>103</v>
      </c>
      <c r="H284" s="113" t="s">
        <v>132</v>
      </c>
      <c r="I284" s="115" t="n">
        <v>36.58</v>
      </c>
      <c r="J284" s="115" t="s">
        <v>80</v>
      </c>
      <c r="K284" s="113" t="s">
        <v>81</v>
      </c>
      <c r="L284" s="115" t="n">
        <v>30.32</v>
      </c>
      <c r="M284" s="115" t="n">
        <v>3.0</v>
      </c>
      <c r="N284" s="115"/>
      <c r="O284" s="115"/>
      <c r="P284" s="115"/>
      <c r="Q284" s="115"/>
      <c r="R284" s="115"/>
      <c r="S284" s="115"/>
      <c r="T284" s="115"/>
      <c r="U284" s="115"/>
      <c r="V284" s="115" t="s">
        <v>91</v>
      </c>
      <c r="W284" s="115" t="s">
        <v>92</v>
      </c>
      <c r="X284" s="113">
        <f>IF(INDIRECT("W284")="Clássico","12%",IF(INDIRECT("W284")="Premium","17%","-"))</f>
      </c>
      <c r="Y284" s="113" t="s">
        <v>1105</v>
      </c>
    </row>
    <row r="285" ht="50.0" customHeight="true">
      <c r="A285" s="113" t="s">
        <v>22</v>
      </c>
      <c r="B285" s="113" t="s">
        <v>1103</v>
      </c>
      <c r="C285" s="113" t="s">
        <v>1106</v>
      </c>
      <c r="D285" s="113" t="s">
        <v>1106</v>
      </c>
      <c r="E285" s="114" t="s">
        <v>1107</v>
      </c>
      <c r="F285" s="116">
        <f>"     "&amp;F284</f>
      </c>
      <c r="G285" s="113" t="s">
        <v>1108</v>
      </c>
      <c r="H285" s="113" t="s">
        <v>103</v>
      </c>
      <c r="I285" s="113">
        <f>I284</f>
      </c>
      <c r="J285" s="113">
        <f>J284&amp;"     "</f>
      </c>
      <c r="K285" s="113" t="s">
        <v>81</v>
      </c>
      <c r="L285" s="113">
        <f>L284</f>
      </c>
      <c r="M285" s="113">
        <f>M284</f>
      </c>
      <c r="N285" s="113">
        <f>N284</f>
      </c>
      <c r="O285" s="113">
        <f>O284</f>
      </c>
      <c r="P285" s="113">
        <f>P284</f>
      </c>
      <c r="Q285" s="113">
        <f>Q284</f>
      </c>
      <c r="R285" s="113">
        <f>R284</f>
      </c>
      <c r="S285" s="113">
        <f>S284</f>
      </c>
      <c r="T285" s="113">
        <f>T284</f>
      </c>
      <c r="U285" s="113">
        <f>U284</f>
      </c>
      <c r="V285" s="113">
        <f>V284&amp;"     "</f>
      </c>
      <c r="W285" s="113">
        <f>W284&amp;"     "</f>
      </c>
      <c r="X285" s="113">
        <f>X284</f>
      </c>
      <c r="Y285" s="113" t="s">
        <v>1105</v>
      </c>
    </row>
    <row r="286" ht="50.0" customHeight="true">
      <c r="A286" s="113" t="s">
        <v>22</v>
      </c>
      <c r="B286" s="113" t="s">
        <v>1103</v>
      </c>
      <c r="C286" s="113" t="s">
        <v>1109</v>
      </c>
      <c r="D286" s="113" t="s">
        <v>1109</v>
      </c>
      <c r="E286" s="114" t="s">
        <v>1110</v>
      </c>
      <c r="F286" s="116">
        <f>"     "&amp;F284</f>
      </c>
      <c r="G286" s="113" t="s">
        <v>1111</v>
      </c>
      <c r="H286" s="113" t="s">
        <v>103</v>
      </c>
      <c r="I286" s="113">
        <f>I284</f>
      </c>
      <c r="J286" s="113">
        <f>J284&amp;"     "</f>
      </c>
      <c r="K286" s="113" t="s">
        <v>81</v>
      </c>
      <c r="L286" s="113">
        <f>L284</f>
      </c>
      <c r="M286" s="113">
        <f>M284</f>
      </c>
      <c r="N286" s="113">
        <f>N284</f>
      </c>
      <c r="O286" s="113">
        <f>O284</f>
      </c>
      <c r="P286" s="113">
        <f>P284</f>
      </c>
      <c r="Q286" s="113">
        <f>Q284</f>
      </c>
      <c r="R286" s="113">
        <f>R284</f>
      </c>
      <c r="S286" s="113">
        <f>S284</f>
      </c>
      <c r="T286" s="113">
        <f>T284</f>
      </c>
      <c r="U286" s="113">
        <f>U284</f>
      </c>
      <c r="V286" s="113">
        <f>V284&amp;"     "</f>
      </c>
      <c r="W286" s="113">
        <f>W284&amp;"     "</f>
      </c>
      <c r="X286" s="113">
        <f>X284</f>
      </c>
      <c r="Y286" s="113" t="s">
        <v>1105</v>
      </c>
    </row>
    <row r="287" ht="50.0" customHeight="true">
      <c r="A287" s="113" t="s">
        <v>22</v>
      </c>
      <c r="B287" s="113" t="s">
        <v>1103</v>
      </c>
      <c r="C287" s="113" t="s">
        <v>1112</v>
      </c>
      <c r="D287" s="113" t="s">
        <v>1112</v>
      </c>
      <c r="E287" s="114" t="s">
        <v>1113</v>
      </c>
      <c r="F287" s="116">
        <f>"     "&amp;F284</f>
      </c>
      <c r="G287" s="113" t="s">
        <v>1114</v>
      </c>
      <c r="H287" s="113" t="s">
        <v>132</v>
      </c>
      <c r="I287" s="113">
        <f>I284</f>
      </c>
      <c r="J287" s="113">
        <f>J284&amp;"     "</f>
      </c>
      <c r="K287" s="113" t="s">
        <v>81</v>
      </c>
      <c r="L287" s="113">
        <f>L284</f>
      </c>
      <c r="M287" s="113">
        <f>M284</f>
      </c>
      <c r="N287" s="113">
        <f>N284</f>
      </c>
      <c r="O287" s="113">
        <f>O284</f>
      </c>
      <c r="P287" s="113">
        <f>P284</f>
      </c>
      <c r="Q287" s="113">
        <f>Q284</f>
      </c>
      <c r="R287" s="113">
        <f>R284</f>
      </c>
      <c r="S287" s="113">
        <f>S284</f>
      </c>
      <c r="T287" s="113">
        <f>T284</f>
      </c>
      <c r="U287" s="113">
        <f>U284</f>
      </c>
      <c r="V287" s="113">
        <f>V284&amp;"     "</f>
      </c>
      <c r="W287" s="113">
        <f>W284&amp;"     "</f>
      </c>
      <c r="X287" s="113">
        <f>X284</f>
      </c>
      <c r="Y287" s="113" t="s">
        <v>1105</v>
      </c>
    </row>
    <row r="288" ht="50.0" customHeight="true">
      <c r="A288" s="113" t="s">
        <v>22</v>
      </c>
      <c r="B288" s="113" t="s">
        <v>1103</v>
      </c>
      <c r="C288" s="113" t="s">
        <v>1115</v>
      </c>
      <c r="D288" s="113" t="s">
        <v>1115</v>
      </c>
      <c r="E288" s="114" t="s">
        <v>1116</v>
      </c>
      <c r="F288" s="116">
        <f>"     "&amp;F284</f>
      </c>
      <c r="G288" s="113" t="s">
        <v>1117</v>
      </c>
      <c r="H288" s="113" t="s">
        <v>103</v>
      </c>
      <c r="I288" s="113">
        <f>I284</f>
      </c>
      <c r="J288" s="113">
        <f>J284&amp;"     "</f>
      </c>
      <c r="K288" s="113" t="s">
        <v>81</v>
      </c>
      <c r="L288" s="113">
        <f>L284</f>
      </c>
      <c r="M288" s="113">
        <f>M284</f>
      </c>
      <c r="N288" s="113">
        <f>N284</f>
      </c>
      <c r="O288" s="113">
        <f>O284</f>
      </c>
      <c r="P288" s="113">
        <f>P284</f>
      </c>
      <c r="Q288" s="113">
        <f>Q284</f>
      </c>
      <c r="R288" s="113">
        <f>R284</f>
      </c>
      <c r="S288" s="113">
        <f>S284</f>
      </c>
      <c r="T288" s="113">
        <f>T284</f>
      </c>
      <c r="U288" s="113">
        <f>U284</f>
      </c>
      <c r="V288" s="113">
        <f>V284&amp;"     "</f>
      </c>
      <c r="W288" s="113">
        <f>W284&amp;"     "</f>
      </c>
      <c r="X288" s="113">
        <f>X284</f>
      </c>
      <c r="Y288" s="113" t="s">
        <v>1105</v>
      </c>
    </row>
    <row r="289" ht="50.0" customHeight="true">
      <c r="A289" s="113" t="s">
        <v>1118</v>
      </c>
      <c r="B289" s="113" t="s">
        <v>1119</v>
      </c>
      <c r="C289" s="113" t="s">
        <v>1120</v>
      </c>
      <c r="D289" s="113"/>
      <c r="E289" s="114" t="s">
        <v>651</v>
      </c>
      <c r="F289" s="113" t="s">
        <v>1121</v>
      </c>
      <c r="G289" s="113" t="s">
        <v>1121</v>
      </c>
      <c r="H289" s="113" t="s">
        <v>99</v>
      </c>
      <c r="I289" s="115" t="n">
        <v>170.76</v>
      </c>
      <c r="J289" s="115" t="s">
        <v>80</v>
      </c>
      <c r="K289" s="115" t="s">
        <v>81</v>
      </c>
      <c r="L289" s="115" t="n">
        <v>165.76</v>
      </c>
      <c r="M289" s="115" t="n">
        <v>3.0</v>
      </c>
      <c r="N289" s="115"/>
      <c r="O289" s="115"/>
      <c r="P289" s="115"/>
      <c r="Q289" s="115"/>
      <c r="R289" s="115"/>
      <c r="S289" s="115"/>
      <c r="T289" s="115"/>
      <c r="U289" s="115"/>
      <c r="V289" s="115" t="s">
        <v>82</v>
      </c>
      <c r="W289" s="115" t="s">
        <v>83</v>
      </c>
      <c r="X289" s="113">
        <f>IF(INDIRECT("W289")="Clássico","12%",IF(INDIRECT("W289")="Premium","17%","-"))</f>
      </c>
      <c r="Y289" s="113" t="s">
        <v>200</v>
      </c>
    </row>
    <row r="290" ht="50.0" customHeight="true">
      <c r="A290" s="113" t="s">
        <v>1122</v>
      </c>
      <c r="B290" s="113" t="s">
        <v>1123</v>
      </c>
      <c r="C290" s="113" t="s">
        <v>1124</v>
      </c>
      <c r="D290" s="113"/>
      <c r="E290" s="114" t="s">
        <v>1125</v>
      </c>
      <c r="F290" s="113" t="s">
        <v>1126</v>
      </c>
      <c r="G290" s="113" t="s">
        <v>127</v>
      </c>
      <c r="H290" s="113" t="s">
        <v>99</v>
      </c>
      <c r="I290" s="115" t="n">
        <v>250.51</v>
      </c>
      <c r="J290" s="115" t="s">
        <v>80</v>
      </c>
      <c r="K290" s="115" t="s">
        <v>81</v>
      </c>
      <c r="L290" s="115" t="n">
        <v>249.42</v>
      </c>
      <c r="M290" s="115" t="n">
        <v>3.0</v>
      </c>
      <c r="N290" s="115"/>
      <c r="O290" s="115"/>
      <c r="P290" s="115"/>
      <c r="Q290" s="115"/>
      <c r="R290" s="115"/>
      <c r="S290" s="115"/>
      <c r="T290" s="115"/>
      <c r="U290" s="115"/>
      <c r="V290" s="115" t="s">
        <v>82</v>
      </c>
      <c r="W290" s="115" t="s">
        <v>83</v>
      </c>
      <c r="X290" s="113">
        <f>IF(INDIRECT("W290")="Clássico","12%",IF(INDIRECT("W290")="Premium","17%","-"))</f>
      </c>
      <c r="Y290" s="113" t="s">
        <v>22</v>
      </c>
    </row>
    <row r="291" ht="50.0" customHeight="true">
      <c r="A291" s="113" t="s">
        <v>1127</v>
      </c>
      <c r="B291" s="113" t="s">
        <v>1128</v>
      </c>
      <c r="C291" s="113" t="s">
        <v>1129</v>
      </c>
      <c r="D291" s="113"/>
      <c r="E291" s="114" t="s">
        <v>486</v>
      </c>
      <c r="F291" s="113" t="s">
        <v>740</v>
      </c>
      <c r="G291" s="113" t="s">
        <v>740</v>
      </c>
      <c r="H291" s="113" t="s">
        <v>103</v>
      </c>
      <c r="I291" s="115" t="n">
        <v>627.73</v>
      </c>
      <c r="J291" s="115" t="s">
        <v>80</v>
      </c>
      <c r="K291" s="115" t="s">
        <v>81</v>
      </c>
      <c r="L291" s="115" t="n">
        <v>589.82</v>
      </c>
      <c r="M291" s="115" t="n">
        <v>3.0</v>
      </c>
      <c r="N291" s="115"/>
      <c r="O291" s="115"/>
      <c r="P291" s="115"/>
      <c r="Q291" s="115"/>
      <c r="R291" s="115"/>
      <c r="S291" s="115"/>
      <c r="T291" s="115"/>
      <c r="U291" s="115"/>
      <c r="V291" s="115" t="s">
        <v>82</v>
      </c>
      <c r="W291" s="115" t="s">
        <v>92</v>
      </c>
      <c r="X291" s="113">
        <f>IF(INDIRECT("W291")="Clássico","12%",IF(INDIRECT("W291")="Premium","17%","-"))</f>
      </c>
      <c r="Y291" s="113" t="s">
        <v>488</v>
      </c>
    </row>
    <row r="292" ht="50.0" customHeight="true">
      <c r="A292" s="113" t="s">
        <v>1130</v>
      </c>
      <c r="B292" s="113" t="s">
        <v>1131</v>
      </c>
      <c r="C292" s="113" t="s">
        <v>1132</v>
      </c>
      <c r="D292" s="113"/>
      <c r="E292" s="114" t="s">
        <v>1133</v>
      </c>
      <c r="F292" s="113" t="s">
        <v>1134</v>
      </c>
      <c r="G292" s="113" t="s">
        <v>127</v>
      </c>
      <c r="H292" s="113" t="s">
        <v>103</v>
      </c>
      <c r="I292" s="115" t="n">
        <v>131.52</v>
      </c>
      <c r="J292" s="115" t="s">
        <v>80</v>
      </c>
      <c r="K292" s="115" t="s">
        <v>81</v>
      </c>
      <c r="L292" s="115" t="n">
        <v>139.24</v>
      </c>
      <c r="M292" s="115" t="n">
        <v>3.0</v>
      </c>
      <c r="N292" s="115"/>
      <c r="O292" s="115"/>
      <c r="P292" s="115"/>
      <c r="Q292" s="115"/>
      <c r="R292" s="115"/>
      <c r="S292" s="115"/>
      <c r="T292" s="115"/>
      <c r="U292" s="115"/>
      <c r="V292" s="115" t="s">
        <v>82</v>
      </c>
      <c r="W292" s="115" t="s">
        <v>83</v>
      </c>
      <c r="X292" s="113">
        <f>IF(INDIRECT("W292")="Clássico","12%",IF(INDIRECT("W292")="Premium","17%","-"))</f>
      </c>
      <c r="Y292" s="113" t="s">
        <v>128</v>
      </c>
    </row>
    <row r="293" ht="50.0" customHeight="true">
      <c r="A293" s="113" t="s">
        <v>1135</v>
      </c>
      <c r="B293" s="113" t="s">
        <v>1136</v>
      </c>
      <c r="C293" s="113" t="s">
        <v>1137</v>
      </c>
      <c r="D293" s="113"/>
      <c r="E293" s="114" t="s">
        <v>1138</v>
      </c>
      <c r="F293" s="113" t="s">
        <v>1139</v>
      </c>
      <c r="G293" s="113" t="s">
        <v>1140</v>
      </c>
      <c r="H293" s="113" t="s">
        <v>103</v>
      </c>
      <c r="I293" s="115" t="n">
        <v>113.8</v>
      </c>
      <c r="J293" s="115" t="s">
        <v>80</v>
      </c>
      <c r="K293" s="115" t="s">
        <v>81</v>
      </c>
      <c r="L293" s="115" t="n">
        <v>83.99</v>
      </c>
      <c r="M293" s="115" t="n">
        <v>3.0</v>
      </c>
      <c r="N293" s="115"/>
      <c r="O293" s="115"/>
      <c r="P293" s="115"/>
      <c r="Q293" s="115"/>
      <c r="R293" s="115"/>
      <c r="S293" s="115"/>
      <c r="T293" s="115"/>
      <c r="U293" s="115"/>
      <c r="V293" s="115" t="s">
        <v>82</v>
      </c>
      <c r="W293" s="115" t="s">
        <v>92</v>
      </c>
      <c r="X293" s="113">
        <f>IF(INDIRECT("W293")="Clássico","12%",IF(INDIRECT("W293")="Premium","17%","-"))</f>
      </c>
      <c r="Y293" s="113" t="s">
        <v>1048</v>
      </c>
    </row>
    <row r="294" ht="50.0" customHeight="true">
      <c r="A294" s="113" t="s">
        <v>22</v>
      </c>
      <c r="B294" s="113" t="s">
        <v>1141</v>
      </c>
      <c r="C294" s="113"/>
      <c r="D294" s="113"/>
      <c r="E294" s="113" t="s">
        <v>22</v>
      </c>
      <c r="F294" s="113" t="s">
        <v>1142</v>
      </c>
      <c r="G294" s="113" t="s">
        <v>103</v>
      </c>
      <c r="H294" s="113" t="s">
        <v>103</v>
      </c>
      <c r="I294" s="115" t="n">
        <v>92.28</v>
      </c>
      <c r="J294" s="115" t="s">
        <v>80</v>
      </c>
      <c r="K294" s="113" t="s">
        <v>81</v>
      </c>
      <c r="L294" s="115" t="n">
        <v>74.62</v>
      </c>
      <c r="M294" s="115" t="n">
        <v>3.0</v>
      </c>
      <c r="N294" s="115"/>
      <c r="O294" s="115"/>
      <c r="P294" s="115"/>
      <c r="Q294" s="115"/>
      <c r="R294" s="115"/>
      <c r="S294" s="115"/>
      <c r="T294" s="115"/>
      <c r="U294" s="115"/>
      <c r="V294" s="115" t="s">
        <v>91</v>
      </c>
      <c r="W294" s="115" t="s">
        <v>92</v>
      </c>
      <c r="X294" s="113">
        <f>IF(INDIRECT("W294")="Clássico","13%",IF(INDIRECT("W294")="Premium","18%","-"))</f>
      </c>
      <c r="Y294" s="113" t="s">
        <v>1000</v>
      </c>
    </row>
    <row r="295" ht="50.0" customHeight="true">
      <c r="A295" s="113" t="s">
        <v>22</v>
      </c>
      <c r="B295" s="113" t="s">
        <v>1141</v>
      </c>
      <c r="C295" s="113" t="s">
        <v>1143</v>
      </c>
      <c r="D295" s="113" t="s">
        <v>1143</v>
      </c>
      <c r="E295" s="114" t="s">
        <v>1002</v>
      </c>
      <c r="F295" s="116">
        <f>"     "&amp;F294</f>
      </c>
      <c r="G295" s="113" t="s">
        <v>1003</v>
      </c>
      <c r="H295" s="113" t="s">
        <v>103</v>
      </c>
      <c r="I295" s="113">
        <f>I294</f>
      </c>
      <c r="J295" s="113">
        <f>J294&amp;"     "</f>
      </c>
      <c r="K295" s="113" t="s">
        <v>81</v>
      </c>
      <c r="L295" s="113">
        <f>L294</f>
      </c>
      <c r="M295" s="113">
        <f>M294</f>
      </c>
      <c r="N295" s="113">
        <f>N294</f>
      </c>
      <c r="O295" s="113">
        <f>O294</f>
      </c>
      <c r="P295" s="113">
        <f>P294</f>
      </c>
      <c r="Q295" s="113">
        <f>Q294</f>
      </c>
      <c r="R295" s="113">
        <f>R294</f>
      </c>
      <c r="S295" s="113">
        <f>S294</f>
      </c>
      <c r="T295" s="113">
        <f>T294</f>
      </c>
      <c r="U295" s="113">
        <f>U294</f>
      </c>
      <c r="V295" s="113">
        <f>V294&amp;"     "</f>
      </c>
      <c r="W295" s="113">
        <f>W294&amp;"     "</f>
      </c>
      <c r="X295" s="113">
        <f>X294</f>
      </c>
      <c r="Y295" s="113" t="s">
        <v>1000</v>
      </c>
    </row>
    <row r="296" ht="50.0" customHeight="true">
      <c r="A296" s="113" t="s">
        <v>22</v>
      </c>
      <c r="B296" s="113" t="s">
        <v>1141</v>
      </c>
      <c r="C296" s="113" t="s">
        <v>1144</v>
      </c>
      <c r="D296" s="113" t="s">
        <v>1144</v>
      </c>
      <c r="E296" s="114" t="s">
        <v>1005</v>
      </c>
      <c r="F296" s="116">
        <f>"     "&amp;F294</f>
      </c>
      <c r="G296" s="113" t="s">
        <v>1006</v>
      </c>
      <c r="H296" s="113" t="s">
        <v>103</v>
      </c>
      <c r="I296" s="113">
        <f>I294</f>
      </c>
      <c r="J296" s="113">
        <f>J294&amp;"     "</f>
      </c>
      <c r="K296" s="113" t="s">
        <v>81</v>
      </c>
      <c r="L296" s="113">
        <f>L294</f>
      </c>
      <c r="M296" s="113">
        <f>M294</f>
      </c>
      <c r="N296" s="113">
        <f>N294</f>
      </c>
      <c r="O296" s="113">
        <f>O294</f>
      </c>
      <c r="P296" s="113">
        <f>P294</f>
      </c>
      <c r="Q296" s="113">
        <f>Q294</f>
      </c>
      <c r="R296" s="113">
        <f>R294</f>
      </c>
      <c r="S296" s="113">
        <f>S294</f>
      </c>
      <c r="T296" s="113">
        <f>T294</f>
      </c>
      <c r="U296" s="113">
        <f>U294</f>
      </c>
      <c r="V296" s="113">
        <f>V294&amp;"     "</f>
      </c>
      <c r="W296" s="113">
        <f>W294&amp;"     "</f>
      </c>
      <c r="X296" s="113">
        <f>X294</f>
      </c>
      <c r="Y296" s="113" t="s">
        <v>1000</v>
      </c>
    </row>
    <row r="297" ht="50.0" customHeight="true">
      <c r="A297" s="113" t="s">
        <v>22</v>
      </c>
      <c r="B297" s="113" t="s">
        <v>1141</v>
      </c>
      <c r="C297" s="113" t="s">
        <v>1145</v>
      </c>
      <c r="D297" s="113" t="s">
        <v>1145</v>
      </c>
      <c r="E297" s="114" t="s">
        <v>1011</v>
      </c>
      <c r="F297" s="116">
        <f>"     "&amp;F294</f>
      </c>
      <c r="G297" s="113" t="s">
        <v>1080</v>
      </c>
      <c r="H297" s="113" t="s">
        <v>103</v>
      </c>
      <c r="I297" s="113">
        <f>I294</f>
      </c>
      <c r="J297" s="113">
        <f>J294&amp;"     "</f>
      </c>
      <c r="K297" s="113" t="s">
        <v>81</v>
      </c>
      <c r="L297" s="113">
        <f>L294</f>
      </c>
      <c r="M297" s="113">
        <f>M294</f>
      </c>
      <c r="N297" s="113">
        <f>N294</f>
      </c>
      <c r="O297" s="113">
        <f>O294</f>
      </c>
      <c r="P297" s="113">
        <f>P294</f>
      </c>
      <c r="Q297" s="113">
        <f>Q294</f>
      </c>
      <c r="R297" s="113">
        <f>R294</f>
      </c>
      <c r="S297" s="113">
        <f>S294</f>
      </c>
      <c r="T297" s="113">
        <f>T294</f>
      </c>
      <c r="U297" s="113">
        <f>U294</f>
      </c>
      <c r="V297" s="113">
        <f>V294&amp;"     "</f>
      </c>
      <c r="W297" s="113">
        <f>W294&amp;"     "</f>
      </c>
      <c r="X297" s="113">
        <f>X294</f>
      </c>
      <c r="Y297" s="113" t="s">
        <v>1000</v>
      </c>
    </row>
    <row r="298" ht="50.0" customHeight="true">
      <c r="A298" s="113" t="s">
        <v>22</v>
      </c>
      <c r="B298" s="113" t="s">
        <v>1141</v>
      </c>
      <c r="C298" s="113" t="s">
        <v>1146</v>
      </c>
      <c r="D298" s="113" t="s">
        <v>1146</v>
      </c>
      <c r="E298" s="114" t="s">
        <v>1008</v>
      </c>
      <c r="F298" s="116">
        <f>"     "&amp;F294</f>
      </c>
      <c r="G298" s="113" t="s">
        <v>1078</v>
      </c>
      <c r="H298" s="113" t="s">
        <v>103</v>
      </c>
      <c r="I298" s="113">
        <f>I294</f>
      </c>
      <c r="J298" s="113">
        <f>J294&amp;"     "</f>
      </c>
      <c r="K298" s="113" t="s">
        <v>81</v>
      </c>
      <c r="L298" s="113">
        <f>L294</f>
      </c>
      <c r="M298" s="113">
        <f>M294</f>
      </c>
      <c r="N298" s="113">
        <f>N294</f>
      </c>
      <c r="O298" s="113">
        <f>O294</f>
      </c>
      <c r="P298" s="113">
        <f>P294</f>
      </c>
      <c r="Q298" s="113">
        <f>Q294</f>
      </c>
      <c r="R298" s="113">
        <f>R294</f>
      </c>
      <c r="S298" s="113">
        <f>S294</f>
      </c>
      <c r="T298" s="113">
        <f>T294</f>
      </c>
      <c r="U298" s="113">
        <f>U294</f>
      </c>
      <c r="V298" s="113">
        <f>V294&amp;"     "</f>
      </c>
      <c r="W298" s="113">
        <f>W294&amp;"     "</f>
      </c>
      <c r="X298" s="113">
        <f>X294</f>
      </c>
      <c r="Y298" s="113" t="s">
        <v>1000</v>
      </c>
    </row>
    <row r="299" ht="50.0" customHeight="true">
      <c r="A299" s="113" t="s">
        <v>22</v>
      </c>
      <c r="B299" s="113" t="s">
        <v>1147</v>
      </c>
      <c r="C299" s="113"/>
      <c r="D299" s="113"/>
      <c r="E299" s="113" t="s">
        <v>404</v>
      </c>
      <c r="F299" s="113" t="s">
        <v>405</v>
      </c>
      <c r="G299" s="113" t="s">
        <v>103</v>
      </c>
      <c r="H299" s="113" t="s">
        <v>103</v>
      </c>
      <c r="I299" s="115" t="n">
        <v>184.01</v>
      </c>
      <c r="J299" s="115" t="s">
        <v>80</v>
      </c>
      <c r="K299" s="113" t="s">
        <v>81</v>
      </c>
      <c r="L299" s="115" t="n">
        <v>179.01</v>
      </c>
      <c r="M299" s="115" t="n">
        <v>3.0</v>
      </c>
      <c r="N299" s="115"/>
      <c r="O299" s="115"/>
      <c r="P299" s="115"/>
      <c r="Q299" s="115"/>
      <c r="R299" s="115"/>
      <c r="S299" s="115"/>
      <c r="T299" s="115"/>
      <c r="U299" s="115"/>
      <c r="V299" s="115" t="s">
        <v>82</v>
      </c>
      <c r="W299" s="115" t="s">
        <v>92</v>
      </c>
      <c r="X299" s="113">
        <f>IF(INDIRECT("W299")="Clássico","12%",IF(INDIRECT("W299")="Premium","17%","-"))</f>
      </c>
      <c r="Y299" s="113" t="s">
        <v>1148</v>
      </c>
    </row>
    <row r="300" ht="50.0" customHeight="true">
      <c r="A300" s="113" t="s">
        <v>22</v>
      </c>
      <c r="B300" s="113" t="s">
        <v>1147</v>
      </c>
      <c r="C300" s="113" t="s">
        <v>1149</v>
      </c>
      <c r="D300" s="113" t="s">
        <v>1149</v>
      </c>
      <c r="E300" s="114" t="s">
        <v>106</v>
      </c>
      <c r="F300" s="116">
        <f>"     "&amp;F299</f>
      </c>
      <c r="G300" s="113" t="s">
        <v>135</v>
      </c>
      <c r="H300" s="113" t="s">
        <v>103</v>
      </c>
      <c r="I300" s="113">
        <f>I299</f>
      </c>
      <c r="J300" s="113">
        <f>J299&amp;"     "</f>
      </c>
      <c r="K300" s="113" t="s">
        <v>81</v>
      </c>
      <c r="L300" s="113">
        <f>L299</f>
      </c>
      <c r="M300" s="113">
        <f>M299</f>
      </c>
      <c r="N300" s="113">
        <f>N299</f>
      </c>
      <c r="O300" s="113">
        <f>O299</f>
      </c>
      <c r="P300" s="113">
        <f>P299</f>
      </c>
      <c r="Q300" s="113">
        <f>Q299</f>
      </c>
      <c r="R300" s="113">
        <f>R299</f>
      </c>
      <c r="S300" s="113">
        <f>S299</f>
      </c>
      <c r="T300" s="113">
        <f>T299</f>
      </c>
      <c r="U300" s="113">
        <f>U299</f>
      </c>
      <c r="V300" s="113">
        <f>V299&amp;"     "</f>
      </c>
      <c r="W300" s="113">
        <f>W299&amp;"     "</f>
      </c>
      <c r="X300" s="113">
        <f>X299</f>
      </c>
      <c r="Y300" s="113" t="s">
        <v>1148</v>
      </c>
    </row>
    <row r="301" ht="50.0" customHeight="true">
      <c r="A301" s="113" t="s">
        <v>22</v>
      </c>
      <c r="B301" s="113" t="s">
        <v>1147</v>
      </c>
      <c r="C301" s="113" t="s">
        <v>1150</v>
      </c>
      <c r="D301" s="113" t="s">
        <v>1150</v>
      </c>
      <c r="E301" s="114" t="s">
        <v>109</v>
      </c>
      <c r="F301" s="116">
        <f>"     "&amp;F299</f>
      </c>
      <c r="G301" s="113" t="s">
        <v>137</v>
      </c>
      <c r="H301" s="113" t="s">
        <v>103</v>
      </c>
      <c r="I301" s="113">
        <f>I299</f>
      </c>
      <c r="J301" s="113">
        <f>J299&amp;"     "</f>
      </c>
      <c r="K301" s="113" t="s">
        <v>81</v>
      </c>
      <c r="L301" s="113">
        <f>L299</f>
      </c>
      <c r="M301" s="113">
        <f>M299</f>
      </c>
      <c r="N301" s="113">
        <f>N299</f>
      </c>
      <c r="O301" s="113">
        <f>O299</f>
      </c>
      <c r="P301" s="113">
        <f>P299</f>
      </c>
      <c r="Q301" s="113">
        <f>Q299</f>
      </c>
      <c r="R301" s="113">
        <f>R299</f>
      </c>
      <c r="S301" s="113">
        <f>S299</f>
      </c>
      <c r="T301" s="113">
        <f>T299</f>
      </c>
      <c r="U301" s="113">
        <f>U299</f>
      </c>
      <c r="V301" s="113">
        <f>V299&amp;"     "</f>
      </c>
      <c r="W301" s="113">
        <f>W299&amp;"     "</f>
      </c>
      <c r="X301" s="113">
        <f>X299</f>
      </c>
      <c r="Y301" s="113" t="s">
        <v>1148</v>
      </c>
    </row>
    <row r="302" ht="50.0" customHeight="true">
      <c r="A302" s="113" t="s">
        <v>1151</v>
      </c>
      <c r="B302" s="113" t="s">
        <v>1152</v>
      </c>
      <c r="C302" s="113" t="s">
        <v>1153</v>
      </c>
      <c r="D302" s="113"/>
      <c r="E302" s="114" t="s">
        <v>431</v>
      </c>
      <c r="F302" s="113" t="s">
        <v>432</v>
      </c>
      <c r="G302" s="113" t="s">
        <v>493</v>
      </c>
      <c r="H302" s="113" t="s">
        <v>103</v>
      </c>
      <c r="I302" s="115" t="n">
        <v>501.15</v>
      </c>
      <c r="J302" s="115" t="s">
        <v>80</v>
      </c>
      <c r="K302" s="115" t="s">
        <v>81</v>
      </c>
      <c r="L302" s="115" t="n">
        <v>496.15</v>
      </c>
      <c r="M302" s="115" t="n">
        <v>3.0</v>
      </c>
      <c r="N302" s="115"/>
      <c r="O302" s="115"/>
      <c r="P302" s="115"/>
      <c r="Q302" s="115"/>
      <c r="R302" s="115"/>
      <c r="S302" s="115"/>
      <c r="T302" s="115"/>
      <c r="U302" s="115"/>
      <c r="V302" s="115" t="s">
        <v>82</v>
      </c>
      <c r="W302" s="115" t="s">
        <v>83</v>
      </c>
      <c r="X302" s="113">
        <f>IF(INDIRECT("W302")="Clássico","12%",IF(INDIRECT("W302")="Premium","17%","-"))</f>
      </c>
      <c r="Y302" s="113" t="s">
        <v>1154</v>
      </c>
    </row>
    <row r="303" ht="50.0" customHeight="true">
      <c r="A303" s="113" t="s">
        <v>1155</v>
      </c>
      <c r="B303" s="113" t="s">
        <v>1156</v>
      </c>
      <c r="C303" s="113" t="s">
        <v>1157</v>
      </c>
      <c r="D303" s="113"/>
      <c r="E303" s="114" t="s">
        <v>1158</v>
      </c>
      <c r="F303" s="113" t="s">
        <v>1159</v>
      </c>
      <c r="G303" s="113" t="s">
        <v>1159</v>
      </c>
      <c r="H303" s="113" t="s">
        <v>103</v>
      </c>
      <c r="I303" s="115" t="n">
        <v>70.76</v>
      </c>
      <c r="J303" s="115" t="s">
        <v>80</v>
      </c>
      <c r="K303" s="115" t="s">
        <v>81</v>
      </c>
      <c r="L303" s="115" t="n">
        <v>91.2</v>
      </c>
      <c r="M303" s="115" t="n">
        <v>3.0</v>
      </c>
      <c r="N303" s="115"/>
      <c r="O303" s="115"/>
      <c r="P303" s="115"/>
      <c r="Q303" s="115"/>
      <c r="R303" s="115"/>
      <c r="S303" s="115"/>
      <c r="T303" s="115"/>
      <c r="U303" s="115"/>
      <c r="V303" s="115" t="s">
        <v>91</v>
      </c>
      <c r="W303" s="115" t="s">
        <v>83</v>
      </c>
      <c r="X303" s="113">
        <f>IF(INDIRECT("W303")="Clássico","12%",IF(INDIRECT("W303")="Premium","17%","-"))</f>
      </c>
      <c r="Y303" s="113" t="s">
        <v>1160</v>
      </c>
    </row>
    <row r="304" ht="50.0" customHeight="true">
      <c r="A304" s="113" t="s">
        <v>1161</v>
      </c>
      <c r="B304" s="113" t="s">
        <v>1162</v>
      </c>
      <c r="C304" s="113" t="s">
        <v>1163</v>
      </c>
      <c r="D304" s="113"/>
      <c r="E304" s="114" t="s">
        <v>1164</v>
      </c>
      <c r="F304" s="113" t="s">
        <v>1165</v>
      </c>
      <c r="G304" s="113" t="s">
        <v>1165</v>
      </c>
      <c r="H304" s="113" t="s">
        <v>99</v>
      </c>
      <c r="I304" s="115" t="n">
        <v>168.23</v>
      </c>
      <c r="J304" s="115" t="s">
        <v>80</v>
      </c>
      <c r="K304" s="115" t="s">
        <v>81</v>
      </c>
      <c r="L304" s="115" t="n">
        <v>167.96</v>
      </c>
      <c r="M304" s="115" t="n">
        <v>3.0</v>
      </c>
      <c r="N304" s="115"/>
      <c r="O304" s="115"/>
      <c r="P304" s="115"/>
      <c r="Q304" s="115"/>
      <c r="R304" s="115"/>
      <c r="S304" s="115"/>
      <c r="T304" s="115"/>
      <c r="U304" s="115"/>
      <c r="V304" s="115" t="s">
        <v>82</v>
      </c>
      <c r="W304" s="115" t="s">
        <v>83</v>
      </c>
      <c r="X304" s="113">
        <f>IF(INDIRECT("W304")="Clássico","12%",IF(INDIRECT("W304")="Premium","17%","-"))</f>
      </c>
      <c r="Y304" s="113" t="s">
        <v>221</v>
      </c>
    </row>
    <row r="305" ht="50.0" customHeight="true">
      <c r="A305" s="113" t="s">
        <v>22</v>
      </c>
      <c r="B305" s="113" t="s">
        <v>1166</v>
      </c>
      <c r="C305" s="113"/>
      <c r="D305" s="113"/>
      <c r="E305" s="113" t="s">
        <v>22</v>
      </c>
      <c r="F305" s="113" t="s">
        <v>1167</v>
      </c>
      <c r="G305" s="113" t="s">
        <v>103</v>
      </c>
      <c r="H305" s="113" t="s">
        <v>103</v>
      </c>
      <c r="I305" s="115" t="n">
        <v>312.54</v>
      </c>
      <c r="J305" s="115" t="s">
        <v>80</v>
      </c>
      <c r="K305" s="113" t="s">
        <v>81</v>
      </c>
      <c r="L305" s="115" t="n">
        <v>307.54</v>
      </c>
      <c r="M305" s="115" t="n">
        <v>3.0</v>
      </c>
      <c r="N305" s="115"/>
      <c r="O305" s="115"/>
      <c r="P305" s="115"/>
      <c r="Q305" s="115"/>
      <c r="R305" s="115"/>
      <c r="S305" s="115"/>
      <c r="T305" s="115"/>
      <c r="U305" s="115"/>
      <c r="V305" s="115" t="s">
        <v>82</v>
      </c>
      <c r="W305" s="115" t="s">
        <v>83</v>
      </c>
      <c r="X305" s="113">
        <f>IF(INDIRECT("W305")="Clássico","12%",IF(INDIRECT("W305")="Premium","17%","-"))</f>
      </c>
      <c r="Y305" s="113" t="s">
        <v>22</v>
      </c>
    </row>
    <row r="306" ht="50.0" customHeight="true">
      <c r="A306" s="113" t="s">
        <v>22</v>
      </c>
      <c r="B306" s="113" t="s">
        <v>1166</v>
      </c>
      <c r="C306" s="113" t="s">
        <v>1168</v>
      </c>
      <c r="D306" s="113" t="s">
        <v>1168</v>
      </c>
      <c r="E306" s="114" t="s">
        <v>464</v>
      </c>
      <c r="F306" s="116">
        <f>"     "&amp;F305</f>
      </c>
      <c r="G306" s="113" t="s">
        <v>127</v>
      </c>
      <c r="H306" s="113" t="s">
        <v>103</v>
      </c>
      <c r="I306" s="113">
        <f>I305</f>
      </c>
      <c r="J306" s="113">
        <f>J305&amp;"     "</f>
      </c>
      <c r="K306" s="113" t="s">
        <v>81</v>
      </c>
      <c r="L306" s="113">
        <f>L305</f>
      </c>
      <c r="M306" s="113">
        <f>M305</f>
      </c>
      <c r="N306" s="113">
        <f>N305</f>
      </c>
      <c r="O306" s="113">
        <f>O305</f>
      </c>
      <c r="P306" s="113">
        <f>P305</f>
      </c>
      <c r="Q306" s="113">
        <f>Q305</f>
      </c>
      <c r="R306" s="113">
        <f>R305</f>
      </c>
      <c r="S306" s="113">
        <f>S305</f>
      </c>
      <c r="T306" s="113">
        <f>T305</f>
      </c>
      <c r="U306" s="113">
        <f>U305</f>
      </c>
      <c r="V306" s="113">
        <f>V305&amp;"     "</f>
      </c>
      <c r="W306" s="113">
        <f>W305&amp;"     "</f>
      </c>
      <c r="X306" s="113">
        <f>X305</f>
      </c>
      <c r="Y306" s="113" t="s">
        <v>22</v>
      </c>
    </row>
    <row r="307" ht="50.0" customHeight="true">
      <c r="A307" s="113" t="s">
        <v>22</v>
      </c>
      <c r="B307" s="113" t="s">
        <v>1166</v>
      </c>
      <c r="C307" s="113" t="s">
        <v>1169</v>
      </c>
      <c r="D307" s="113" t="s">
        <v>1169</v>
      </c>
      <c r="E307" s="114" t="s">
        <v>466</v>
      </c>
      <c r="F307" s="116">
        <f>"     "&amp;F305</f>
      </c>
      <c r="G307" s="113" t="s">
        <v>467</v>
      </c>
      <c r="H307" s="113" t="s">
        <v>103</v>
      </c>
      <c r="I307" s="113">
        <f>I305</f>
      </c>
      <c r="J307" s="113">
        <f>J305&amp;"     "</f>
      </c>
      <c r="K307" s="113" t="s">
        <v>81</v>
      </c>
      <c r="L307" s="113">
        <f>L305</f>
      </c>
      <c r="M307" s="113">
        <f>M305</f>
      </c>
      <c r="N307" s="113">
        <f>N305</f>
      </c>
      <c r="O307" s="113">
        <f>O305</f>
      </c>
      <c r="P307" s="113">
        <f>P305</f>
      </c>
      <c r="Q307" s="113">
        <f>Q305</f>
      </c>
      <c r="R307" s="113">
        <f>R305</f>
      </c>
      <c r="S307" s="113">
        <f>S305</f>
      </c>
      <c r="T307" s="113">
        <f>T305</f>
      </c>
      <c r="U307" s="113">
        <f>U305</f>
      </c>
      <c r="V307" s="113">
        <f>V305&amp;"     "</f>
      </c>
      <c r="W307" s="113">
        <f>W305&amp;"     "</f>
      </c>
      <c r="X307" s="113">
        <f>X305</f>
      </c>
      <c r="Y307" s="113" t="s">
        <v>22</v>
      </c>
    </row>
    <row r="308" ht="50.0" customHeight="true">
      <c r="A308" s="113" t="s">
        <v>1170</v>
      </c>
      <c r="B308" s="113" t="s">
        <v>1171</v>
      </c>
      <c r="C308" s="113" t="s">
        <v>1172</v>
      </c>
      <c r="D308" s="113"/>
      <c r="E308" s="114" t="s">
        <v>1173</v>
      </c>
      <c r="F308" s="113" t="s">
        <v>1174</v>
      </c>
      <c r="G308" s="113" t="s">
        <v>1174</v>
      </c>
      <c r="H308" s="113" t="s">
        <v>103</v>
      </c>
      <c r="I308" s="115" t="n">
        <v>237.34</v>
      </c>
      <c r="J308" s="115" t="s">
        <v>80</v>
      </c>
      <c r="K308" s="115" t="s">
        <v>81</v>
      </c>
      <c r="L308" s="115" t="n">
        <v>230.32</v>
      </c>
      <c r="M308" s="115" t="n">
        <v>3.0</v>
      </c>
      <c r="N308" s="115"/>
      <c r="O308" s="115"/>
      <c r="P308" s="115"/>
      <c r="Q308" s="115"/>
      <c r="R308" s="115"/>
      <c r="S308" s="115"/>
      <c r="T308" s="115"/>
      <c r="U308" s="115"/>
      <c r="V308" s="115" t="s">
        <v>82</v>
      </c>
      <c r="W308" s="115" t="s">
        <v>92</v>
      </c>
      <c r="X308" s="113">
        <f>IF(INDIRECT("W308")="Clássico","12%",IF(INDIRECT("W308")="Premium","17%","-"))</f>
      </c>
      <c r="Y308" s="113" t="s">
        <v>482</v>
      </c>
    </row>
    <row r="309" ht="50.0" customHeight="true">
      <c r="A309" s="113" t="s">
        <v>1175</v>
      </c>
      <c r="B309" s="113" t="s">
        <v>1176</v>
      </c>
      <c r="C309" s="113" t="s">
        <v>1177</v>
      </c>
      <c r="D309" s="113"/>
      <c r="E309" s="114" t="s">
        <v>1178</v>
      </c>
      <c r="F309" s="113" t="s">
        <v>1179</v>
      </c>
      <c r="G309" s="113" t="s">
        <v>1179</v>
      </c>
      <c r="H309" s="113" t="s">
        <v>228</v>
      </c>
      <c r="I309" s="113" t="s">
        <v>22</v>
      </c>
      <c r="J309" s="115" t="s">
        <v>80</v>
      </c>
      <c r="K309" s="115" t="s">
        <v>81</v>
      </c>
      <c r="L309" s="115" t="n">
        <v>1460.83</v>
      </c>
      <c r="M309" s="115" t="n">
        <v>3.0</v>
      </c>
      <c r="N309" s="115"/>
      <c r="O309" s="115"/>
      <c r="P309" s="115"/>
      <c r="Q309" s="115"/>
      <c r="R309" s="115"/>
      <c r="S309" s="115"/>
      <c r="T309" s="115"/>
      <c r="U309" s="115"/>
      <c r="V309" s="115" t="s">
        <v>82</v>
      </c>
      <c r="W309" s="115" t="s">
        <v>92</v>
      </c>
      <c r="X309" s="113">
        <f>IF(INDIRECT("W309")="Clássico","12%",IF(INDIRECT("W309")="Premium","17%","-"))</f>
      </c>
      <c r="Y309" s="113" t="s">
        <v>1180</v>
      </c>
    </row>
    <row r="310" ht="50.0" customHeight="true">
      <c r="A310" s="113" t="s">
        <v>1181</v>
      </c>
      <c r="B310" s="113" t="s">
        <v>1182</v>
      </c>
      <c r="C310" s="113" t="s">
        <v>1183</v>
      </c>
      <c r="D310" s="113"/>
      <c r="E310" s="114" t="s">
        <v>1178</v>
      </c>
      <c r="F310" s="113" t="s">
        <v>1184</v>
      </c>
      <c r="G310" s="113" t="s">
        <v>1184</v>
      </c>
      <c r="H310" s="113" t="s">
        <v>103</v>
      </c>
      <c r="I310" s="115" t="n">
        <v>1560.65</v>
      </c>
      <c r="J310" s="115" t="s">
        <v>80</v>
      </c>
      <c r="K310" s="115" t="s">
        <v>81</v>
      </c>
      <c r="L310" s="115" t="n">
        <v>1659.55</v>
      </c>
      <c r="M310" s="115" t="n">
        <v>3.0</v>
      </c>
      <c r="N310" s="115"/>
      <c r="O310" s="115"/>
      <c r="P310" s="115"/>
      <c r="Q310" s="115"/>
      <c r="R310" s="115"/>
      <c r="S310" s="115"/>
      <c r="T310" s="115"/>
      <c r="U310" s="115"/>
      <c r="V310" s="115" t="s">
        <v>82</v>
      </c>
      <c r="W310" s="115" t="s">
        <v>83</v>
      </c>
      <c r="X310" s="113">
        <f>IF(INDIRECT("W310")="Clássico","12%",IF(INDIRECT("W310")="Premium","17%","-"))</f>
      </c>
      <c r="Y310" s="113" t="s">
        <v>1180</v>
      </c>
    </row>
    <row r="311" ht="50.0" customHeight="true">
      <c r="A311" s="113" t="s">
        <v>1185</v>
      </c>
      <c r="B311" s="113" t="s">
        <v>1186</v>
      </c>
      <c r="C311" s="113" t="s">
        <v>1187</v>
      </c>
      <c r="D311" s="113"/>
      <c r="E311" s="114" t="s">
        <v>1188</v>
      </c>
      <c r="F311" s="113" t="s">
        <v>1189</v>
      </c>
      <c r="G311" s="113" t="s">
        <v>1189</v>
      </c>
      <c r="H311" s="113" t="s">
        <v>103</v>
      </c>
      <c r="I311" s="115" t="n">
        <v>330.26</v>
      </c>
      <c r="J311" s="115" t="s">
        <v>80</v>
      </c>
      <c r="K311" s="115" t="s">
        <v>81</v>
      </c>
      <c r="L311" s="115" t="n">
        <v>369.68</v>
      </c>
      <c r="M311" s="115" t="n">
        <v>3.0</v>
      </c>
      <c r="N311" s="115"/>
      <c r="O311" s="115"/>
      <c r="P311" s="115"/>
      <c r="Q311" s="115"/>
      <c r="R311" s="115"/>
      <c r="S311" s="115"/>
      <c r="T311" s="115"/>
      <c r="U311" s="115"/>
      <c r="V311" s="115" t="s">
        <v>82</v>
      </c>
      <c r="W311" s="115" t="s">
        <v>83</v>
      </c>
      <c r="X311" s="113">
        <f>IF(INDIRECT("W311")="Clássico","12%",IF(INDIRECT("W311")="Premium","17%","-"))</f>
      </c>
      <c r="Y311" s="113" t="s">
        <v>221</v>
      </c>
    </row>
    <row r="312" ht="50.0" customHeight="true">
      <c r="A312" s="113" t="s">
        <v>1190</v>
      </c>
      <c r="B312" s="113" t="s">
        <v>1191</v>
      </c>
      <c r="C312" s="113" t="s">
        <v>1192</v>
      </c>
      <c r="D312" s="113"/>
      <c r="E312" s="114" t="s">
        <v>1193</v>
      </c>
      <c r="F312" s="113" t="s">
        <v>1194</v>
      </c>
      <c r="G312" s="113" t="s">
        <v>1194</v>
      </c>
      <c r="H312" s="113" t="s">
        <v>157</v>
      </c>
      <c r="I312" s="115" t="n">
        <v>299.88</v>
      </c>
      <c r="J312" s="115" t="s">
        <v>80</v>
      </c>
      <c r="K312" s="115" t="s">
        <v>81</v>
      </c>
      <c r="L312" s="115" t="n">
        <v>288.55</v>
      </c>
      <c r="M312" s="115" t="n">
        <v>3.0</v>
      </c>
      <c r="N312" s="115"/>
      <c r="O312" s="115"/>
      <c r="P312" s="115"/>
      <c r="Q312" s="115"/>
      <c r="R312" s="115"/>
      <c r="S312" s="115"/>
      <c r="T312" s="115"/>
      <c r="U312" s="115"/>
      <c r="V312" s="115" t="s">
        <v>82</v>
      </c>
      <c r="W312" s="115" t="s">
        <v>92</v>
      </c>
      <c r="X312" s="113">
        <f>IF(INDIRECT("W312")="Clássico","12%",IF(INDIRECT("W312")="Premium","17%","-"))</f>
      </c>
      <c r="Y312" s="113" t="s">
        <v>512</v>
      </c>
    </row>
    <row r="313" ht="50.0" customHeight="true">
      <c r="A313" s="113" t="s">
        <v>392</v>
      </c>
      <c r="B313" s="113" t="s">
        <v>1195</v>
      </c>
      <c r="C313" s="113" t="s">
        <v>1196</v>
      </c>
      <c r="D313" s="113"/>
      <c r="E313" s="114" t="s">
        <v>744</v>
      </c>
      <c r="F313" s="113" t="s">
        <v>396</v>
      </c>
      <c r="G313" s="113" t="s">
        <v>396</v>
      </c>
      <c r="H313" s="113" t="s">
        <v>103</v>
      </c>
      <c r="I313" s="115" t="n">
        <v>40.38</v>
      </c>
      <c r="J313" s="115" t="s">
        <v>80</v>
      </c>
      <c r="K313" s="115" t="s">
        <v>81</v>
      </c>
      <c r="L313" s="115" t="n">
        <v>45.51</v>
      </c>
      <c r="M313" s="115" t="n">
        <v>3.0</v>
      </c>
      <c r="N313" s="115"/>
      <c r="O313" s="115"/>
      <c r="P313" s="115"/>
      <c r="Q313" s="115"/>
      <c r="R313" s="115"/>
      <c r="S313" s="115"/>
      <c r="T313" s="115"/>
      <c r="U313" s="115"/>
      <c r="V313" s="115" t="s">
        <v>91</v>
      </c>
      <c r="W313" s="115" t="s">
        <v>92</v>
      </c>
      <c r="X313" s="113">
        <f>IF(INDIRECT("W313")="Clássico","12%",IF(INDIRECT("W313")="Premium","17%","-"))</f>
      </c>
      <c r="Y313" s="113" t="s">
        <v>397</v>
      </c>
    </row>
    <row r="314" ht="50.0" customHeight="true">
      <c r="A314" s="113" t="s">
        <v>1197</v>
      </c>
      <c r="B314" s="113" t="s">
        <v>1198</v>
      </c>
      <c r="C314" s="113" t="s">
        <v>1199</v>
      </c>
      <c r="D314" s="113"/>
      <c r="E314" s="114" t="s">
        <v>710</v>
      </c>
      <c r="F314" s="113" t="s">
        <v>1200</v>
      </c>
      <c r="G314" s="113" t="s">
        <v>1200</v>
      </c>
      <c r="H314" s="113" t="s">
        <v>234</v>
      </c>
      <c r="I314" s="115" t="n">
        <v>503.68</v>
      </c>
      <c r="J314" s="115" t="s">
        <v>80</v>
      </c>
      <c r="K314" s="115" t="s">
        <v>81</v>
      </c>
      <c r="L314" s="115" t="n">
        <v>568.3</v>
      </c>
      <c r="M314" s="115" t="n">
        <v>3.0</v>
      </c>
      <c r="N314" s="115"/>
      <c r="O314" s="115"/>
      <c r="P314" s="115"/>
      <c r="Q314" s="115"/>
      <c r="R314" s="115"/>
      <c r="S314" s="115"/>
      <c r="T314" s="115"/>
      <c r="U314" s="115"/>
      <c r="V314" s="115" t="s">
        <v>82</v>
      </c>
      <c r="W314" s="115" t="s">
        <v>92</v>
      </c>
      <c r="X314" s="113">
        <f>IF(INDIRECT("W314")="Clássico","12%",IF(INDIRECT("W314")="Premium","17%","-"))</f>
      </c>
      <c r="Y314" s="113" t="s">
        <v>712</v>
      </c>
    </row>
    <row r="315" ht="50.0" customHeight="true">
      <c r="A315" s="113" t="s">
        <v>1201</v>
      </c>
      <c r="B315" s="113" t="s">
        <v>1202</v>
      </c>
      <c r="C315" s="113" t="s">
        <v>1203</v>
      </c>
      <c r="D315" s="113"/>
      <c r="E315" s="114" t="s">
        <v>666</v>
      </c>
      <c r="F315" s="113" t="s">
        <v>1204</v>
      </c>
      <c r="G315" s="113" t="s">
        <v>1204</v>
      </c>
      <c r="H315" s="113" t="s">
        <v>103</v>
      </c>
      <c r="I315" s="115" t="n">
        <v>140.38</v>
      </c>
      <c r="J315" s="115" t="s">
        <v>80</v>
      </c>
      <c r="K315" s="115" t="s">
        <v>81</v>
      </c>
      <c r="L315" s="115" t="n">
        <v>127.28</v>
      </c>
      <c r="M315" s="115" t="n">
        <v>3.0</v>
      </c>
      <c r="N315" s="115"/>
      <c r="O315" s="115"/>
      <c r="P315" s="115"/>
      <c r="Q315" s="115"/>
      <c r="R315" s="115"/>
      <c r="S315" s="115"/>
      <c r="T315" s="115"/>
      <c r="U315" s="115"/>
      <c r="V315" s="115" t="s">
        <v>82</v>
      </c>
      <c r="W315" s="115" t="s">
        <v>92</v>
      </c>
      <c r="X315" s="113">
        <f>IF(INDIRECT("W315")="Clássico","12%",IF(INDIRECT("W315")="Premium","17%","-"))</f>
      </c>
      <c r="Y315" s="113" t="s">
        <v>668</v>
      </c>
    </row>
    <row r="316" ht="50.0" customHeight="true">
      <c r="A316" s="113" t="s">
        <v>1205</v>
      </c>
      <c r="B316" s="113" t="s">
        <v>1206</v>
      </c>
      <c r="C316" s="113" t="s">
        <v>1207</v>
      </c>
      <c r="D316" s="113"/>
      <c r="E316" s="114" t="s">
        <v>1208</v>
      </c>
      <c r="F316" s="113" t="s">
        <v>1209</v>
      </c>
      <c r="G316" s="113" t="s">
        <v>1209</v>
      </c>
      <c r="H316" s="113" t="s">
        <v>103</v>
      </c>
      <c r="I316" s="115" t="n">
        <v>34.05</v>
      </c>
      <c r="J316" s="115" t="s">
        <v>80</v>
      </c>
      <c r="K316" s="115" t="s">
        <v>81</v>
      </c>
      <c r="L316" s="115" t="n">
        <v>40.56</v>
      </c>
      <c r="M316" s="115" t="n">
        <v>3.0</v>
      </c>
      <c r="N316" s="115"/>
      <c r="O316" s="115"/>
      <c r="P316" s="115"/>
      <c r="Q316" s="115"/>
      <c r="R316" s="115"/>
      <c r="S316" s="115"/>
      <c r="T316" s="115"/>
      <c r="U316" s="115"/>
      <c r="V316" s="115" t="s">
        <v>91</v>
      </c>
      <c r="W316" s="115" t="s">
        <v>92</v>
      </c>
      <c r="X316" s="113">
        <f>IF(INDIRECT("W316")="Clássico","12%",IF(INDIRECT("W316")="Premium","17%","-"))</f>
      </c>
      <c r="Y316" s="113" t="s">
        <v>200</v>
      </c>
    </row>
    <row r="317" ht="50.0" customHeight="true">
      <c r="A317" s="113" t="s">
        <v>1210</v>
      </c>
      <c r="B317" s="113" t="s">
        <v>1211</v>
      </c>
      <c r="C317" s="113" t="s">
        <v>1212</v>
      </c>
      <c r="D317" s="113"/>
      <c r="E317" s="114" t="s">
        <v>966</v>
      </c>
      <c r="F317" s="113" t="s">
        <v>1213</v>
      </c>
      <c r="G317" s="113" t="s">
        <v>1213</v>
      </c>
      <c r="H317" s="113" t="s">
        <v>103</v>
      </c>
      <c r="I317" s="115" t="n">
        <v>236.59</v>
      </c>
      <c r="J317" s="115" t="s">
        <v>80</v>
      </c>
      <c r="K317" s="115" t="s">
        <v>81</v>
      </c>
      <c r="L317" s="115" t="n">
        <v>231.59</v>
      </c>
      <c r="M317" s="115" t="n">
        <v>3.0</v>
      </c>
      <c r="N317" s="115"/>
      <c r="O317" s="115"/>
      <c r="P317" s="115"/>
      <c r="Q317" s="115"/>
      <c r="R317" s="115"/>
      <c r="S317" s="115"/>
      <c r="T317" s="115"/>
      <c r="U317" s="115"/>
      <c r="V317" s="115" t="s">
        <v>82</v>
      </c>
      <c r="W317" s="115" t="s">
        <v>83</v>
      </c>
      <c r="X317" s="113">
        <f>IF(INDIRECT("W317")="Clássico","12%",IF(INDIRECT("W317")="Premium","17%","-"))</f>
      </c>
      <c r="Y317" s="113" t="s">
        <v>200</v>
      </c>
    </row>
    <row r="318" ht="50.0" customHeight="true">
      <c r="A318" s="113" t="s">
        <v>1214</v>
      </c>
      <c r="B318" s="113" t="s">
        <v>1215</v>
      </c>
      <c r="C318" s="113" t="s">
        <v>1216</v>
      </c>
      <c r="D318" s="113"/>
      <c r="E318" s="114" t="s">
        <v>1096</v>
      </c>
      <c r="F318" s="113" t="s">
        <v>1217</v>
      </c>
      <c r="G318" s="113" t="s">
        <v>1217</v>
      </c>
      <c r="H318" s="113" t="s">
        <v>103</v>
      </c>
      <c r="I318" s="115" t="n">
        <v>83.42</v>
      </c>
      <c r="J318" s="115" t="s">
        <v>80</v>
      </c>
      <c r="K318" s="115" t="s">
        <v>81</v>
      </c>
      <c r="L318" s="115" t="n">
        <v>74.74</v>
      </c>
      <c r="M318" s="115" t="n">
        <v>3.0</v>
      </c>
      <c r="N318" s="115"/>
      <c r="O318" s="115"/>
      <c r="P318" s="115"/>
      <c r="Q318" s="115"/>
      <c r="R318" s="115"/>
      <c r="S318" s="115"/>
      <c r="T318" s="115"/>
      <c r="U318" s="115"/>
      <c r="V318" s="115" t="s">
        <v>91</v>
      </c>
      <c r="W318" s="115" t="s">
        <v>83</v>
      </c>
      <c r="X318" s="113">
        <f>IF(INDIRECT("W318")="Clássico","12%",IF(INDIRECT("W318")="Premium","17%","-"))</f>
      </c>
      <c r="Y318" s="113" t="s">
        <v>1098</v>
      </c>
    </row>
    <row r="319" ht="50.0" customHeight="true">
      <c r="A319" s="113" t="s">
        <v>1218</v>
      </c>
      <c r="B319" s="113" t="s">
        <v>1219</v>
      </c>
      <c r="C319" s="113" t="s">
        <v>1220</v>
      </c>
      <c r="D319" s="113"/>
      <c r="E319" s="114" t="s">
        <v>198</v>
      </c>
      <c r="F319" s="113" t="s">
        <v>1221</v>
      </c>
      <c r="G319" s="113" t="s">
        <v>1221</v>
      </c>
      <c r="H319" s="113" t="s">
        <v>103</v>
      </c>
      <c r="I319" s="115" t="n">
        <v>363.17</v>
      </c>
      <c r="J319" s="115" t="s">
        <v>80</v>
      </c>
      <c r="K319" s="115" t="s">
        <v>81</v>
      </c>
      <c r="L319" s="115" t="n">
        <v>359.43</v>
      </c>
      <c r="M319" s="115" t="n">
        <v>3.0</v>
      </c>
      <c r="N319" s="115"/>
      <c r="O319" s="115"/>
      <c r="P319" s="115"/>
      <c r="Q319" s="115"/>
      <c r="R319" s="115"/>
      <c r="S319" s="115"/>
      <c r="T319" s="115"/>
      <c r="U319" s="115"/>
      <c r="V319" s="115" t="s">
        <v>82</v>
      </c>
      <c r="W319" s="115" t="s">
        <v>83</v>
      </c>
      <c r="X319" s="113">
        <f>IF(INDIRECT("W319")="Clássico","12%",IF(INDIRECT("W319")="Premium","17%","-"))</f>
      </c>
      <c r="Y319" s="113" t="s">
        <v>200</v>
      </c>
    </row>
    <row r="320" ht="50.0" customHeight="true">
      <c r="A320" s="113" t="s">
        <v>1222</v>
      </c>
      <c r="B320" s="113" t="s">
        <v>1223</v>
      </c>
      <c r="C320" s="113" t="s">
        <v>1224</v>
      </c>
      <c r="D320" s="113"/>
      <c r="E320" s="114" t="s">
        <v>636</v>
      </c>
      <c r="F320" s="113" t="s">
        <v>1225</v>
      </c>
      <c r="G320" s="113" t="s">
        <v>1225</v>
      </c>
      <c r="H320" s="113" t="s">
        <v>103</v>
      </c>
      <c r="I320" s="115" t="n">
        <v>288.48</v>
      </c>
      <c r="J320" s="115" t="s">
        <v>80</v>
      </c>
      <c r="K320" s="115" t="s">
        <v>81</v>
      </c>
      <c r="L320" s="115" t="n">
        <v>292.35</v>
      </c>
      <c r="M320" s="115" t="n">
        <v>3.0</v>
      </c>
      <c r="N320" s="115"/>
      <c r="O320" s="115"/>
      <c r="P320" s="115"/>
      <c r="Q320" s="115"/>
      <c r="R320" s="115"/>
      <c r="S320" s="115"/>
      <c r="T320" s="115"/>
      <c r="U320" s="115"/>
      <c r="V320" s="115" t="s">
        <v>82</v>
      </c>
      <c r="W320" s="115" t="s">
        <v>83</v>
      </c>
      <c r="X320" s="113">
        <f>IF(INDIRECT("W320")="Clássico","12%",IF(INDIRECT("W320")="Premium","17%","-"))</f>
      </c>
      <c r="Y320" s="113" t="s">
        <v>482</v>
      </c>
    </row>
    <row r="321" ht="50.0" customHeight="true">
      <c r="A321" s="113" t="s">
        <v>392</v>
      </c>
      <c r="B321" s="113" t="s">
        <v>1226</v>
      </c>
      <c r="C321" s="113" t="s">
        <v>1227</v>
      </c>
      <c r="D321" s="113"/>
      <c r="E321" s="114" t="s">
        <v>395</v>
      </c>
      <c r="F321" s="113" t="s">
        <v>396</v>
      </c>
      <c r="G321" s="113" t="s">
        <v>396</v>
      </c>
      <c r="H321" s="113" t="s">
        <v>103</v>
      </c>
      <c r="I321" s="115" t="n">
        <v>54.3</v>
      </c>
      <c r="J321" s="115" t="s">
        <v>80</v>
      </c>
      <c r="K321" s="115" t="s">
        <v>81</v>
      </c>
      <c r="L321" s="115" t="n">
        <v>55.63</v>
      </c>
      <c r="M321" s="115" t="n">
        <v>3.0</v>
      </c>
      <c r="N321" s="115"/>
      <c r="O321" s="115"/>
      <c r="P321" s="115"/>
      <c r="Q321" s="115"/>
      <c r="R321" s="115"/>
      <c r="S321" s="115"/>
      <c r="T321" s="115"/>
      <c r="U321" s="115"/>
      <c r="V321" s="115" t="s">
        <v>91</v>
      </c>
      <c r="W321" s="115" t="s">
        <v>92</v>
      </c>
      <c r="X321" s="113">
        <f>IF(INDIRECT("W321")="Clássico","12%",IF(INDIRECT("W321")="Premium","17%","-"))</f>
      </c>
      <c r="Y321" s="113" t="s">
        <v>397</v>
      </c>
    </row>
    <row r="322" ht="50.0" customHeight="true">
      <c r="A322" s="113" t="s">
        <v>1228</v>
      </c>
      <c r="B322" s="113" t="s">
        <v>1229</v>
      </c>
      <c r="C322" s="113" t="s">
        <v>1230</v>
      </c>
      <c r="D322" s="113"/>
      <c r="E322" s="114" t="s">
        <v>1231</v>
      </c>
      <c r="F322" s="113" t="s">
        <v>1232</v>
      </c>
      <c r="G322" s="113" t="s">
        <v>1232</v>
      </c>
      <c r="H322" s="113" t="s">
        <v>234</v>
      </c>
      <c r="I322" s="115" t="n">
        <v>350.51</v>
      </c>
      <c r="J322" s="115" t="s">
        <v>80</v>
      </c>
      <c r="K322" s="115" t="s">
        <v>81</v>
      </c>
      <c r="L322" s="115" t="n">
        <v>345.38</v>
      </c>
      <c r="M322" s="115" t="n">
        <v>3.0</v>
      </c>
      <c r="N322" s="115"/>
      <c r="O322" s="115"/>
      <c r="P322" s="115"/>
      <c r="Q322" s="115"/>
      <c r="R322" s="115"/>
      <c r="S322" s="115"/>
      <c r="T322" s="115"/>
      <c r="U322" s="115"/>
      <c r="V322" s="115" t="s">
        <v>82</v>
      </c>
      <c r="W322" s="115" t="s">
        <v>92</v>
      </c>
      <c r="X322" s="113">
        <f>IF(INDIRECT("W322")="Clássico","12%",IF(INDIRECT("W322")="Premium","17%","-"))</f>
      </c>
      <c r="Y322" s="113" t="s">
        <v>1233</v>
      </c>
    </row>
    <row r="323" ht="50.0" customHeight="true">
      <c r="A323" s="113" t="s">
        <v>22</v>
      </c>
      <c r="B323" s="113" t="s">
        <v>1234</v>
      </c>
      <c r="C323" s="113"/>
      <c r="D323" s="113"/>
      <c r="E323" s="113" t="s">
        <v>22</v>
      </c>
      <c r="F323" s="113" t="s">
        <v>1235</v>
      </c>
      <c r="G323" s="113" t="s">
        <v>103</v>
      </c>
      <c r="H323" s="113" t="s">
        <v>103</v>
      </c>
      <c r="I323" s="115" t="n">
        <v>36.08</v>
      </c>
      <c r="J323" s="115" t="s">
        <v>80</v>
      </c>
      <c r="K323" s="113" t="s">
        <v>81</v>
      </c>
      <c r="L323" s="115" t="n">
        <v>27.79</v>
      </c>
      <c r="M323" s="115" t="n">
        <v>3.0</v>
      </c>
      <c r="N323" s="115"/>
      <c r="O323" s="115"/>
      <c r="P323" s="115"/>
      <c r="Q323" s="115"/>
      <c r="R323" s="115"/>
      <c r="S323" s="115"/>
      <c r="T323" s="115"/>
      <c r="U323" s="115"/>
      <c r="V323" s="115" t="s">
        <v>91</v>
      </c>
      <c r="W323" s="115" t="s">
        <v>92</v>
      </c>
      <c r="X323" s="113">
        <f>IF(INDIRECT("W323")="Clássico","12%",IF(INDIRECT("W323")="Premium","17%","-"))</f>
      </c>
      <c r="Y323" s="113" t="s">
        <v>1105</v>
      </c>
    </row>
    <row r="324" ht="50.0" customHeight="true">
      <c r="A324" s="113" t="s">
        <v>22</v>
      </c>
      <c r="B324" s="113" t="s">
        <v>1234</v>
      </c>
      <c r="C324" s="113" t="s">
        <v>1236</v>
      </c>
      <c r="D324" s="113" t="s">
        <v>1236</v>
      </c>
      <c r="E324" s="114" t="s">
        <v>1107</v>
      </c>
      <c r="F324" s="116">
        <f>"     "&amp;F323</f>
      </c>
      <c r="G324" s="113" t="s">
        <v>1108</v>
      </c>
      <c r="H324" s="113" t="s">
        <v>103</v>
      </c>
      <c r="I324" s="113">
        <f>I323</f>
      </c>
      <c r="J324" s="113">
        <f>J323&amp;"     "</f>
      </c>
      <c r="K324" s="113" t="s">
        <v>81</v>
      </c>
      <c r="L324" s="113">
        <f>L323</f>
      </c>
      <c r="M324" s="113">
        <f>M323</f>
      </c>
      <c r="N324" s="113">
        <f>N323</f>
      </c>
      <c r="O324" s="113">
        <f>O323</f>
      </c>
      <c r="P324" s="113">
        <f>P323</f>
      </c>
      <c r="Q324" s="113">
        <f>Q323</f>
      </c>
      <c r="R324" s="113">
        <f>R323</f>
      </c>
      <c r="S324" s="113">
        <f>S323</f>
      </c>
      <c r="T324" s="113">
        <f>T323</f>
      </c>
      <c r="U324" s="113">
        <f>U323</f>
      </c>
      <c r="V324" s="113">
        <f>V323&amp;"     "</f>
      </c>
      <c r="W324" s="113">
        <f>W323&amp;"     "</f>
      </c>
      <c r="X324" s="113">
        <f>X323</f>
      </c>
      <c r="Y324" s="113" t="s">
        <v>1105</v>
      </c>
    </row>
    <row r="325" ht="50.0" customHeight="true">
      <c r="A325" s="113" t="s">
        <v>22</v>
      </c>
      <c r="B325" s="113" t="s">
        <v>1234</v>
      </c>
      <c r="C325" s="113" t="s">
        <v>1237</v>
      </c>
      <c r="D325" s="113" t="s">
        <v>1237</v>
      </c>
      <c r="E325" s="114" t="s">
        <v>1110</v>
      </c>
      <c r="F325" s="116">
        <f>"     "&amp;F323</f>
      </c>
      <c r="G325" s="113" t="s">
        <v>1111</v>
      </c>
      <c r="H325" s="113" t="s">
        <v>103</v>
      </c>
      <c r="I325" s="113">
        <f>I323</f>
      </c>
      <c r="J325" s="113">
        <f>J323&amp;"     "</f>
      </c>
      <c r="K325" s="113" t="s">
        <v>81</v>
      </c>
      <c r="L325" s="113">
        <f>L323</f>
      </c>
      <c r="M325" s="113">
        <f>M323</f>
      </c>
      <c r="N325" s="113">
        <f>N323</f>
      </c>
      <c r="O325" s="113">
        <f>O323</f>
      </c>
      <c r="P325" s="113">
        <f>P323</f>
      </c>
      <c r="Q325" s="113">
        <f>Q323</f>
      </c>
      <c r="R325" s="113">
        <f>R323</f>
      </c>
      <c r="S325" s="113">
        <f>S323</f>
      </c>
      <c r="T325" s="113">
        <f>T323</f>
      </c>
      <c r="U325" s="113">
        <f>U323</f>
      </c>
      <c r="V325" s="113">
        <f>V323&amp;"     "</f>
      </c>
      <c r="W325" s="113">
        <f>W323&amp;"     "</f>
      </c>
      <c r="X325" s="113">
        <f>X323</f>
      </c>
      <c r="Y325" s="113" t="s">
        <v>1105</v>
      </c>
    </row>
    <row r="326" ht="50.0" customHeight="true">
      <c r="A326" s="113" t="s">
        <v>22</v>
      </c>
      <c r="B326" s="113" t="s">
        <v>1234</v>
      </c>
      <c r="C326" s="113" t="s">
        <v>1238</v>
      </c>
      <c r="D326" s="113" t="s">
        <v>1238</v>
      </c>
      <c r="E326" s="114" t="s">
        <v>1113</v>
      </c>
      <c r="F326" s="116">
        <f>"     "&amp;F323</f>
      </c>
      <c r="G326" s="113" t="s">
        <v>1114</v>
      </c>
      <c r="H326" s="113" t="s">
        <v>103</v>
      </c>
      <c r="I326" s="113">
        <f>I323</f>
      </c>
      <c r="J326" s="113">
        <f>J323&amp;"     "</f>
      </c>
      <c r="K326" s="113" t="s">
        <v>81</v>
      </c>
      <c r="L326" s="113">
        <f>L323</f>
      </c>
      <c r="M326" s="113">
        <f>M323</f>
      </c>
      <c r="N326" s="113">
        <f>N323</f>
      </c>
      <c r="O326" s="113">
        <f>O323</f>
      </c>
      <c r="P326" s="113">
        <f>P323</f>
      </c>
      <c r="Q326" s="113">
        <f>Q323</f>
      </c>
      <c r="R326" s="113">
        <f>R323</f>
      </c>
      <c r="S326" s="113">
        <f>S323</f>
      </c>
      <c r="T326" s="113">
        <f>T323</f>
      </c>
      <c r="U326" s="113">
        <f>U323</f>
      </c>
      <c r="V326" s="113">
        <f>V323&amp;"     "</f>
      </c>
      <c r="W326" s="113">
        <f>W323&amp;"     "</f>
      </c>
      <c r="X326" s="113">
        <f>X323</f>
      </c>
      <c r="Y326" s="113" t="s">
        <v>1105</v>
      </c>
    </row>
    <row r="327" ht="50.0" customHeight="true">
      <c r="A327" s="113" t="s">
        <v>22</v>
      </c>
      <c r="B327" s="113" t="s">
        <v>1234</v>
      </c>
      <c r="C327" s="113" t="s">
        <v>1239</v>
      </c>
      <c r="D327" s="113" t="s">
        <v>1239</v>
      </c>
      <c r="E327" s="114" t="s">
        <v>1116</v>
      </c>
      <c r="F327" s="116">
        <f>"     "&amp;F323</f>
      </c>
      <c r="G327" s="113" t="s">
        <v>1117</v>
      </c>
      <c r="H327" s="113" t="s">
        <v>103</v>
      </c>
      <c r="I327" s="113">
        <f>I323</f>
      </c>
      <c r="J327" s="113">
        <f>J323&amp;"     "</f>
      </c>
      <c r="K327" s="113" t="s">
        <v>81</v>
      </c>
      <c r="L327" s="113">
        <f>L323</f>
      </c>
      <c r="M327" s="113">
        <f>M323</f>
      </c>
      <c r="N327" s="113">
        <f>N323</f>
      </c>
      <c r="O327" s="113">
        <f>O323</f>
      </c>
      <c r="P327" s="113">
        <f>P323</f>
      </c>
      <c r="Q327" s="113">
        <f>Q323</f>
      </c>
      <c r="R327" s="113">
        <f>R323</f>
      </c>
      <c r="S327" s="113">
        <f>S323</f>
      </c>
      <c r="T327" s="113">
        <f>T323</f>
      </c>
      <c r="U327" s="113">
        <f>U323</f>
      </c>
      <c r="V327" s="113">
        <f>V323&amp;"     "</f>
      </c>
      <c r="W327" s="113">
        <f>W323&amp;"     "</f>
      </c>
      <c r="X327" s="113">
        <f>X323</f>
      </c>
      <c r="Y327" s="113" t="s">
        <v>1105</v>
      </c>
    </row>
    <row r="328" ht="50.0" customHeight="true">
      <c r="A328" s="113" t="s">
        <v>22</v>
      </c>
      <c r="B328" s="113" t="s">
        <v>1240</v>
      </c>
      <c r="C328" s="113"/>
      <c r="D328" s="113"/>
      <c r="E328" s="113" t="s">
        <v>22</v>
      </c>
      <c r="F328" s="113" t="s">
        <v>1241</v>
      </c>
      <c r="G328" s="113" t="s">
        <v>103</v>
      </c>
      <c r="H328" s="113" t="s">
        <v>103</v>
      </c>
      <c r="I328" s="115" t="n">
        <v>168.23</v>
      </c>
      <c r="J328" s="115" t="s">
        <v>80</v>
      </c>
      <c r="K328" s="113" t="s">
        <v>81</v>
      </c>
      <c r="L328" s="115" t="n">
        <v>160.7</v>
      </c>
      <c r="M328" s="115" t="n">
        <v>3.0</v>
      </c>
      <c r="N328" s="115"/>
      <c r="O328" s="115"/>
      <c r="P328" s="115"/>
      <c r="Q328" s="115"/>
      <c r="R328" s="115"/>
      <c r="S328" s="115"/>
      <c r="T328" s="115"/>
      <c r="U328" s="115"/>
      <c r="V328" s="115" t="s">
        <v>82</v>
      </c>
      <c r="W328" s="115" t="s">
        <v>83</v>
      </c>
      <c r="X328" s="113">
        <f>IF(INDIRECT("W328")="Clássico","12%",IF(INDIRECT("W328")="Premium","17%","-"))</f>
      </c>
      <c r="Y328" s="113" t="s">
        <v>181</v>
      </c>
    </row>
    <row r="329" ht="50.0" customHeight="true">
      <c r="A329" s="113" t="s">
        <v>22</v>
      </c>
      <c r="B329" s="113" t="s">
        <v>1240</v>
      </c>
      <c r="C329" s="113" t="s">
        <v>1242</v>
      </c>
      <c r="D329" s="113" t="s">
        <v>1242</v>
      </c>
      <c r="E329" s="114" t="s">
        <v>1243</v>
      </c>
      <c r="F329" s="116">
        <f>"     "&amp;F328</f>
      </c>
      <c r="G329" s="113" t="s">
        <v>184</v>
      </c>
      <c r="H329" s="113" t="s">
        <v>103</v>
      </c>
      <c r="I329" s="113">
        <f>I328</f>
      </c>
      <c r="J329" s="113">
        <f>J328&amp;"     "</f>
      </c>
      <c r="K329" s="113" t="s">
        <v>81</v>
      </c>
      <c r="L329" s="113">
        <f>L328</f>
      </c>
      <c r="M329" s="113">
        <f>M328</f>
      </c>
      <c r="N329" s="113">
        <f>N328</f>
      </c>
      <c r="O329" s="113">
        <f>O328</f>
      </c>
      <c r="P329" s="113">
        <f>P328</f>
      </c>
      <c r="Q329" s="113">
        <f>Q328</f>
      </c>
      <c r="R329" s="113">
        <f>R328</f>
      </c>
      <c r="S329" s="113">
        <f>S328</f>
      </c>
      <c r="T329" s="113">
        <f>T328</f>
      </c>
      <c r="U329" s="113">
        <f>U328</f>
      </c>
      <c r="V329" s="113">
        <f>V328&amp;"     "</f>
      </c>
      <c r="W329" s="113">
        <f>W328&amp;"     "</f>
      </c>
      <c r="X329" s="113">
        <f>X328</f>
      </c>
      <c r="Y329" s="113" t="s">
        <v>181</v>
      </c>
    </row>
    <row r="330" ht="50.0" customHeight="true">
      <c r="A330" s="113" t="s">
        <v>22</v>
      </c>
      <c r="B330" s="113" t="s">
        <v>1240</v>
      </c>
      <c r="C330" s="113" t="s">
        <v>1244</v>
      </c>
      <c r="D330" s="113" t="s">
        <v>1244</v>
      </c>
      <c r="E330" s="114" t="s">
        <v>1245</v>
      </c>
      <c r="F330" s="116">
        <f>"     "&amp;F328</f>
      </c>
      <c r="G330" s="113" t="s">
        <v>187</v>
      </c>
      <c r="H330" s="113" t="s">
        <v>103</v>
      </c>
      <c r="I330" s="113">
        <f>I328</f>
      </c>
      <c r="J330" s="113">
        <f>J328&amp;"     "</f>
      </c>
      <c r="K330" s="113" t="s">
        <v>81</v>
      </c>
      <c r="L330" s="113">
        <f>L328</f>
      </c>
      <c r="M330" s="113">
        <f>M328</f>
      </c>
      <c r="N330" s="113">
        <f>N328</f>
      </c>
      <c r="O330" s="113">
        <f>O328</f>
      </c>
      <c r="P330" s="113">
        <f>P328</f>
      </c>
      <c r="Q330" s="113">
        <f>Q328</f>
      </c>
      <c r="R330" s="113">
        <f>R328</f>
      </c>
      <c r="S330" s="113">
        <f>S328</f>
      </c>
      <c r="T330" s="113">
        <f>T328</f>
      </c>
      <c r="U330" s="113">
        <f>U328</f>
      </c>
      <c r="V330" s="113">
        <f>V328&amp;"     "</f>
      </c>
      <c r="W330" s="113">
        <f>W328&amp;"     "</f>
      </c>
      <c r="X330" s="113">
        <f>X328</f>
      </c>
      <c r="Y330" s="113" t="s">
        <v>181</v>
      </c>
    </row>
    <row r="331" ht="50.0" customHeight="true">
      <c r="A331" s="113" t="s">
        <v>22</v>
      </c>
      <c r="B331" s="113" t="s">
        <v>1246</v>
      </c>
      <c r="C331" s="113"/>
      <c r="D331" s="113"/>
      <c r="E331" s="113" t="s">
        <v>22</v>
      </c>
      <c r="F331" s="113" t="s">
        <v>1247</v>
      </c>
      <c r="G331" s="113" t="s">
        <v>103</v>
      </c>
      <c r="H331" s="113" t="s">
        <v>103</v>
      </c>
      <c r="I331" s="115" t="n">
        <v>75.82</v>
      </c>
      <c r="J331" s="115" t="s">
        <v>80</v>
      </c>
      <c r="K331" s="113" t="s">
        <v>81</v>
      </c>
      <c r="L331" s="115" t="n">
        <v>82.22</v>
      </c>
      <c r="M331" s="115" t="n">
        <v>3.0</v>
      </c>
      <c r="N331" s="115"/>
      <c r="O331" s="115"/>
      <c r="P331" s="115"/>
      <c r="Q331" s="115"/>
      <c r="R331" s="115"/>
      <c r="S331" s="115"/>
      <c r="T331" s="115"/>
      <c r="U331" s="115"/>
      <c r="V331" s="115" t="s">
        <v>91</v>
      </c>
      <c r="W331" s="115" t="s">
        <v>92</v>
      </c>
      <c r="X331" s="113">
        <f>IF(INDIRECT("W331")="Clássico","13%",IF(INDIRECT("W331")="Premium","18%","-"))</f>
      </c>
      <c r="Y331" s="113" t="s">
        <v>1000</v>
      </c>
    </row>
    <row r="332" ht="50.0" customHeight="true">
      <c r="A332" s="113" t="s">
        <v>22</v>
      </c>
      <c r="B332" s="113" t="s">
        <v>1246</v>
      </c>
      <c r="C332" s="113" t="s">
        <v>1248</v>
      </c>
      <c r="D332" s="113" t="s">
        <v>1248</v>
      </c>
      <c r="E332" s="114" t="s">
        <v>1008</v>
      </c>
      <c r="F332" s="116">
        <f>"     "&amp;F331</f>
      </c>
      <c r="G332" s="113" t="s">
        <v>1078</v>
      </c>
      <c r="H332" s="113" t="s">
        <v>103</v>
      </c>
      <c r="I332" s="113">
        <f>I331</f>
      </c>
      <c r="J332" s="113">
        <f>J331&amp;"     "</f>
      </c>
      <c r="K332" s="113" t="s">
        <v>81</v>
      </c>
      <c r="L332" s="113">
        <f>L331</f>
      </c>
      <c r="M332" s="113">
        <f>M331</f>
      </c>
      <c r="N332" s="113">
        <f>N331</f>
      </c>
      <c r="O332" s="113">
        <f>O331</f>
      </c>
      <c r="P332" s="113">
        <f>P331</f>
      </c>
      <c r="Q332" s="113">
        <f>Q331</f>
      </c>
      <c r="R332" s="113">
        <f>R331</f>
      </c>
      <c r="S332" s="113">
        <f>S331</f>
      </c>
      <c r="T332" s="113">
        <f>T331</f>
      </c>
      <c r="U332" s="113">
        <f>U331</f>
      </c>
      <c r="V332" s="113">
        <f>V331&amp;"     "</f>
      </c>
      <c r="W332" s="113">
        <f>W331&amp;"     "</f>
      </c>
      <c r="X332" s="113">
        <f>X331</f>
      </c>
      <c r="Y332" s="113" t="s">
        <v>1000</v>
      </c>
    </row>
    <row r="333" ht="50.0" customHeight="true">
      <c r="A333" s="113" t="s">
        <v>22</v>
      </c>
      <c r="B333" s="113" t="s">
        <v>1246</v>
      </c>
      <c r="C333" s="113" t="s">
        <v>1249</v>
      </c>
      <c r="D333" s="113" t="s">
        <v>1249</v>
      </c>
      <c r="E333" s="114" t="s">
        <v>1005</v>
      </c>
      <c r="F333" s="116">
        <f>"     "&amp;F331</f>
      </c>
      <c r="G333" s="113" t="s">
        <v>1006</v>
      </c>
      <c r="H333" s="113" t="s">
        <v>103</v>
      </c>
      <c r="I333" s="113">
        <f>I331</f>
      </c>
      <c r="J333" s="113">
        <f>J331&amp;"     "</f>
      </c>
      <c r="K333" s="113" t="s">
        <v>81</v>
      </c>
      <c r="L333" s="113">
        <f>L331</f>
      </c>
      <c r="M333" s="113">
        <f>M331</f>
      </c>
      <c r="N333" s="113">
        <f>N331</f>
      </c>
      <c r="O333" s="113">
        <f>O331</f>
      </c>
      <c r="P333" s="113">
        <f>P331</f>
      </c>
      <c r="Q333" s="113">
        <f>Q331</f>
      </c>
      <c r="R333" s="113">
        <f>R331</f>
      </c>
      <c r="S333" s="113">
        <f>S331</f>
      </c>
      <c r="T333" s="113">
        <f>T331</f>
      </c>
      <c r="U333" s="113">
        <f>U331</f>
      </c>
      <c r="V333" s="113">
        <f>V331&amp;"     "</f>
      </c>
      <c r="W333" s="113">
        <f>W331&amp;"     "</f>
      </c>
      <c r="X333" s="113">
        <f>X331</f>
      </c>
      <c r="Y333" s="113" t="s">
        <v>1000</v>
      </c>
    </row>
    <row r="334" ht="50.0" customHeight="true">
      <c r="A334" s="113" t="s">
        <v>22</v>
      </c>
      <c r="B334" s="113" t="s">
        <v>1246</v>
      </c>
      <c r="C334" s="113" t="s">
        <v>1250</v>
      </c>
      <c r="D334" s="113" t="s">
        <v>1250</v>
      </c>
      <c r="E334" s="114" t="s">
        <v>1011</v>
      </c>
      <c r="F334" s="116">
        <f>"     "&amp;F331</f>
      </c>
      <c r="G334" s="113" t="s">
        <v>1080</v>
      </c>
      <c r="H334" s="113" t="s">
        <v>103</v>
      </c>
      <c r="I334" s="113">
        <f>I331</f>
      </c>
      <c r="J334" s="113">
        <f>J331&amp;"     "</f>
      </c>
      <c r="K334" s="113" t="s">
        <v>81</v>
      </c>
      <c r="L334" s="113">
        <f>L331</f>
      </c>
      <c r="M334" s="113">
        <f>M331</f>
      </c>
      <c r="N334" s="113">
        <f>N331</f>
      </c>
      <c r="O334" s="113">
        <f>O331</f>
      </c>
      <c r="P334" s="113">
        <f>P331</f>
      </c>
      <c r="Q334" s="113">
        <f>Q331</f>
      </c>
      <c r="R334" s="113">
        <f>R331</f>
      </c>
      <c r="S334" s="113">
        <f>S331</f>
      </c>
      <c r="T334" s="113">
        <f>T331</f>
      </c>
      <c r="U334" s="113">
        <f>U331</f>
      </c>
      <c r="V334" s="113">
        <f>V331&amp;"     "</f>
      </c>
      <c r="W334" s="113">
        <f>W331&amp;"     "</f>
      </c>
      <c r="X334" s="113">
        <f>X331</f>
      </c>
      <c r="Y334" s="113" t="s">
        <v>1000</v>
      </c>
    </row>
    <row r="335" ht="50.0" customHeight="true">
      <c r="A335" s="113" t="s">
        <v>22</v>
      </c>
      <c r="B335" s="113" t="s">
        <v>1246</v>
      </c>
      <c r="C335" s="113" t="s">
        <v>1251</v>
      </c>
      <c r="D335" s="113" t="s">
        <v>1251</v>
      </c>
      <c r="E335" s="114" t="s">
        <v>1002</v>
      </c>
      <c r="F335" s="116">
        <f>"     "&amp;F331</f>
      </c>
      <c r="G335" s="113" t="s">
        <v>1003</v>
      </c>
      <c r="H335" s="113" t="s">
        <v>103</v>
      </c>
      <c r="I335" s="113">
        <f>I331</f>
      </c>
      <c r="J335" s="113">
        <f>J331&amp;"     "</f>
      </c>
      <c r="K335" s="113" t="s">
        <v>81</v>
      </c>
      <c r="L335" s="113">
        <f>L331</f>
      </c>
      <c r="M335" s="113">
        <f>M331</f>
      </c>
      <c r="N335" s="113">
        <f>N331</f>
      </c>
      <c r="O335" s="113">
        <f>O331</f>
      </c>
      <c r="P335" s="113">
        <f>P331</f>
      </c>
      <c r="Q335" s="113">
        <f>Q331</f>
      </c>
      <c r="R335" s="113">
        <f>R331</f>
      </c>
      <c r="S335" s="113">
        <f>S331</f>
      </c>
      <c r="T335" s="113">
        <f>T331</f>
      </c>
      <c r="U335" s="113">
        <f>U331</f>
      </c>
      <c r="V335" s="113">
        <f>V331&amp;"     "</f>
      </c>
      <c r="W335" s="113">
        <f>W331&amp;"     "</f>
      </c>
      <c r="X335" s="113">
        <f>X331</f>
      </c>
      <c r="Y335" s="113" t="s">
        <v>1000</v>
      </c>
    </row>
    <row r="336" ht="50.0" customHeight="true">
      <c r="A336" s="113" t="s">
        <v>1252</v>
      </c>
      <c r="B336" s="113" t="s">
        <v>1253</v>
      </c>
      <c r="C336" s="113" t="s">
        <v>1254</v>
      </c>
      <c r="D336" s="113"/>
      <c r="E336" s="114" t="s">
        <v>1030</v>
      </c>
      <c r="F336" s="113" t="s">
        <v>1255</v>
      </c>
      <c r="G336" s="113" t="s">
        <v>1255</v>
      </c>
      <c r="H336" s="113" t="s">
        <v>103</v>
      </c>
      <c r="I336" s="113" t="s">
        <v>22</v>
      </c>
      <c r="J336" s="115" t="s">
        <v>80</v>
      </c>
      <c r="K336" s="115" t="s">
        <v>81</v>
      </c>
      <c r="L336" s="115" t="n">
        <v>187.28</v>
      </c>
      <c r="M336" s="115" t="n">
        <v>3.0</v>
      </c>
      <c r="N336" s="115"/>
      <c r="O336" s="115"/>
      <c r="P336" s="115"/>
      <c r="Q336" s="115"/>
      <c r="R336" s="115"/>
      <c r="S336" s="115"/>
      <c r="T336" s="115"/>
      <c r="U336" s="115"/>
      <c r="V336" s="115" t="s">
        <v>82</v>
      </c>
      <c r="W336" s="115" t="s">
        <v>92</v>
      </c>
      <c r="X336" s="113">
        <f>IF(INDIRECT("W336")="Clássico","12%",IF(INDIRECT("W336")="Premium","17%","-"))</f>
      </c>
      <c r="Y336" s="113" t="s">
        <v>1032</v>
      </c>
    </row>
    <row r="337" ht="50.0" customHeight="true">
      <c r="A337" s="113" t="s">
        <v>1256</v>
      </c>
      <c r="B337" s="113" t="s">
        <v>1257</v>
      </c>
      <c r="C337" s="113" t="s">
        <v>1258</v>
      </c>
      <c r="D337" s="113"/>
      <c r="E337" s="114" t="s">
        <v>162</v>
      </c>
      <c r="F337" s="113" t="s">
        <v>1259</v>
      </c>
      <c r="G337" s="113" t="s">
        <v>1259</v>
      </c>
      <c r="H337" s="113" t="s">
        <v>103</v>
      </c>
      <c r="I337" s="115" t="n">
        <v>898.72</v>
      </c>
      <c r="J337" s="115" t="s">
        <v>80</v>
      </c>
      <c r="K337" s="115" t="s">
        <v>81</v>
      </c>
      <c r="L337" s="115" t="n">
        <v>893.72</v>
      </c>
      <c r="M337" s="115" t="n">
        <v>3.0</v>
      </c>
      <c r="N337" s="115"/>
      <c r="O337" s="115"/>
      <c r="P337" s="115"/>
      <c r="Q337" s="115"/>
      <c r="R337" s="115"/>
      <c r="S337" s="115"/>
      <c r="T337" s="115"/>
      <c r="U337" s="115"/>
      <c r="V337" s="115" t="s">
        <v>82</v>
      </c>
      <c r="W337" s="115" t="s">
        <v>83</v>
      </c>
      <c r="X337" s="113">
        <f>IF(INDIRECT("W337")="Clássico","12%",IF(INDIRECT("W337")="Premium","17%","-"))</f>
      </c>
      <c r="Y337" s="113" t="s">
        <v>164</v>
      </c>
    </row>
    <row r="338" ht="50.0" customHeight="true">
      <c r="A338" s="113" t="s">
        <v>543</v>
      </c>
      <c r="B338" s="113" t="s">
        <v>1260</v>
      </c>
      <c r="C338" s="113" t="s">
        <v>1261</v>
      </c>
      <c r="D338" s="113"/>
      <c r="E338" s="114" t="s">
        <v>505</v>
      </c>
      <c r="F338" s="113" t="s">
        <v>506</v>
      </c>
      <c r="G338" s="113" t="s">
        <v>506</v>
      </c>
      <c r="H338" s="113" t="s">
        <v>103</v>
      </c>
      <c r="I338" s="115" t="n">
        <v>293.04</v>
      </c>
      <c r="J338" s="115" t="s">
        <v>80</v>
      </c>
      <c r="K338" s="115" t="s">
        <v>81</v>
      </c>
      <c r="L338" s="115" t="n">
        <v>263.23</v>
      </c>
      <c r="M338" s="115" t="n">
        <v>3.0</v>
      </c>
      <c r="N338" s="115"/>
      <c r="O338" s="115"/>
      <c r="P338" s="115"/>
      <c r="Q338" s="115"/>
      <c r="R338" s="115"/>
      <c r="S338" s="115"/>
      <c r="T338" s="115"/>
      <c r="U338" s="115"/>
      <c r="V338" s="115" t="s">
        <v>82</v>
      </c>
      <c r="W338" s="115" t="s">
        <v>83</v>
      </c>
      <c r="X338" s="113">
        <f>IF(INDIRECT("W338")="Clássico","12%",IF(INDIRECT("W338")="Premium","17%","-"))</f>
      </c>
      <c r="Y338" s="113" t="s">
        <v>181</v>
      </c>
    </row>
    <row r="339" ht="50.0" customHeight="true">
      <c r="A339" s="113" t="s">
        <v>1262</v>
      </c>
      <c r="B339" s="113" t="s">
        <v>1263</v>
      </c>
      <c r="C339" s="113" t="s">
        <v>1264</v>
      </c>
      <c r="D339" s="113"/>
      <c r="E339" s="114" t="s">
        <v>1265</v>
      </c>
      <c r="F339" s="113" t="s">
        <v>1266</v>
      </c>
      <c r="G339" s="113" t="s">
        <v>1266</v>
      </c>
      <c r="H339" s="113" t="s">
        <v>103</v>
      </c>
      <c r="I339" s="115" t="n">
        <v>127.72</v>
      </c>
      <c r="J339" s="115" t="s">
        <v>80</v>
      </c>
      <c r="K339" s="115" t="s">
        <v>81</v>
      </c>
      <c r="L339" s="115" t="n">
        <v>111.33</v>
      </c>
      <c r="M339" s="115" t="n">
        <v>3.0</v>
      </c>
      <c r="N339" s="115"/>
      <c r="O339" s="115"/>
      <c r="P339" s="115"/>
      <c r="Q339" s="115"/>
      <c r="R339" s="115"/>
      <c r="S339" s="115"/>
      <c r="T339" s="115"/>
      <c r="U339" s="115"/>
      <c r="V339" s="115" t="s">
        <v>82</v>
      </c>
      <c r="W339" s="115" t="s">
        <v>92</v>
      </c>
      <c r="X339" s="113">
        <f>IF(INDIRECT("W339")="Clássico","12%",IF(INDIRECT("W339")="Premium","17%","-"))</f>
      </c>
      <c r="Y339" s="113" t="s">
        <v>576</v>
      </c>
    </row>
    <row r="340" ht="50.0" customHeight="true">
      <c r="A340" s="113" t="s">
        <v>1267</v>
      </c>
      <c r="B340" s="113" t="s">
        <v>1268</v>
      </c>
      <c r="C340" s="113" t="s">
        <v>1269</v>
      </c>
      <c r="D340" s="113"/>
      <c r="E340" s="114" t="s">
        <v>1270</v>
      </c>
      <c r="F340" s="113" t="s">
        <v>1271</v>
      </c>
      <c r="G340" s="113" t="s">
        <v>1271</v>
      </c>
      <c r="H340" s="113" t="s">
        <v>103</v>
      </c>
      <c r="I340" s="115" t="n">
        <v>145.56</v>
      </c>
      <c r="J340" s="115" t="s">
        <v>80</v>
      </c>
      <c r="K340" s="115" t="s">
        <v>81</v>
      </c>
      <c r="L340" s="115" t="n">
        <v>140.56</v>
      </c>
      <c r="M340" s="115" t="n">
        <v>3.0</v>
      </c>
      <c r="N340" s="115"/>
      <c r="O340" s="115"/>
      <c r="P340" s="115"/>
      <c r="Q340" s="115"/>
      <c r="R340" s="115"/>
      <c r="S340" s="115"/>
      <c r="T340" s="115"/>
      <c r="U340" s="115"/>
      <c r="V340" s="115" t="s">
        <v>82</v>
      </c>
      <c r="W340" s="115" t="s">
        <v>92</v>
      </c>
      <c r="X340" s="113">
        <f>IF(INDIRECT("W340")="Clássico","12%",IF(INDIRECT("W340")="Premium","17%","-"))</f>
      </c>
      <c r="Y340" s="113" t="s">
        <v>1098</v>
      </c>
    </row>
    <row r="341" ht="50.0" customHeight="true">
      <c r="A341" s="113" t="s">
        <v>1272</v>
      </c>
      <c r="B341" s="113" t="s">
        <v>1273</v>
      </c>
      <c r="C341" s="113" t="s">
        <v>1274</v>
      </c>
      <c r="D341" s="113"/>
      <c r="E341" s="114" t="s">
        <v>110</v>
      </c>
      <c r="F341" s="113" t="s">
        <v>1275</v>
      </c>
      <c r="G341" s="113" t="s">
        <v>1275</v>
      </c>
      <c r="H341" s="113" t="s">
        <v>361</v>
      </c>
      <c r="I341" s="115" t="n">
        <v>145.9</v>
      </c>
      <c r="J341" s="115" t="s">
        <v>80</v>
      </c>
      <c r="K341" s="115" t="s">
        <v>81</v>
      </c>
      <c r="L341" s="115" t="n">
        <v>193.61</v>
      </c>
      <c r="M341" s="115" t="n">
        <v>3.0</v>
      </c>
      <c r="N341" s="115"/>
      <c r="O341" s="115"/>
      <c r="P341" s="115"/>
      <c r="Q341" s="115"/>
      <c r="R341" s="115"/>
      <c r="S341" s="115"/>
      <c r="T341" s="115"/>
      <c r="U341" s="115"/>
      <c r="V341" s="115" t="s">
        <v>82</v>
      </c>
      <c r="W341" s="115" t="s">
        <v>92</v>
      </c>
      <c r="X341" s="113">
        <f>IF(INDIRECT("W341")="Clássico","12%",IF(INDIRECT("W341")="Premium","17%","-"))</f>
      </c>
      <c r="Y341" s="113" t="s">
        <v>245</v>
      </c>
    </row>
    <row r="342" ht="50.0" customHeight="true">
      <c r="A342" s="113" t="s">
        <v>653</v>
      </c>
      <c r="B342" s="113" t="s">
        <v>1276</v>
      </c>
      <c r="C342" s="113" t="s">
        <v>1277</v>
      </c>
      <c r="D342" s="113"/>
      <c r="E342" s="114" t="s">
        <v>656</v>
      </c>
      <c r="F342" s="113" t="s">
        <v>657</v>
      </c>
      <c r="G342" s="113" t="s">
        <v>657</v>
      </c>
      <c r="H342" s="113" t="s">
        <v>103</v>
      </c>
      <c r="I342" s="115" t="n">
        <v>1092.29</v>
      </c>
      <c r="J342" s="115" t="s">
        <v>80</v>
      </c>
      <c r="K342" s="115" t="s">
        <v>81</v>
      </c>
      <c r="L342" s="115" t="n">
        <v>824.0</v>
      </c>
      <c r="M342" s="115" t="n">
        <v>3.0</v>
      </c>
      <c r="N342" s="115"/>
      <c r="O342" s="115"/>
      <c r="P342" s="115"/>
      <c r="Q342" s="115"/>
      <c r="R342" s="115"/>
      <c r="S342" s="115"/>
      <c r="T342" s="115"/>
      <c r="U342" s="115"/>
      <c r="V342" s="115" t="s">
        <v>82</v>
      </c>
      <c r="W342" s="115" t="s">
        <v>92</v>
      </c>
      <c r="X342" s="113">
        <f>IF(INDIRECT("W342")="Clássico","12%",IF(INDIRECT("W342")="Premium","17%","-"))</f>
      </c>
      <c r="Y342" s="113" t="s">
        <v>164</v>
      </c>
    </row>
    <row r="343" ht="50.0" customHeight="true">
      <c r="A343" s="113" t="s">
        <v>22</v>
      </c>
      <c r="B343" s="113" t="s">
        <v>1278</v>
      </c>
      <c r="C343" s="113"/>
      <c r="D343" s="113"/>
      <c r="E343" s="113" t="s">
        <v>22</v>
      </c>
      <c r="F343" s="113" t="s">
        <v>1279</v>
      </c>
      <c r="G343" s="113" t="s">
        <v>103</v>
      </c>
      <c r="H343" s="113" t="s">
        <v>103</v>
      </c>
      <c r="I343" s="115" t="n">
        <v>59.13</v>
      </c>
      <c r="J343" s="115" t="s">
        <v>80</v>
      </c>
      <c r="K343" s="113" t="s">
        <v>81</v>
      </c>
      <c r="L343" s="115" t="n">
        <v>54.37</v>
      </c>
      <c r="M343" s="115" t="n">
        <v>3.0</v>
      </c>
      <c r="N343" s="115"/>
      <c r="O343" s="115"/>
      <c r="P343" s="115"/>
      <c r="Q343" s="115"/>
      <c r="R343" s="115"/>
      <c r="S343" s="115"/>
      <c r="T343" s="115"/>
      <c r="U343" s="115"/>
      <c r="V343" s="115" t="s">
        <v>91</v>
      </c>
      <c r="W343" s="115" t="s">
        <v>92</v>
      </c>
      <c r="X343" s="113">
        <f>IF(INDIRECT("W343")="Clássico","13%",IF(INDIRECT("W343")="Premium","18%","-"))</f>
      </c>
      <c r="Y343" s="113" t="s">
        <v>1000</v>
      </c>
    </row>
    <row r="344" ht="50.0" customHeight="true">
      <c r="A344" s="113" t="s">
        <v>22</v>
      </c>
      <c r="B344" s="113" t="s">
        <v>1278</v>
      </c>
      <c r="C344" s="113" t="s">
        <v>1280</v>
      </c>
      <c r="D344" s="113" t="s">
        <v>1280</v>
      </c>
      <c r="E344" s="114" t="s">
        <v>1008</v>
      </c>
      <c r="F344" s="116">
        <f>"     "&amp;F343</f>
      </c>
      <c r="G344" s="113" t="s">
        <v>1078</v>
      </c>
      <c r="H344" s="113" t="s">
        <v>103</v>
      </c>
      <c r="I344" s="113">
        <f>I343</f>
      </c>
      <c r="J344" s="113">
        <f>J343&amp;"     "</f>
      </c>
      <c r="K344" s="113" t="s">
        <v>81</v>
      </c>
      <c r="L344" s="113">
        <f>L343</f>
      </c>
      <c r="M344" s="113">
        <f>M343</f>
      </c>
      <c r="N344" s="113">
        <f>N343</f>
      </c>
      <c r="O344" s="113">
        <f>O343</f>
      </c>
      <c r="P344" s="113">
        <f>P343</f>
      </c>
      <c r="Q344" s="113">
        <f>Q343</f>
      </c>
      <c r="R344" s="113">
        <f>R343</f>
      </c>
      <c r="S344" s="113">
        <f>S343</f>
      </c>
      <c r="T344" s="113">
        <f>T343</f>
      </c>
      <c r="U344" s="113">
        <f>U343</f>
      </c>
      <c r="V344" s="113">
        <f>V343&amp;"     "</f>
      </c>
      <c r="W344" s="113">
        <f>W343&amp;"     "</f>
      </c>
      <c r="X344" s="113">
        <f>X343</f>
      </c>
      <c r="Y344" s="113" t="s">
        <v>1000</v>
      </c>
    </row>
    <row r="345" ht="50.0" customHeight="true">
      <c r="A345" s="113" t="s">
        <v>22</v>
      </c>
      <c r="B345" s="113" t="s">
        <v>1278</v>
      </c>
      <c r="C345" s="113" t="s">
        <v>1281</v>
      </c>
      <c r="D345" s="113" t="s">
        <v>1281</v>
      </c>
      <c r="E345" s="114" t="s">
        <v>1011</v>
      </c>
      <c r="F345" s="116">
        <f>"     "&amp;F343</f>
      </c>
      <c r="G345" s="113" t="s">
        <v>1080</v>
      </c>
      <c r="H345" s="113" t="s">
        <v>103</v>
      </c>
      <c r="I345" s="113">
        <f>I343</f>
      </c>
      <c r="J345" s="113">
        <f>J343&amp;"     "</f>
      </c>
      <c r="K345" s="113" t="s">
        <v>81</v>
      </c>
      <c r="L345" s="113">
        <f>L343</f>
      </c>
      <c r="M345" s="113">
        <f>M343</f>
      </c>
      <c r="N345" s="113">
        <f>N343</f>
      </c>
      <c r="O345" s="113">
        <f>O343</f>
      </c>
      <c r="P345" s="113">
        <f>P343</f>
      </c>
      <c r="Q345" s="113">
        <f>Q343</f>
      </c>
      <c r="R345" s="113">
        <f>R343</f>
      </c>
      <c r="S345" s="113">
        <f>S343</f>
      </c>
      <c r="T345" s="113">
        <f>T343</f>
      </c>
      <c r="U345" s="113">
        <f>U343</f>
      </c>
      <c r="V345" s="113">
        <f>V343&amp;"     "</f>
      </c>
      <c r="W345" s="113">
        <f>W343&amp;"     "</f>
      </c>
      <c r="X345" s="113">
        <f>X343</f>
      </c>
      <c r="Y345" s="113" t="s">
        <v>1000</v>
      </c>
    </row>
    <row r="346" ht="50.0" customHeight="true">
      <c r="A346" s="113" t="s">
        <v>22</v>
      </c>
      <c r="B346" s="113" t="s">
        <v>1278</v>
      </c>
      <c r="C346" s="113" t="s">
        <v>1282</v>
      </c>
      <c r="D346" s="113" t="s">
        <v>1282</v>
      </c>
      <c r="E346" s="114" t="s">
        <v>1005</v>
      </c>
      <c r="F346" s="116">
        <f>"     "&amp;F343</f>
      </c>
      <c r="G346" s="113" t="s">
        <v>1006</v>
      </c>
      <c r="H346" s="113" t="s">
        <v>103</v>
      </c>
      <c r="I346" s="113">
        <f>I343</f>
      </c>
      <c r="J346" s="113">
        <f>J343&amp;"     "</f>
      </c>
      <c r="K346" s="113" t="s">
        <v>81</v>
      </c>
      <c r="L346" s="113">
        <f>L343</f>
      </c>
      <c r="M346" s="113">
        <f>M343</f>
      </c>
      <c r="N346" s="113">
        <f>N343</f>
      </c>
      <c r="O346" s="113">
        <f>O343</f>
      </c>
      <c r="P346" s="113">
        <f>P343</f>
      </c>
      <c r="Q346" s="113">
        <f>Q343</f>
      </c>
      <c r="R346" s="113">
        <f>R343</f>
      </c>
      <c r="S346" s="113">
        <f>S343</f>
      </c>
      <c r="T346" s="113">
        <f>T343</f>
      </c>
      <c r="U346" s="113">
        <f>U343</f>
      </c>
      <c r="V346" s="113">
        <f>V343&amp;"     "</f>
      </c>
      <c r="W346" s="113">
        <f>W343&amp;"     "</f>
      </c>
      <c r="X346" s="113">
        <f>X343</f>
      </c>
      <c r="Y346" s="113" t="s">
        <v>1000</v>
      </c>
    </row>
    <row r="347" ht="50.0" customHeight="true">
      <c r="A347" s="113" t="s">
        <v>22</v>
      </c>
      <c r="B347" s="113" t="s">
        <v>1278</v>
      </c>
      <c r="C347" s="113" t="s">
        <v>1283</v>
      </c>
      <c r="D347" s="113" t="s">
        <v>1283</v>
      </c>
      <c r="E347" s="114" t="s">
        <v>1002</v>
      </c>
      <c r="F347" s="116">
        <f>"     "&amp;F343</f>
      </c>
      <c r="G347" s="113" t="s">
        <v>1003</v>
      </c>
      <c r="H347" s="113" t="s">
        <v>103</v>
      </c>
      <c r="I347" s="113">
        <f>I343</f>
      </c>
      <c r="J347" s="113">
        <f>J343&amp;"     "</f>
      </c>
      <c r="K347" s="113" t="s">
        <v>81</v>
      </c>
      <c r="L347" s="113">
        <f>L343</f>
      </c>
      <c r="M347" s="113">
        <f>M343</f>
      </c>
      <c r="N347" s="113">
        <f>N343</f>
      </c>
      <c r="O347" s="113">
        <f>O343</f>
      </c>
      <c r="P347" s="113">
        <f>P343</f>
      </c>
      <c r="Q347" s="113">
        <f>Q343</f>
      </c>
      <c r="R347" s="113">
        <f>R343</f>
      </c>
      <c r="S347" s="113">
        <f>S343</f>
      </c>
      <c r="T347" s="113">
        <f>T343</f>
      </c>
      <c r="U347" s="113">
        <f>U343</f>
      </c>
      <c r="V347" s="113">
        <f>V343&amp;"     "</f>
      </c>
      <c r="W347" s="113">
        <f>W343&amp;"     "</f>
      </c>
      <c r="X347" s="113">
        <f>X343</f>
      </c>
      <c r="Y347" s="113" t="s">
        <v>1000</v>
      </c>
    </row>
    <row r="348" ht="50.0" customHeight="true">
      <c r="A348" s="113" t="s">
        <v>1284</v>
      </c>
      <c r="B348" s="113" t="s">
        <v>1285</v>
      </c>
      <c r="C348" s="113" t="s">
        <v>1286</v>
      </c>
      <c r="D348" s="113"/>
      <c r="E348" s="114" t="s">
        <v>1193</v>
      </c>
      <c r="F348" s="113" t="s">
        <v>1287</v>
      </c>
      <c r="G348" s="113" t="s">
        <v>1287</v>
      </c>
      <c r="H348" s="113" t="s">
        <v>132</v>
      </c>
      <c r="I348" s="115" t="n">
        <v>349.24</v>
      </c>
      <c r="J348" s="115" t="s">
        <v>80</v>
      </c>
      <c r="K348" s="115" t="s">
        <v>81</v>
      </c>
      <c r="L348" s="115" t="n">
        <v>288.04</v>
      </c>
      <c r="M348" s="115" t="n">
        <v>3.0</v>
      </c>
      <c r="N348" s="115"/>
      <c r="O348" s="115"/>
      <c r="P348" s="115"/>
      <c r="Q348" s="115"/>
      <c r="R348" s="115"/>
      <c r="S348" s="115"/>
      <c r="T348" s="115"/>
      <c r="U348" s="115"/>
      <c r="V348" s="115" t="s">
        <v>82</v>
      </c>
      <c r="W348" s="115" t="s">
        <v>83</v>
      </c>
      <c r="X348" s="113">
        <f>IF(INDIRECT("W348")="Clássico","12%",IF(INDIRECT("W348")="Premium","17%","-"))</f>
      </c>
      <c r="Y348" s="113" t="s">
        <v>512</v>
      </c>
    </row>
    <row r="349" ht="50.0" customHeight="true">
      <c r="A349" s="113" t="s">
        <v>1288</v>
      </c>
      <c r="B349" s="113" t="s">
        <v>1289</v>
      </c>
      <c r="C349" s="113" t="s">
        <v>1290</v>
      </c>
      <c r="D349" s="113"/>
      <c r="E349" s="114" t="s">
        <v>1291</v>
      </c>
      <c r="F349" s="113" t="s">
        <v>1292</v>
      </c>
      <c r="G349" s="113" t="s">
        <v>1292</v>
      </c>
      <c r="H349" s="113" t="s">
        <v>103</v>
      </c>
      <c r="I349" s="115" t="n">
        <v>218.86</v>
      </c>
      <c r="J349" s="115" t="s">
        <v>80</v>
      </c>
      <c r="K349" s="115" t="s">
        <v>81</v>
      </c>
      <c r="L349" s="115" t="n">
        <v>181.97</v>
      </c>
      <c r="M349" s="115" t="n">
        <v>3.0</v>
      </c>
      <c r="N349" s="115"/>
      <c r="O349" s="115"/>
      <c r="P349" s="115"/>
      <c r="Q349" s="115"/>
      <c r="R349" s="115"/>
      <c r="S349" s="115"/>
      <c r="T349" s="115"/>
      <c r="U349" s="115"/>
      <c r="V349" s="115" t="s">
        <v>82</v>
      </c>
      <c r="W349" s="115" t="s">
        <v>92</v>
      </c>
      <c r="X349" s="113">
        <f>IF(INDIRECT("W349")="Clássico","12%",IF(INDIRECT("W349")="Premium","17%","-"))</f>
      </c>
      <c r="Y349" s="113" t="s">
        <v>1293</v>
      </c>
    </row>
    <row r="350" ht="50.0" customHeight="true">
      <c r="A350" s="113" t="s">
        <v>1294</v>
      </c>
      <c r="B350" s="113" t="s">
        <v>1295</v>
      </c>
      <c r="C350" s="113" t="s">
        <v>1296</v>
      </c>
      <c r="D350" s="113"/>
      <c r="E350" s="114" t="s">
        <v>280</v>
      </c>
      <c r="F350" s="113" t="s">
        <v>1297</v>
      </c>
      <c r="G350" s="113" t="s">
        <v>127</v>
      </c>
      <c r="H350" s="113" t="s">
        <v>103</v>
      </c>
      <c r="I350" s="115" t="n">
        <v>477.09</v>
      </c>
      <c r="J350" s="115" t="s">
        <v>80</v>
      </c>
      <c r="K350" s="115" t="s">
        <v>81</v>
      </c>
      <c r="L350" s="115" t="n">
        <v>472.21</v>
      </c>
      <c r="M350" s="115" t="n">
        <v>3.0</v>
      </c>
      <c r="N350" s="115"/>
      <c r="O350" s="115"/>
      <c r="P350" s="115"/>
      <c r="Q350" s="115"/>
      <c r="R350" s="115"/>
      <c r="S350" s="115"/>
      <c r="T350" s="115"/>
      <c r="U350" s="115"/>
      <c r="V350" s="115" t="s">
        <v>82</v>
      </c>
      <c r="W350" s="115" t="s">
        <v>83</v>
      </c>
      <c r="X350" s="113">
        <f>IF(INDIRECT("W350")="Clássico","12%",IF(INDIRECT("W350")="Premium","17%","-"))</f>
      </c>
      <c r="Y350" s="113" t="s">
        <v>423</v>
      </c>
    </row>
    <row r="351" ht="50.0" customHeight="true">
      <c r="A351" s="113" t="s">
        <v>1298</v>
      </c>
      <c r="B351" s="113" t="s">
        <v>1299</v>
      </c>
      <c r="C351" s="113" t="s">
        <v>1300</v>
      </c>
      <c r="D351" s="113"/>
      <c r="E351" s="114" t="s">
        <v>925</v>
      </c>
      <c r="F351" s="113" t="s">
        <v>1301</v>
      </c>
      <c r="G351" s="113" t="s">
        <v>566</v>
      </c>
      <c r="H351" s="113" t="s">
        <v>103</v>
      </c>
      <c r="I351" s="115" t="n">
        <v>355.66</v>
      </c>
      <c r="J351" s="115" t="s">
        <v>80</v>
      </c>
      <c r="K351" s="115" t="s">
        <v>81</v>
      </c>
      <c r="L351" s="115" t="n">
        <v>336.65</v>
      </c>
      <c r="M351" s="115" t="n">
        <v>3.0</v>
      </c>
      <c r="N351" s="115"/>
      <c r="O351" s="115"/>
      <c r="P351" s="115"/>
      <c r="Q351" s="115"/>
      <c r="R351" s="115"/>
      <c r="S351" s="115"/>
      <c r="T351" s="115"/>
      <c r="U351" s="115"/>
      <c r="V351" s="115" t="s">
        <v>82</v>
      </c>
      <c r="W351" s="115" t="s">
        <v>83</v>
      </c>
      <c r="X351" s="113">
        <f>IF(INDIRECT("W351")="Clássico","12%",IF(INDIRECT("W351")="Premium","17%","-"))</f>
      </c>
      <c r="Y351" s="113" t="s">
        <v>414</v>
      </c>
    </row>
    <row r="352" ht="50.0" customHeight="true">
      <c r="A352" s="113" t="s">
        <v>1302</v>
      </c>
      <c r="B352" s="113" t="s">
        <v>1303</v>
      </c>
      <c r="C352" s="113" t="s">
        <v>1304</v>
      </c>
      <c r="D352" s="113"/>
      <c r="E352" s="114" t="s">
        <v>1305</v>
      </c>
      <c r="F352" s="113" t="s">
        <v>1306</v>
      </c>
      <c r="G352" s="113" t="s">
        <v>1306</v>
      </c>
      <c r="H352" s="113" t="s">
        <v>103</v>
      </c>
      <c r="I352" s="115" t="n">
        <v>785.96</v>
      </c>
      <c r="J352" s="115" t="s">
        <v>80</v>
      </c>
      <c r="K352" s="115" t="s">
        <v>81</v>
      </c>
      <c r="L352" s="115" t="n">
        <v>783.6</v>
      </c>
      <c r="M352" s="115" t="n">
        <v>3.0</v>
      </c>
      <c r="N352" s="115"/>
      <c r="O352" s="115"/>
      <c r="P352" s="115"/>
      <c r="Q352" s="115"/>
      <c r="R352" s="115"/>
      <c r="S352" s="115"/>
      <c r="T352" s="115"/>
      <c r="U352" s="115"/>
      <c r="V352" s="115" t="s">
        <v>82</v>
      </c>
      <c r="W352" s="115" t="s">
        <v>83</v>
      </c>
      <c r="X352" s="113">
        <f>IF(INDIRECT("W352")="Clássico","12%",IF(INDIRECT("W352")="Premium","17%","-"))</f>
      </c>
      <c r="Y352" s="113" t="s">
        <v>1307</v>
      </c>
    </row>
    <row r="353" ht="50.0" customHeight="true">
      <c r="A353" s="113" t="s">
        <v>1308</v>
      </c>
      <c r="B353" s="113" t="s">
        <v>1309</v>
      </c>
      <c r="C353" s="113" t="s">
        <v>1310</v>
      </c>
      <c r="D353" s="113"/>
      <c r="E353" s="114" t="s">
        <v>1096</v>
      </c>
      <c r="F353" s="113" t="s">
        <v>1311</v>
      </c>
      <c r="G353" s="113" t="s">
        <v>1311</v>
      </c>
      <c r="H353" s="113" t="s">
        <v>132</v>
      </c>
      <c r="I353" s="115" t="n">
        <v>108.74</v>
      </c>
      <c r="J353" s="115" t="s">
        <v>80</v>
      </c>
      <c r="K353" s="115" t="s">
        <v>81</v>
      </c>
      <c r="L353" s="115" t="n">
        <v>84.75</v>
      </c>
      <c r="M353" s="115" t="n">
        <v>3.0</v>
      </c>
      <c r="N353" s="115"/>
      <c r="O353" s="115"/>
      <c r="P353" s="115"/>
      <c r="Q353" s="115"/>
      <c r="R353" s="115"/>
      <c r="S353" s="115"/>
      <c r="T353" s="115"/>
      <c r="U353" s="115"/>
      <c r="V353" s="115" t="s">
        <v>82</v>
      </c>
      <c r="W353" s="115" t="s">
        <v>83</v>
      </c>
      <c r="X353" s="113">
        <f>IF(INDIRECT("W353")="Clássico","12%",IF(INDIRECT("W353")="Premium","17%","-"))</f>
      </c>
      <c r="Y353" s="113" t="s">
        <v>1098</v>
      </c>
    </row>
    <row r="354" ht="50.0" customHeight="true">
      <c r="A354" s="113" t="s">
        <v>1312</v>
      </c>
      <c r="B354" s="113" t="s">
        <v>1313</v>
      </c>
      <c r="C354" s="113" t="s">
        <v>1314</v>
      </c>
      <c r="D354" s="113"/>
      <c r="E354" s="114" t="s">
        <v>1020</v>
      </c>
      <c r="F354" s="113" t="s">
        <v>1315</v>
      </c>
      <c r="G354" s="113" t="s">
        <v>493</v>
      </c>
      <c r="H354" s="113" t="s">
        <v>103</v>
      </c>
      <c r="I354" s="115" t="n">
        <v>151.89</v>
      </c>
      <c r="J354" s="115" t="s">
        <v>80</v>
      </c>
      <c r="K354" s="115" t="s">
        <v>81</v>
      </c>
      <c r="L354" s="115" t="n">
        <v>146.89</v>
      </c>
      <c r="M354" s="115" t="n">
        <v>3.0</v>
      </c>
      <c r="N354" s="115"/>
      <c r="O354" s="115"/>
      <c r="P354" s="115"/>
      <c r="Q354" s="115"/>
      <c r="R354" s="115"/>
      <c r="S354" s="115"/>
      <c r="T354" s="115"/>
      <c r="U354" s="115"/>
      <c r="V354" s="115" t="s">
        <v>82</v>
      </c>
      <c r="W354" s="115" t="s">
        <v>92</v>
      </c>
      <c r="X354" s="113">
        <f>IF(INDIRECT("W354")="Clássico","13%",IF(INDIRECT("W354")="Premium","18%","-"))</f>
      </c>
      <c r="Y354" s="113" t="s">
        <v>1022</v>
      </c>
    </row>
    <row r="355" ht="50.0" customHeight="true">
      <c r="A355" s="113" t="s">
        <v>1316</v>
      </c>
      <c r="B355" s="113" t="s">
        <v>1317</v>
      </c>
      <c r="C355" s="113" t="s">
        <v>1318</v>
      </c>
      <c r="D355" s="113"/>
      <c r="E355" s="114" t="s">
        <v>270</v>
      </c>
      <c r="F355" s="113" t="s">
        <v>1319</v>
      </c>
      <c r="G355" s="113" t="s">
        <v>1319</v>
      </c>
      <c r="H355" s="113" t="s">
        <v>103</v>
      </c>
      <c r="I355" s="115" t="n">
        <v>168.83</v>
      </c>
      <c r="J355" s="115" t="s">
        <v>80</v>
      </c>
      <c r="K355" s="115" t="s">
        <v>81</v>
      </c>
      <c r="L355" s="115" t="n">
        <v>163.83</v>
      </c>
      <c r="M355" s="115" t="n">
        <v>3.0</v>
      </c>
      <c r="N355" s="115"/>
      <c r="O355" s="115"/>
      <c r="P355" s="115"/>
      <c r="Q355" s="115"/>
      <c r="R355" s="115"/>
      <c r="S355" s="115"/>
      <c r="T355" s="115"/>
      <c r="U355" s="115"/>
      <c r="V355" s="115" t="s">
        <v>82</v>
      </c>
      <c r="W355" s="115" t="s">
        <v>92</v>
      </c>
      <c r="X355" s="113">
        <f>IF(INDIRECT("W355")="Clássico","12%",IF(INDIRECT("W355")="Premium","17%","-"))</f>
      </c>
      <c r="Y355" s="113" t="s">
        <v>883</v>
      </c>
    </row>
    <row r="356" ht="50.0" customHeight="true">
      <c r="A356" s="113" t="s">
        <v>22</v>
      </c>
      <c r="B356" s="113" t="s">
        <v>1320</v>
      </c>
      <c r="C356" s="113"/>
      <c r="D356" s="113"/>
      <c r="E356" s="113" t="s">
        <v>22</v>
      </c>
      <c r="F356" s="113" t="s">
        <v>1104</v>
      </c>
      <c r="G356" s="113" t="s">
        <v>103</v>
      </c>
      <c r="H356" s="113" t="s">
        <v>103</v>
      </c>
      <c r="I356" s="115" t="n">
        <v>35.82</v>
      </c>
      <c r="J356" s="115" t="s">
        <v>80</v>
      </c>
      <c r="K356" s="113" t="s">
        <v>81</v>
      </c>
      <c r="L356" s="115" t="n">
        <v>30.82</v>
      </c>
      <c r="M356" s="115" t="n">
        <v>3.0</v>
      </c>
      <c r="N356" s="115"/>
      <c r="O356" s="115"/>
      <c r="P356" s="115"/>
      <c r="Q356" s="115"/>
      <c r="R356" s="115"/>
      <c r="S356" s="115"/>
      <c r="T356" s="115"/>
      <c r="U356" s="115"/>
      <c r="V356" s="115" t="s">
        <v>91</v>
      </c>
      <c r="W356" s="115" t="s">
        <v>92</v>
      </c>
      <c r="X356" s="113">
        <f>IF(INDIRECT("W356")="Clássico","12%",IF(INDIRECT("W356")="Premium","17%","-"))</f>
      </c>
      <c r="Y356" s="113" t="s">
        <v>1105</v>
      </c>
    </row>
    <row r="357" ht="50.0" customHeight="true">
      <c r="A357" s="113" t="s">
        <v>22</v>
      </c>
      <c r="B357" s="113" t="s">
        <v>1320</v>
      </c>
      <c r="C357" s="113" t="s">
        <v>1321</v>
      </c>
      <c r="D357" s="113" t="s">
        <v>1321</v>
      </c>
      <c r="E357" s="114" t="s">
        <v>1107</v>
      </c>
      <c r="F357" s="116">
        <f>"     "&amp;F356</f>
      </c>
      <c r="G357" s="113" t="s">
        <v>1108</v>
      </c>
      <c r="H357" s="113" t="s">
        <v>103</v>
      </c>
      <c r="I357" s="113">
        <f>I356</f>
      </c>
      <c r="J357" s="113">
        <f>J356&amp;"     "</f>
      </c>
      <c r="K357" s="113" t="s">
        <v>81</v>
      </c>
      <c r="L357" s="113">
        <f>L356</f>
      </c>
      <c r="M357" s="113">
        <f>M356</f>
      </c>
      <c r="N357" s="113">
        <f>N356</f>
      </c>
      <c r="O357" s="113">
        <f>O356</f>
      </c>
      <c r="P357" s="113">
        <f>P356</f>
      </c>
      <c r="Q357" s="113">
        <f>Q356</f>
      </c>
      <c r="R357" s="113">
        <f>R356</f>
      </c>
      <c r="S357" s="113">
        <f>S356</f>
      </c>
      <c r="T357" s="113">
        <f>T356</f>
      </c>
      <c r="U357" s="113">
        <f>U356</f>
      </c>
      <c r="V357" s="113">
        <f>V356&amp;"     "</f>
      </c>
      <c r="W357" s="113">
        <f>W356&amp;"     "</f>
      </c>
      <c r="X357" s="113">
        <f>X356</f>
      </c>
      <c r="Y357" s="113" t="s">
        <v>1105</v>
      </c>
    </row>
    <row r="358" ht="50.0" customHeight="true">
      <c r="A358" s="113" t="s">
        <v>22</v>
      </c>
      <c r="B358" s="113" t="s">
        <v>1320</v>
      </c>
      <c r="C358" s="113" t="s">
        <v>1322</v>
      </c>
      <c r="D358" s="113" t="s">
        <v>1322</v>
      </c>
      <c r="E358" s="114" t="s">
        <v>1110</v>
      </c>
      <c r="F358" s="116">
        <f>"     "&amp;F356</f>
      </c>
      <c r="G358" s="113" t="s">
        <v>1111</v>
      </c>
      <c r="H358" s="113" t="s">
        <v>103</v>
      </c>
      <c r="I358" s="113">
        <f>I356</f>
      </c>
      <c r="J358" s="113">
        <f>J356&amp;"     "</f>
      </c>
      <c r="K358" s="113" t="s">
        <v>81</v>
      </c>
      <c r="L358" s="113">
        <f>L356</f>
      </c>
      <c r="M358" s="113">
        <f>M356</f>
      </c>
      <c r="N358" s="113">
        <f>N356</f>
      </c>
      <c r="O358" s="113">
        <f>O356</f>
      </c>
      <c r="P358" s="113">
        <f>P356</f>
      </c>
      <c r="Q358" s="113">
        <f>Q356</f>
      </c>
      <c r="R358" s="113">
        <f>R356</f>
      </c>
      <c r="S358" s="113">
        <f>S356</f>
      </c>
      <c r="T358" s="113">
        <f>T356</f>
      </c>
      <c r="U358" s="113">
        <f>U356</f>
      </c>
      <c r="V358" s="113">
        <f>V356&amp;"     "</f>
      </c>
      <c r="W358" s="113">
        <f>W356&amp;"     "</f>
      </c>
      <c r="X358" s="113">
        <f>X356</f>
      </c>
      <c r="Y358" s="113" t="s">
        <v>1105</v>
      </c>
    </row>
    <row r="359" ht="50.0" customHeight="true">
      <c r="A359" s="113" t="s">
        <v>22</v>
      </c>
      <c r="B359" s="113" t="s">
        <v>1320</v>
      </c>
      <c r="C359" s="113" t="s">
        <v>1323</v>
      </c>
      <c r="D359" s="113" t="s">
        <v>1323</v>
      </c>
      <c r="E359" s="114" t="s">
        <v>1113</v>
      </c>
      <c r="F359" s="116">
        <f>"     "&amp;F356</f>
      </c>
      <c r="G359" s="113" t="s">
        <v>1114</v>
      </c>
      <c r="H359" s="113" t="s">
        <v>103</v>
      </c>
      <c r="I359" s="113">
        <f>I356</f>
      </c>
      <c r="J359" s="113">
        <f>J356&amp;"     "</f>
      </c>
      <c r="K359" s="113" t="s">
        <v>81</v>
      </c>
      <c r="L359" s="113">
        <f>L356</f>
      </c>
      <c r="M359" s="113">
        <f>M356</f>
      </c>
      <c r="N359" s="113">
        <f>N356</f>
      </c>
      <c r="O359" s="113">
        <f>O356</f>
      </c>
      <c r="P359" s="113">
        <f>P356</f>
      </c>
      <c r="Q359" s="113">
        <f>Q356</f>
      </c>
      <c r="R359" s="113">
        <f>R356</f>
      </c>
      <c r="S359" s="113">
        <f>S356</f>
      </c>
      <c r="T359" s="113">
        <f>T356</f>
      </c>
      <c r="U359" s="113">
        <f>U356</f>
      </c>
      <c r="V359" s="113">
        <f>V356&amp;"     "</f>
      </c>
      <c r="W359" s="113">
        <f>W356&amp;"     "</f>
      </c>
      <c r="X359" s="113">
        <f>X356</f>
      </c>
      <c r="Y359" s="113" t="s">
        <v>1105</v>
      </c>
    </row>
    <row r="360" ht="50.0" customHeight="true">
      <c r="A360" s="113" t="s">
        <v>22</v>
      </c>
      <c r="B360" s="113" t="s">
        <v>1320</v>
      </c>
      <c r="C360" s="113" t="s">
        <v>1324</v>
      </c>
      <c r="D360" s="113" t="s">
        <v>1324</v>
      </c>
      <c r="E360" s="114" t="s">
        <v>1116</v>
      </c>
      <c r="F360" s="116">
        <f>"     "&amp;F356</f>
      </c>
      <c r="G360" s="113" t="s">
        <v>1117</v>
      </c>
      <c r="H360" s="113" t="s">
        <v>103</v>
      </c>
      <c r="I360" s="113">
        <f>I356</f>
      </c>
      <c r="J360" s="113">
        <f>J356&amp;"     "</f>
      </c>
      <c r="K360" s="113" t="s">
        <v>81</v>
      </c>
      <c r="L360" s="113">
        <f>L356</f>
      </c>
      <c r="M360" s="113">
        <f>M356</f>
      </c>
      <c r="N360" s="113">
        <f>N356</f>
      </c>
      <c r="O360" s="113">
        <f>O356</f>
      </c>
      <c r="P360" s="113">
        <f>P356</f>
      </c>
      <c r="Q360" s="113">
        <f>Q356</f>
      </c>
      <c r="R360" s="113">
        <f>R356</f>
      </c>
      <c r="S360" s="113">
        <f>S356</f>
      </c>
      <c r="T360" s="113">
        <f>T356</f>
      </c>
      <c r="U360" s="113">
        <f>U356</f>
      </c>
      <c r="V360" s="113">
        <f>V356&amp;"     "</f>
      </c>
      <c r="W360" s="113">
        <f>W356&amp;"     "</f>
      </c>
      <c r="X360" s="113">
        <f>X356</f>
      </c>
      <c r="Y360" s="113" t="s">
        <v>1105</v>
      </c>
    </row>
    <row r="361" ht="50.0" customHeight="true">
      <c r="A361" s="113" t="s">
        <v>1325</v>
      </c>
      <c r="B361" s="113" t="s">
        <v>1326</v>
      </c>
      <c r="C361" s="113" t="s">
        <v>1327</v>
      </c>
      <c r="D361" s="113"/>
      <c r="E361" s="114" t="s">
        <v>1328</v>
      </c>
      <c r="F361" s="113" t="s">
        <v>1329</v>
      </c>
      <c r="G361" s="113" t="s">
        <v>1329</v>
      </c>
      <c r="H361" s="113" t="s">
        <v>103</v>
      </c>
      <c r="I361" s="115" t="n">
        <v>125.19</v>
      </c>
      <c r="J361" s="115" t="s">
        <v>80</v>
      </c>
      <c r="K361" s="115" t="s">
        <v>81</v>
      </c>
      <c r="L361" s="115" t="n">
        <v>120.19</v>
      </c>
      <c r="M361" s="115" t="n">
        <v>3.0</v>
      </c>
      <c r="N361" s="115"/>
      <c r="O361" s="115"/>
      <c r="P361" s="115"/>
      <c r="Q361" s="115"/>
      <c r="R361" s="115"/>
      <c r="S361" s="115"/>
      <c r="T361" s="115"/>
      <c r="U361" s="115"/>
      <c r="V361" s="115" t="s">
        <v>82</v>
      </c>
      <c r="W361" s="115" t="s">
        <v>83</v>
      </c>
      <c r="X361" s="113">
        <f>IF(INDIRECT("W361")="Clássico","12%",IF(INDIRECT("W361")="Premium","17%","-"))</f>
      </c>
      <c r="Y361" s="113" t="s">
        <v>1330</v>
      </c>
    </row>
    <row r="362" ht="50.0" customHeight="true">
      <c r="A362" s="113" t="s">
        <v>1331</v>
      </c>
      <c r="B362" s="113" t="s">
        <v>1332</v>
      </c>
      <c r="C362" s="113" t="s">
        <v>1333</v>
      </c>
      <c r="D362" s="113"/>
      <c r="E362" s="114" t="s">
        <v>404</v>
      </c>
      <c r="F362" s="113" t="s">
        <v>1334</v>
      </c>
      <c r="G362" s="113" t="s">
        <v>127</v>
      </c>
      <c r="H362" s="113" t="s">
        <v>103</v>
      </c>
      <c r="I362" s="115" t="n">
        <v>137.85</v>
      </c>
      <c r="J362" s="115" t="s">
        <v>80</v>
      </c>
      <c r="K362" s="115" t="s">
        <v>81</v>
      </c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 t="s">
        <v>82</v>
      </c>
      <c r="W362" s="115" t="s">
        <v>83</v>
      </c>
      <c r="X362" s="113">
        <f>IF(INDIRECT("W362")="Clássico","12%",IF(INDIRECT("W362")="Premium","17%","-"))</f>
      </c>
      <c r="Y362" s="113" t="s">
        <v>128</v>
      </c>
    </row>
    <row r="363" ht="50.0" customHeight="true">
      <c r="A363" s="113" t="s">
        <v>1335</v>
      </c>
      <c r="B363" s="113" t="s">
        <v>1336</v>
      </c>
      <c r="C363" s="113" t="s">
        <v>1337</v>
      </c>
      <c r="D363" s="113"/>
      <c r="E363" s="114" t="s">
        <v>1338</v>
      </c>
      <c r="F363" s="113" t="s">
        <v>1339</v>
      </c>
      <c r="G363" s="113" t="s">
        <v>1339</v>
      </c>
      <c r="H363" s="113" t="s">
        <v>103</v>
      </c>
      <c r="I363" s="115" t="n">
        <v>154.31</v>
      </c>
      <c r="J363" s="115" t="s">
        <v>80</v>
      </c>
      <c r="K363" s="115" t="s">
        <v>81</v>
      </c>
      <c r="L363" s="115" t="n">
        <v>158.17</v>
      </c>
      <c r="M363" s="115" t="n">
        <v>3.0</v>
      </c>
      <c r="N363" s="115"/>
      <c r="O363" s="115"/>
      <c r="P363" s="115"/>
      <c r="Q363" s="115"/>
      <c r="R363" s="115"/>
      <c r="S363" s="115"/>
      <c r="T363" s="115"/>
      <c r="U363" s="115"/>
      <c r="V363" s="115" t="s">
        <v>82</v>
      </c>
      <c r="W363" s="115" t="s">
        <v>83</v>
      </c>
      <c r="X363" s="113">
        <f>IF(INDIRECT("W363")="Clássico","12%",IF(INDIRECT("W363")="Premium","17%","-"))</f>
      </c>
      <c r="Y363" s="113" t="s">
        <v>1098</v>
      </c>
    </row>
    <row r="364" ht="50.0" customHeight="true">
      <c r="A364" s="113" t="s">
        <v>1340</v>
      </c>
      <c r="B364" s="113" t="s">
        <v>1341</v>
      </c>
      <c r="C364" s="113" t="s">
        <v>1342</v>
      </c>
      <c r="D364" s="113"/>
      <c r="E364" s="114" t="s">
        <v>155</v>
      </c>
      <c r="F364" s="113" t="s">
        <v>1343</v>
      </c>
      <c r="G364" s="113" t="s">
        <v>127</v>
      </c>
      <c r="H364" s="113" t="s">
        <v>103</v>
      </c>
      <c r="I364" s="115" t="n">
        <v>301.14</v>
      </c>
      <c r="J364" s="115" t="s">
        <v>80</v>
      </c>
      <c r="K364" s="115" t="s">
        <v>81</v>
      </c>
      <c r="L364" s="115" t="n">
        <v>294.99</v>
      </c>
      <c r="M364" s="115" t="n">
        <v>3.0</v>
      </c>
      <c r="N364" s="115"/>
      <c r="O364" s="115"/>
      <c r="P364" s="115"/>
      <c r="Q364" s="115"/>
      <c r="R364" s="115"/>
      <c r="S364" s="115"/>
      <c r="T364" s="115"/>
      <c r="U364" s="115"/>
      <c r="V364" s="115" t="s">
        <v>82</v>
      </c>
      <c r="W364" s="115" t="s">
        <v>83</v>
      </c>
      <c r="X364" s="113">
        <f>IF(INDIRECT("W364")="Clássico","12%",IF(INDIRECT("W364")="Premium","17%","-"))</f>
      </c>
      <c r="Y364" s="113" t="s">
        <v>158</v>
      </c>
    </row>
    <row r="365" ht="50.0" customHeight="true">
      <c r="A365" s="113" t="s">
        <v>1344</v>
      </c>
      <c r="B365" s="113" t="s">
        <v>1345</v>
      </c>
      <c r="C365" s="113" t="s">
        <v>1346</v>
      </c>
      <c r="D365" s="113"/>
      <c r="E365" s="114" t="s">
        <v>920</v>
      </c>
      <c r="F365" s="113" t="s">
        <v>1347</v>
      </c>
      <c r="G365" s="113" t="s">
        <v>1347</v>
      </c>
      <c r="H365" s="113" t="s">
        <v>103</v>
      </c>
      <c r="I365" s="115" t="n">
        <v>197.34</v>
      </c>
      <c r="J365" s="115" t="s">
        <v>80</v>
      </c>
      <c r="K365" s="115" t="s">
        <v>81</v>
      </c>
      <c r="L365" s="115" t="n">
        <v>188.66</v>
      </c>
      <c r="M365" s="115" t="n">
        <v>3.0</v>
      </c>
      <c r="N365" s="115"/>
      <c r="O365" s="115"/>
      <c r="P365" s="115"/>
      <c r="Q365" s="115"/>
      <c r="R365" s="115"/>
      <c r="S365" s="115"/>
      <c r="T365" s="115"/>
      <c r="U365" s="115"/>
      <c r="V365" s="115" t="s">
        <v>82</v>
      </c>
      <c r="W365" s="115" t="s">
        <v>92</v>
      </c>
      <c r="X365" s="113">
        <f>IF(INDIRECT("W365")="Clássico","12%",IF(INDIRECT("W365")="Premium","17%","-"))</f>
      </c>
      <c r="Y365" s="113" t="s">
        <v>482</v>
      </c>
    </row>
    <row r="366" ht="50.0" customHeight="true">
      <c r="A366" s="113" t="s">
        <v>1228</v>
      </c>
      <c r="B366" s="113" t="s">
        <v>1348</v>
      </c>
      <c r="C366" s="113" t="s">
        <v>1349</v>
      </c>
      <c r="D366" s="113"/>
      <c r="E366" s="114" t="s">
        <v>1231</v>
      </c>
      <c r="F366" s="113" t="s">
        <v>1232</v>
      </c>
      <c r="G366" s="113" t="s">
        <v>1232</v>
      </c>
      <c r="H366" s="113" t="s">
        <v>103</v>
      </c>
      <c r="I366" s="115" t="n">
        <v>469.5</v>
      </c>
      <c r="J366" s="115" t="s">
        <v>80</v>
      </c>
      <c r="K366" s="115" t="s">
        <v>81</v>
      </c>
      <c r="L366" s="115" t="n">
        <v>492.22</v>
      </c>
      <c r="M366" s="115" t="n">
        <v>3.0</v>
      </c>
      <c r="N366" s="115"/>
      <c r="O366" s="115"/>
      <c r="P366" s="115"/>
      <c r="Q366" s="115"/>
      <c r="R366" s="115"/>
      <c r="S366" s="115"/>
      <c r="T366" s="115"/>
      <c r="U366" s="115"/>
      <c r="V366" s="115" t="s">
        <v>82</v>
      </c>
      <c r="W366" s="115" t="s">
        <v>83</v>
      </c>
      <c r="X366" s="113">
        <f>IF(INDIRECT("W366")="Clássico","12%",IF(INDIRECT("W366")="Premium","17%","-"))</f>
      </c>
      <c r="Y366" s="113" t="s">
        <v>1233</v>
      </c>
    </row>
    <row r="367" ht="50.0" customHeight="true">
      <c r="A367" s="113" t="s">
        <v>513</v>
      </c>
      <c r="B367" s="113" t="s">
        <v>1350</v>
      </c>
      <c r="C367" s="113" t="s">
        <v>1351</v>
      </c>
      <c r="D367" s="113"/>
      <c r="E367" s="114" t="s">
        <v>516</v>
      </c>
      <c r="F367" s="113" t="s">
        <v>517</v>
      </c>
      <c r="G367" s="113" t="s">
        <v>518</v>
      </c>
      <c r="H367" s="113" t="s">
        <v>103</v>
      </c>
      <c r="I367" s="115" t="n">
        <v>66.96</v>
      </c>
      <c r="J367" s="115" t="s">
        <v>80</v>
      </c>
      <c r="K367" s="115" t="s">
        <v>81</v>
      </c>
      <c r="L367" s="115" t="n">
        <v>61.96</v>
      </c>
      <c r="M367" s="115" t="n">
        <v>3.0</v>
      </c>
      <c r="N367" s="115"/>
      <c r="O367" s="115"/>
      <c r="P367" s="115"/>
      <c r="Q367" s="115"/>
      <c r="R367" s="115"/>
      <c r="S367" s="115"/>
      <c r="T367" s="115"/>
      <c r="U367" s="115"/>
      <c r="V367" s="115" t="s">
        <v>91</v>
      </c>
      <c r="W367" s="115" t="s">
        <v>92</v>
      </c>
      <c r="X367" s="113">
        <f>IF(INDIRECT("W367")="Clássico","11.5%",IF(INDIRECT("W367")="Premium","16.5%","-"))</f>
      </c>
      <c r="Y367" s="113" t="s">
        <v>519</v>
      </c>
    </row>
    <row r="368" ht="50.0" customHeight="true">
      <c r="A368" s="113" t="s">
        <v>1352</v>
      </c>
      <c r="B368" s="113" t="s">
        <v>1353</v>
      </c>
      <c r="C368" s="113" t="s">
        <v>1354</v>
      </c>
      <c r="D368" s="113"/>
      <c r="E368" s="114" t="s">
        <v>155</v>
      </c>
      <c r="F368" s="113" t="s">
        <v>1355</v>
      </c>
      <c r="G368" s="113" t="s">
        <v>127</v>
      </c>
      <c r="H368" s="113" t="s">
        <v>103</v>
      </c>
      <c r="I368" s="115" t="n">
        <v>437.35</v>
      </c>
      <c r="J368" s="115" t="s">
        <v>80</v>
      </c>
      <c r="K368" s="115" t="s">
        <v>81</v>
      </c>
      <c r="L368" s="115" t="n">
        <v>432.35</v>
      </c>
      <c r="M368" s="115" t="n">
        <v>3.0</v>
      </c>
      <c r="N368" s="115"/>
      <c r="O368" s="115"/>
      <c r="P368" s="115"/>
      <c r="Q368" s="115"/>
      <c r="R368" s="115"/>
      <c r="S368" s="115"/>
      <c r="T368" s="115"/>
      <c r="U368" s="115"/>
      <c r="V368" s="115" t="s">
        <v>82</v>
      </c>
      <c r="W368" s="115" t="s">
        <v>83</v>
      </c>
      <c r="X368" s="113">
        <f>IF(INDIRECT("W368")="Clássico","12%",IF(INDIRECT("W368")="Premium","17%","-"))</f>
      </c>
      <c r="Y368" s="113" t="s">
        <v>158</v>
      </c>
    </row>
    <row r="369" ht="50.0" customHeight="true">
      <c r="A369" s="113" t="s">
        <v>1356</v>
      </c>
      <c r="B369" s="113" t="s">
        <v>1357</v>
      </c>
      <c r="C369" s="113" t="s">
        <v>1358</v>
      </c>
      <c r="D369" s="113"/>
      <c r="E369" s="114" t="s">
        <v>1359</v>
      </c>
      <c r="F369" s="113" t="s">
        <v>1360</v>
      </c>
      <c r="G369" s="113" t="s">
        <v>127</v>
      </c>
      <c r="H369" s="113" t="s">
        <v>103</v>
      </c>
      <c r="I369" s="115" t="n">
        <v>1059.38</v>
      </c>
      <c r="J369" s="115" t="s">
        <v>80</v>
      </c>
      <c r="K369" s="115" t="s">
        <v>81</v>
      </c>
      <c r="L369" s="115" t="n">
        <v>1146.79</v>
      </c>
      <c r="M369" s="115" t="n">
        <v>3.0</v>
      </c>
      <c r="N369" s="115"/>
      <c r="O369" s="115"/>
      <c r="P369" s="115"/>
      <c r="Q369" s="115"/>
      <c r="R369" s="115"/>
      <c r="S369" s="115"/>
      <c r="T369" s="115"/>
      <c r="U369" s="115"/>
      <c r="V369" s="115" t="s">
        <v>82</v>
      </c>
      <c r="W369" s="115" t="s">
        <v>92</v>
      </c>
      <c r="X369" s="113">
        <f>IF(INDIRECT("W369")="Clássico","12%",IF(INDIRECT("W369")="Premium","17%","-"))</f>
      </c>
      <c r="Y369" s="113" t="s">
        <v>367</v>
      </c>
    </row>
    <row r="370" ht="50.0" customHeight="true">
      <c r="A370" s="113" t="s">
        <v>1361</v>
      </c>
      <c r="B370" s="113" t="s">
        <v>1362</v>
      </c>
      <c r="C370" s="113" t="s">
        <v>1363</v>
      </c>
      <c r="D370" s="113"/>
      <c r="E370" s="114" t="s">
        <v>125</v>
      </c>
      <c r="F370" s="113" t="s">
        <v>1364</v>
      </c>
      <c r="G370" s="113" t="s">
        <v>127</v>
      </c>
      <c r="H370" s="113" t="s">
        <v>99</v>
      </c>
      <c r="I370" s="115" t="n">
        <v>146.71</v>
      </c>
      <c r="J370" s="115" t="s">
        <v>80</v>
      </c>
      <c r="K370" s="115" t="s">
        <v>81</v>
      </c>
      <c r="L370" s="115" t="n">
        <v>135.5</v>
      </c>
      <c r="M370" s="115" t="n">
        <v>3.0</v>
      </c>
      <c r="N370" s="115"/>
      <c r="O370" s="115"/>
      <c r="P370" s="115"/>
      <c r="Q370" s="115"/>
      <c r="R370" s="115"/>
      <c r="S370" s="115"/>
      <c r="T370" s="115"/>
      <c r="U370" s="115"/>
      <c r="V370" s="115" t="s">
        <v>82</v>
      </c>
      <c r="W370" s="115" t="s">
        <v>83</v>
      </c>
      <c r="X370" s="113">
        <f>IF(INDIRECT("W370")="Clássico","12%",IF(INDIRECT("W370")="Premium","17%","-"))</f>
      </c>
      <c r="Y370" s="113" t="s">
        <v>128</v>
      </c>
    </row>
    <row r="371" ht="50.0" customHeight="true">
      <c r="A371" s="113" t="s">
        <v>1365</v>
      </c>
      <c r="B371" s="113" t="s">
        <v>1366</v>
      </c>
      <c r="C371" s="113" t="s">
        <v>1367</v>
      </c>
      <c r="D371" s="113"/>
      <c r="E371" s="114" t="s">
        <v>1368</v>
      </c>
      <c r="F371" s="113" t="s">
        <v>1369</v>
      </c>
      <c r="G371" s="113" t="s">
        <v>1369</v>
      </c>
      <c r="H371" s="113" t="s">
        <v>103</v>
      </c>
      <c r="I371" s="115" t="n">
        <v>374.56</v>
      </c>
      <c r="J371" s="115" t="s">
        <v>80</v>
      </c>
      <c r="K371" s="115" t="s">
        <v>81</v>
      </c>
      <c r="L371" s="115" t="n">
        <v>382.22</v>
      </c>
      <c r="M371" s="115" t="n">
        <v>3.0</v>
      </c>
      <c r="N371" s="115"/>
      <c r="O371" s="115"/>
      <c r="P371" s="115"/>
      <c r="Q371" s="115"/>
      <c r="R371" s="115"/>
      <c r="S371" s="115"/>
      <c r="T371" s="115"/>
      <c r="U371" s="115"/>
      <c r="V371" s="115" t="s">
        <v>82</v>
      </c>
      <c r="W371" s="115" t="s">
        <v>83</v>
      </c>
      <c r="X371" s="113">
        <f>IF(INDIRECT("W371")="Clássico","12%",IF(INDIRECT("W371")="Premium","17%","-"))</f>
      </c>
      <c r="Y371" s="113" t="s">
        <v>93</v>
      </c>
    </row>
    <row r="372" ht="50.0" customHeight="true">
      <c r="A372" s="113" t="s">
        <v>1370</v>
      </c>
      <c r="B372" s="113" t="s">
        <v>1371</v>
      </c>
      <c r="C372" s="113" t="s">
        <v>1372</v>
      </c>
      <c r="D372" s="113"/>
      <c r="E372" s="114" t="s">
        <v>1373</v>
      </c>
      <c r="F372" s="113" t="s">
        <v>1374</v>
      </c>
      <c r="G372" s="113" t="s">
        <v>1374</v>
      </c>
      <c r="H372" s="113" t="s">
        <v>103</v>
      </c>
      <c r="I372" s="115" t="n">
        <v>221.4</v>
      </c>
      <c r="J372" s="115" t="s">
        <v>80</v>
      </c>
      <c r="K372" s="115" t="s">
        <v>81</v>
      </c>
      <c r="L372" s="115" t="n">
        <v>220.19</v>
      </c>
      <c r="M372" s="115" t="n">
        <v>3.0</v>
      </c>
      <c r="N372" s="115"/>
      <c r="O372" s="115"/>
      <c r="P372" s="115"/>
      <c r="Q372" s="115"/>
      <c r="R372" s="115"/>
      <c r="S372" s="115"/>
      <c r="T372" s="115"/>
      <c r="U372" s="115"/>
      <c r="V372" s="115" t="s">
        <v>82</v>
      </c>
      <c r="W372" s="115" t="s">
        <v>83</v>
      </c>
      <c r="X372" s="113">
        <f>IF(INDIRECT("W372")="Clássico","12%",IF(INDIRECT("W372")="Premium","17%","-"))</f>
      </c>
      <c r="Y372" s="113" t="s">
        <v>482</v>
      </c>
    </row>
    <row r="373" ht="50.0" customHeight="true">
      <c r="A373" s="113" t="s">
        <v>1375</v>
      </c>
      <c r="B373" s="113" t="s">
        <v>1376</v>
      </c>
      <c r="C373" s="113" t="s">
        <v>1377</v>
      </c>
      <c r="D373" s="113"/>
      <c r="E373" s="114" t="s">
        <v>1231</v>
      </c>
      <c r="F373" s="113" t="s">
        <v>1378</v>
      </c>
      <c r="G373" s="113" t="s">
        <v>1379</v>
      </c>
      <c r="H373" s="113" t="s">
        <v>103</v>
      </c>
      <c r="I373" s="115" t="n">
        <v>356.84</v>
      </c>
      <c r="J373" s="115" t="s">
        <v>80</v>
      </c>
      <c r="K373" s="115" t="s">
        <v>81</v>
      </c>
      <c r="L373" s="115" t="n">
        <v>479.92</v>
      </c>
      <c r="M373" s="115" t="n">
        <v>3.0</v>
      </c>
      <c r="N373" s="115"/>
      <c r="O373" s="115"/>
      <c r="P373" s="115"/>
      <c r="Q373" s="115"/>
      <c r="R373" s="115"/>
      <c r="S373" s="115"/>
      <c r="T373" s="115"/>
      <c r="U373" s="115"/>
      <c r="V373" s="115" t="s">
        <v>82</v>
      </c>
      <c r="W373" s="115" t="s">
        <v>83</v>
      </c>
      <c r="X373" s="113">
        <f>IF(INDIRECT("W373")="Clássico","12%",IF(INDIRECT("W373")="Premium","17%","-"))</f>
      </c>
      <c r="Y373" s="113" t="s">
        <v>1233</v>
      </c>
    </row>
    <row r="374" ht="50.0" customHeight="true">
      <c r="A374" s="113" t="s">
        <v>1380</v>
      </c>
      <c r="B374" s="113" t="s">
        <v>1381</v>
      </c>
      <c r="C374" s="113" t="s">
        <v>1382</v>
      </c>
      <c r="D374" s="113"/>
      <c r="E374" s="114" t="s">
        <v>588</v>
      </c>
      <c r="F374" s="113" t="s">
        <v>1383</v>
      </c>
      <c r="G374" s="113" t="s">
        <v>1383</v>
      </c>
      <c r="H374" s="113" t="s">
        <v>99</v>
      </c>
      <c r="I374" s="115" t="n">
        <v>78.47</v>
      </c>
      <c r="J374" s="115" t="s">
        <v>80</v>
      </c>
      <c r="K374" s="115" t="s">
        <v>81</v>
      </c>
      <c r="L374" s="115" t="n">
        <v>73.47</v>
      </c>
      <c r="M374" s="115" t="n">
        <v>3.0</v>
      </c>
      <c r="N374" s="115"/>
      <c r="O374" s="115"/>
      <c r="P374" s="115"/>
      <c r="Q374" s="115"/>
      <c r="R374" s="115"/>
      <c r="S374" s="115"/>
      <c r="T374" s="115"/>
      <c r="U374" s="115"/>
      <c r="V374" s="115" t="s">
        <v>91</v>
      </c>
      <c r="W374" s="115" t="s">
        <v>92</v>
      </c>
      <c r="X374" s="113">
        <f>IF(INDIRECT("W374")="Clássico","11.5%",IF(INDIRECT("W374")="Premium","16.5%","-"))</f>
      </c>
      <c r="Y374" s="113" t="s">
        <v>736</v>
      </c>
    </row>
    <row r="375" ht="50.0" customHeight="true">
      <c r="A375" s="113" t="s">
        <v>1384</v>
      </c>
      <c r="B375" s="113" t="s">
        <v>1385</v>
      </c>
      <c r="C375" s="113" t="s">
        <v>1386</v>
      </c>
      <c r="D375" s="113"/>
      <c r="E375" s="114" t="s">
        <v>243</v>
      </c>
      <c r="F375" s="113" t="s">
        <v>1387</v>
      </c>
      <c r="G375" s="113" t="s">
        <v>1387</v>
      </c>
      <c r="H375" s="113" t="s">
        <v>173</v>
      </c>
      <c r="I375" s="115" t="n">
        <v>61.9</v>
      </c>
      <c r="J375" s="115" t="s">
        <v>80</v>
      </c>
      <c r="K375" s="115" t="s">
        <v>81</v>
      </c>
      <c r="L375" s="115" t="n">
        <v>54.37</v>
      </c>
      <c r="M375" s="115" t="n">
        <v>3.0</v>
      </c>
      <c r="N375" s="115"/>
      <c r="O375" s="115"/>
      <c r="P375" s="115"/>
      <c r="Q375" s="115"/>
      <c r="R375" s="115"/>
      <c r="S375" s="115"/>
      <c r="T375" s="115"/>
      <c r="U375" s="115"/>
      <c r="V375" s="115" t="s">
        <v>91</v>
      </c>
      <c r="W375" s="115" t="s">
        <v>92</v>
      </c>
      <c r="X375" s="113">
        <f>IF(INDIRECT("W375")="Clássico","12%",IF(INDIRECT("W375")="Premium","17%","-"))</f>
      </c>
      <c r="Y375" s="113" t="s">
        <v>245</v>
      </c>
    </row>
    <row r="376" ht="50.0" customHeight="true">
      <c r="A376" s="113" t="s">
        <v>22</v>
      </c>
      <c r="B376" s="113" t="s">
        <v>1388</v>
      </c>
      <c r="C376" s="113"/>
      <c r="D376" s="113"/>
      <c r="E376" s="113" t="s">
        <v>22</v>
      </c>
      <c r="F376" s="113" t="s">
        <v>180</v>
      </c>
      <c r="G376" s="113" t="s">
        <v>103</v>
      </c>
      <c r="H376" s="113" t="s">
        <v>103</v>
      </c>
      <c r="I376" s="115" t="n">
        <v>241.65</v>
      </c>
      <c r="J376" s="115" t="s">
        <v>80</v>
      </c>
      <c r="K376" s="113" t="s">
        <v>81</v>
      </c>
      <c r="L376" s="115" t="n">
        <v>254.37</v>
      </c>
      <c r="M376" s="115" t="n">
        <v>3.0</v>
      </c>
      <c r="N376" s="115"/>
      <c r="O376" s="115"/>
      <c r="P376" s="115"/>
      <c r="Q376" s="115"/>
      <c r="R376" s="115"/>
      <c r="S376" s="115"/>
      <c r="T376" s="115"/>
      <c r="U376" s="115"/>
      <c r="V376" s="115" t="s">
        <v>82</v>
      </c>
      <c r="W376" s="115" t="s">
        <v>92</v>
      </c>
      <c r="X376" s="113">
        <f>IF(INDIRECT("W376")="Clássico","12%",IF(INDIRECT("W376")="Premium","17%","-"))</f>
      </c>
      <c r="Y376" s="113" t="s">
        <v>181</v>
      </c>
    </row>
    <row r="377" ht="50.0" customHeight="true">
      <c r="A377" s="113" t="s">
        <v>22</v>
      </c>
      <c r="B377" s="113" t="s">
        <v>1388</v>
      </c>
      <c r="C377" s="113" t="s">
        <v>1389</v>
      </c>
      <c r="D377" s="113" t="s">
        <v>1389</v>
      </c>
      <c r="E377" s="114" t="s">
        <v>183</v>
      </c>
      <c r="F377" s="116">
        <f>"     "&amp;F376</f>
      </c>
      <c r="G377" s="113" t="s">
        <v>184</v>
      </c>
      <c r="H377" s="113" t="s">
        <v>103</v>
      </c>
      <c r="I377" s="113">
        <f>I376</f>
      </c>
      <c r="J377" s="113">
        <f>J376&amp;"     "</f>
      </c>
      <c r="K377" s="113" t="s">
        <v>81</v>
      </c>
      <c r="L377" s="113">
        <f>L376</f>
      </c>
      <c r="M377" s="113">
        <f>M376</f>
      </c>
      <c r="N377" s="113">
        <f>N376</f>
      </c>
      <c r="O377" s="113">
        <f>O376</f>
      </c>
      <c r="P377" s="113">
        <f>P376</f>
      </c>
      <c r="Q377" s="113">
        <f>Q376</f>
      </c>
      <c r="R377" s="113">
        <f>R376</f>
      </c>
      <c r="S377" s="113">
        <f>S376</f>
      </c>
      <c r="T377" s="113">
        <f>T376</f>
      </c>
      <c r="U377" s="113">
        <f>U376</f>
      </c>
      <c r="V377" s="113">
        <f>V376&amp;"     "</f>
      </c>
      <c r="W377" s="113">
        <f>W376&amp;"     "</f>
      </c>
      <c r="X377" s="113">
        <f>X376</f>
      </c>
      <c r="Y377" s="113" t="s">
        <v>181</v>
      </c>
    </row>
    <row r="378" ht="50.0" customHeight="true">
      <c r="A378" s="113" t="s">
        <v>22</v>
      </c>
      <c r="B378" s="113" t="s">
        <v>1388</v>
      </c>
      <c r="C378" s="113" t="s">
        <v>1390</v>
      </c>
      <c r="D378" s="113" t="s">
        <v>1390</v>
      </c>
      <c r="E378" s="114" t="s">
        <v>189</v>
      </c>
      <c r="F378" s="116">
        <f>"     "&amp;F376</f>
      </c>
      <c r="G378" s="113" t="s">
        <v>190</v>
      </c>
      <c r="H378" s="113" t="s">
        <v>103</v>
      </c>
      <c r="I378" s="113">
        <f>I376</f>
      </c>
      <c r="J378" s="113">
        <f>J376&amp;"     "</f>
      </c>
      <c r="K378" s="113" t="s">
        <v>81</v>
      </c>
      <c r="L378" s="113">
        <f>L376</f>
      </c>
      <c r="M378" s="113">
        <f>M376</f>
      </c>
      <c r="N378" s="113">
        <f>N376</f>
      </c>
      <c r="O378" s="113">
        <f>O376</f>
      </c>
      <c r="P378" s="113">
        <f>P376</f>
      </c>
      <c r="Q378" s="113">
        <f>Q376</f>
      </c>
      <c r="R378" s="113">
        <f>R376</f>
      </c>
      <c r="S378" s="113">
        <f>S376</f>
      </c>
      <c r="T378" s="113">
        <f>T376</f>
      </c>
      <c r="U378" s="113">
        <f>U376</f>
      </c>
      <c r="V378" s="113">
        <f>V376&amp;"     "</f>
      </c>
      <c r="W378" s="113">
        <f>W376&amp;"     "</f>
      </c>
      <c r="X378" s="113">
        <f>X376</f>
      </c>
      <c r="Y378" s="113" t="s">
        <v>181</v>
      </c>
    </row>
    <row r="379" ht="50.0" customHeight="true">
      <c r="A379" s="113" t="s">
        <v>22</v>
      </c>
      <c r="B379" s="113" t="s">
        <v>1388</v>
      </c>
      <c r="C379" s="113" t="s">
        <v>1391</v>
      </c>
      <c r="D379" s="113" t="s">
        <v>1391</v>
      </c>
      <c r="E379" s="114" t="s">
        <v>186</v>
      </c>
      <c r="F379" s="116">
        <f>"     "&amp;F376</f>
      </c>
      <c r="G379" s="113" t="s">
        <v>187</v>
      </c>
      <c r="H379" s="113" t="s">
        <v>103</v>
      </c>
      <c r="I379" s="113">
        <f>I376</f>
      </c>
      <c r="J379" s="113">
        <f>J376&amp;"     "</f>
      </c>
      <c r="K379" s="113" t="s">
        <v>81</v>
      </c>
      <c r="L379" s="113">
        <f>L376</f>
      </c>
      <c r="M379" s="113">
        <f>M376</f>
      </c>
      <c r="N379" s="113">
        <f>N376</f>
      </c>
      <c r="O379" s="113">
        <f>O376</f>
      </c>
      <c r="P379" s="113">
        <f>P376</f>
      </c>
      <c r="Q379" s="113">
        <f>Q376</f>
      </c>
      <c r="R379" s="113">
        <f>R376</f>
      </c>
      <c r="S379" s="113">
        <f>S376</f>
      </c>
      <c r="T379" s="113">
        <f>T376</f>
      </c>
      <c r="U379" s="113">
        <f>U376</f>
      </c>
      <c r="V379" s="113">
        <f>V376&amp;"     "</f>
      </c>
      <c r="W379" s="113">
        <f>W376&amp;"     "</f>
      </c>
      <c r="X379" s="113">
        <f>X376</f>
      </c>
      <c r="Y379" s="113" t="s">
        <v>181</v>
      </c>
    </row>
    <row r="380" ht="50.0" customHeight="true">
      <c r="A380" s="113" t="s">
        <v>1392</v>
      </c>
      <c r="B380" s="113" t="s">
        <v>1393</v>
      </c>
      <c r="C380" s="113" t="s">
        <v>1394</v>
      </c>
      <c r="D380" s="113"/>
      <c r="E380" s="114" t="s">
        <v>486</v>
      </c>
      <c r="F380" s="113" t="s">
        <v>487</v>
      </c>
      <c r="G380" s="113" t="s">
        <v>487</v>
      </c>
      <c r="H380" s="113" t="s">
        <v>103</v>
      </c>
      <c r="I380" s="115" t="n">
        <v>570.77</v>
      </c>
      <c r="J380" s="115" t="s">
        <v>80</v>
      </c>
      <c r="K380" s="115" t="s">
        <v>81</v>
      </c>
      <c r="L380" s="115" t="n">
        <v>788.55</v>
      </c>
      <c r="M380" s="115" t="n">
        <v>3.0</v>
      </c>
      <c r="N380" s="115"/>
      <c r="O380" s="115"/>
      <c r="P380" s="115"/>
      <c r="Q380" s="115"/>
      <c r="R380" s="115"/>
      <c r="S380" s="115"/>
      <c r="T380" s="115"/>
      <c r="U380" s="115"/>
      <c r="V380" s="115" t="s">
        <v>82</v>
      </c>
      <c r="W380" s="115" t="s">
        <v>92</v>
      </c>
      <c r="X380" s="113">
        <f>IF(INDIRECT("W380")="Clássico","12%",IF(INDIRECT("W380")="Premium","17%","-"))</f>
      </c>
      <c r="Y380" s="113" t="s">
        <v>488</v>
      </c>
    </row>
    <row r="381" ht="50.0" customHeight="true">
      <c r="A381" s="113" t="s">
        <v>1395</v>
      </c>
      <c r="B381" s="113" t="s">
        <v>1396</v>
      </c>
      <c r="C381" s="113" t="s">
        <v>1397</v>
      </c>
      <c r="D381" s="113"/>
      <c r="E381" s="114" t="s">
        <v>480</v>
      </c>
      <c r="F381" s="113" t="s">
        <v>1398</v>
      </c>
      <c r="G381" s="113" t="s">
        <v>1398</v>
      </c>
      <c r="H381" s="113" t="s">
        <v>103</v>
      </c>
      <c r="I381" s="115" t="n">
        <v>141.27</v>
      </c>
      <c r="J381" s="115" t="s">
        <v>80</v>
      </c>
      <c r="K381" s="115" t="s">
        <v>81</v>
      </c>
      <c r="L381" s="115" t="n">
        <v>144.9</v>
      </c>
      <c r="M381" s="115" t="n">
        <v>3.0</v>
      </c>
      <c r="N381" s="115"/>
      <c r="O381" s="115"/>
      <c r="P381" s="115"/>
      <c r="Q381" s="115"/>
      <c r="R381" s="115"/>
      <c r="S381" s="115"/>
      <c r="T381" s="115"/>
      <c r="U381" s="115"/>
      <c r="V381" s="115" t="s">
        <v>82</v>
      </c>
      <c r="W381" s="115" t="s">
        <v>92</v>
      </c>
      <c r="X381" s="113">
        <f>IF(INDIRECT("W381")="Clássico","12%",IF(INDIRECT("W381")="Premium","17%","-"))</f>
      </c>
      <c r="Y381" s="113" t="s">
        <v>482</v>
      </c>
    </row>
    <row r="382" ht="50.0" customHeight="true">
      <c r="A382" s="113" t="s">
        <v>1399</v>
      </c>
      <c r="B382" s="113" t="s">
        <v>1400</v>
      </c>
      <c r="C382" s="113" t="s">
        <v>1401</v>
      </c>
      <c r="D382" s="113"/>
      <c r="E382" s="114" t="s">
        <v>1402</v>
      </c>
      <c r="F382" s="113" t="s">
        <v>1403</v>
      </c>
      <c r="G382" s="113" t="s">
        <v>1403</v>
      </c>
      <c r="H382" s="113" t="s">
        <v>99</v>
      </c>
      <c r="I382" s="115" t="n">
        <v>830.39</v>
      </c>
      <c r="J382" s="115" t="s">
        <v>80</v>
      </c>
      <c r="K382" s="115" t="s">
        <v>81</v>
      </c>
      <c r="L382" s="115" t="n">
        <v>902.35</v>
      </c>
      <c r="M382" s="115" t="n">
        <v>3.0</v>
      </c>
      <c r="N382" s="115"/>
      <c r="O382" s="115"/>
      <c r="P382" s="115"/>
      <c r="Q382" s="115"/>
      <c r="R382" s="115"/>
      <c r="S382" s="115"/>
      <c r="T382" s="115"/>
      <c r="U382" s="115"/>
      <c r="V382" s="115" t="s">
        <v>82</v>
      </c>
      <c r="W382" s="115" t="s">
        <v>92</v>
      </c>
      <c r="X382" s="113">
        <f>IF(INDIRECT("W382")="Clássico","12%",IF(INDIRECT("W382")="Premium","17%","-"))</f>
      </c>
      <c r="Y382" s="113" t="s">
        <v>1404</v>
      </c>
    </row>
    <row r="383" ht="50.0" customHeight="true">
      <c r="A383" s="113" t="s">
        <v>1405</v>
      </c>
      <c r="B383" s="113" t="s">
        <v>1406</v>
      </c>
      <c r="C383" s="113" t="s">
        <v>1407</v>
      </c>
      <c r="D383" s="113"/>
      <c r="E383" s="114" t="s">
        <v>341</v>
      </c>
      <c r="F383" s="113" t="s">
        <v>1408</v>
      </c>
      <c r="G383" s="113" t="s">
        <v>1408</v>
      </c>
      <c r="H383" s="113" t="s">
        <v>103</v>
      </c>
      <c r="I383" s="115" t="n">
        <v>72.03</v>
      </c>
      <c r="J383" s="115" t="s">
        <v>80</v>
      </c>
      <c r="K383" s="115" t="s">
        <v>81</v>
      </c>
      <c r="L383" s="115" t="n">
        <v>67.03</v>
      </c>
      <c r="M383" s="115" t="n">
        <v>3.0</v>
      </c>
      <c r="N383" s="115"/>
      <c r="O383" s="115"/>
      <c r="P383" s="115"/>
      <c r="Q383" s="115"/>
      <c r="R383" s="115"/>
      <c r="S383" s="115"/>
      <c r="T383" s="115"/>
      <c r="U383" s="115"/>
      <c r="V383" s="115" t="s">
        <v>91</v>
      </c>
      <c r="W383" s="115" t="s">
        <v>92</v>
      </c>
      <c r="X383" s="113">
        <f>IF(INDIRECT("W383")="Clássico","12%",IF(INDIRECT("W383")="Premium","17%","-"))</f>
      </c>
      <c r="Y383" s="113" t="s">
        <v>1063</v>
      </c>
    </row>
    <row r="384" ht="50.0" customHeight="true">
      <c r="A384" s="113" t="s">
        <v>1409</v>
      </c>
      <c r="B384" s="113" t="s">
        <v>1410</v>
      </c>
      <c r="C384" s="113" t="s">
        <v>1411</v>
      </c>
      <c r="D384" s="113"/>
      <c r="E384" s="114" t="s">
        <v>808</v>
      </c>
      <c r="F384" s="113" t="s">
        <v>1412</v>
      </c>
      <c r="G384" s="113" t="s">
        <v>1412</v>
      </c>
      <c r="H384" s="113" t="s">
        <v>103</v>
      </c>
      <c r="I384" s="115" t="n">
        <v>153.9</v>
      </c>
      <c r="J384" s="115" t="s">
        <v>80</v>
      </c>
      <c r="K384" s="115" t="s">
        <v>81</v>
      </c>
      <c r="L384" s="115" t="n">
        <v>157.99</v>
      </c>
      <c r="M384" s="115" t="n">
        <v>3.0</v>
      </c>
      <c r="N384" s="115"/>
      <c r="O384" s="115"/>
      <c r="P384" s="115"/>
      <c r="Q384" s="115"/>
      <c r="R384" s="115"/>
      <c r="S384" s="115"/>
      <c r="T384" s="115"/>
      <c r="U384" s="115"/>
      <c r="V384" s="113" t="s">
        <v>1413</v>
      </c>
      <c r="W384" s="115" t="s">
        <v>83</v>
      </c>
      <c r="X384" s="113">
        <f>IF(INDIRECT("W384")="Clássico","12%",IF(INDIRECT("W384")="Premium","17%","-"))</f>
      </c>
      <c r="Y384" s="113" t="s">
        <v>482</v>
      </c>
    </row>
    <row r="385" ht="50.0" customHeight="true">
      <c r="A385" s="113" t="s">
        <v>22</v>
      </c>
      <c r="B385" s="113" t="s">
        <v>1414</v>
      </c>
      <c r="C385" s="113"/>
      <c r="D385" s="113"/>
      <c r="E385" s="113" t="s">
        <v>1084</v>
      </c>
      <c r="F385" s="113" t="s">
        <v>1415</v>
      </c>
      <c r="G385" s="113" t="s">
        <v>103</v>
      </c>
      <c r="H385" s="113" t="s">
        <v>103</v>
      </c>
      <c r="I385" s="115" t="n">
        <v>195.98</v>
      </c>
      <c r="J385" s="115" t="s">
        <v>80</v>
      </c>
      <c r="K385" s="113" t="s">
        <v>81</v>
      </c>
      <c r="L385" s="115" t="n">
        <v>190.98</v>
      </c>
      <c r="M385" s="115" t="n">
        <v>3.0</v>
      </c>
      <c r="N385" s="115"/>
      <c r="O385" s="115"/>
      <c r="P385" s="115"/>
      <c r="Q385" s="115"/>
      <c r="R385" s="115"/>
      <c r="S385" s="115"/>
      <c r="T385" s="115"/>
      <c r="U385" s="115"/>
      <c r="V385" s="115" t="s">
        <v>82</v>
      </c>
      <c r="W385" s="115" t="s">
        <v>83</v>
      </c>
      <c r="X385" s="113">
        <f>IF(INDIRECT("W385")="Clássico","12%",IF(INDIRECT("W385")="Premium","17%","-"))</f>
      </c>
      <c r="Y385" s="113" t="s">
        <v>627</v>
      </c>
    </row>
    <row r="386" ht="50.0" customHeight="true">
      <c r="A386" s="113" t="s">
        <v>22</v>
      </c>
      <c r="B386" s="113" t="s">
        <v>1414</v>
      </c>
      <c r="C386" s="113" t="s">
        <v>1416</v>
      </c>
      <c r="D386" s="113" t="s">
        <v>1416</v>
      </c>
      <c r="E386" s="114" t="s">
        <v>1087</v>
      </c>
      <c r="F386" s="116">
        <f>"     "&amp;F385</f>
      </c>
      <c r="G386" s="113" t="s">
        <v>690</v>
      </c>
      <c r="H386" s="113" t="s">
        <v>103</v>
      </c>
      <c r="I386" s="113">
        <f>I385</f>
      </c>
      <c r="J386" s="113">
        <f>J385&amp;"     "</f>
      </c>
      <c r="K386" s="113" t="s">
        <v>81</v>
      </c>
      <c r="L386" s="113">
        <f>L385</f>
      </c>
      <c r="M386" s="113">
        <f>M385</f>
      </c>
      <c r="N386" s="113">
        <f>N385</f>
      </c>
      <c r="O386" s="113">
        <f>O385</f>
      </c>
      <c r="P386" s="113">
        <f>P385</f>
      </c>
      <c r="Q386" s="113">
        <f>Q385</f>
      </c>
      <c r="R386" s="113">
        <f>R385</f>
      </c>
      <c r="S386" s="113">
        <f>S385</f>
      </c>
      <c r="T386" s="113">
        <f>T385</f>
      </c>
      <c r="U386" s="113">
        <f>U385</f>
      </c>
      <c r="V386" s="113">
        <f>V385&amp;"     "</f>
      </c>
      <c r="W386" s="113">
        <f>W385&amp;"     "</f>
      </c>
      <c r="X386" s="113">
        <f>X385</f>
      </c>
      <c r="Y386" s="113" t="s">
        <v>627</v>
      </c>
    </row>
    <row r="387" ht="50.0" customHeight="true">
      <c r="A387" s="113" t="s">
        <v>22</v>
      </c>
      <c r="B387" s="113" t="s">
        <v>1414</v>
      </c>
      <c r="C387" s="113" t="s">
        <v>1417</v>
      </c>
      <c r="D387" s="113" t="s">
        <v>1417</v>
      </c>
      <c r="E387" s="114" t="s">
        <v>1089</v>
      </c>
      <c r="F387" s="116">
        <f>"     "&amp;F385</f>
      </c>
      <c r="G387" s="113" t="s">
        <v>687</v>
      </c>
      <c r="H387" s="113" t="s">
        <v>103</v>
      </c>
      <c r="I387" s="113">
        <f>I385</f>
      </c>
      <c r="J387" s="113">
        <f>J385&amp;"     "</f>
      </c>
      <c r="K387" s="113" t="s">
        <v>81</v>
      </c>
      <c r="L387" s="113">
        <f>L385</f>
      </c>
      <c r="M387" s="113">
        <f>M385</f>
      </c>
      <c r="N387" s="113">
        <f>N385</f>
      </c>
      <c r="O387" s="113">
        <f>O385</f>
      </c>
      <c r="P387" s="113">
        <f>P385</f>
      </c>
      <c r="Q387" s="113">
        <f>Q385</f>
      </c>
      <c r="R387" s="113">
        <f>R385</f>
      </c>
      <c r="S387" s="113">
        <f>S385</f>
      </c>
      <c r="T387" s="113">
        <f>T385</f>
      </c>
      <c r="U387" s="113">
        <f>U385</f>
      </c>
      <c r="V387" s="113">
        <f>V385&amp;"     "</f>
      </c>
      <c r="W387" s="113">
        <f>W385&amp;"     "</f>
      </c>
      <c r="X387" s="113">
        <f>X385</f>
      </c>
      <c r="Y387" s="113" t="s">
        <v>627</v>
      </c>
    </row>
    <row r="388" ht="50.0" customHeight="true">
      <c r="A388" s="113" t="s">
        <v>1418</v>
      </c>
      <c r="B388" s="113" t="s">
        <v>1419</v>
      </c>
      <c r="C388" s="113" t="s">
        <v>1420</v>
      </c>
      <c r="D388" s="113"/>
      <c r="E388" s="114" t="s">
        <v>694</v>
      </c>
      <c r="F388" s="113" t="s">
        <v>1421</v>
      </c>
      <c r="G388" s="113" t="s">
        <v>1421</v>
      </c>
      <c r="H388" s="113" t="s">
        <v>103</v>
      </c>
      <c r="I388" s="115" t="n">
        <v>72.03</v>
      </c>
      <c r="J388" s="115" t="s">
        <v>80</v>
      </c>
      <c r="K388" s="115" t="s">
        <v>81</v>
      </c>
      <c r="L388" s="115" t="n">
        <v>107.65</v>
      </c>
      <c r="M388" s="115" t="n">
        <v>3.0</v>
      </c>
      <c r="N388" s="115"/>
      <c r="O388" s="115"/>
      <c r="P388" s="115"/>
      <c r="Q388" s="115"/>
      <c r="R388" s="115"/>
      <c r="S388" s="115"/>
      <c r="T388" s="115"/>
      <c r="U388" s="115"/>
      <c r="V388" s="115" t="s">
        <v>91</v>
      </c>
      <c r="W388" s="115" t="s">
        <v>83</v>
      </c>
      <c r="X388" s="113">
        <f>IF(INDIRECT("W388")="Clássico","12%",IF(INDIRECT("W388")="Premium","17%","-"))</f>
      </c>
      <c r="Y388" s="113" t="s">
        <v>1422</v>
      </c>
    </row>
    <row r="389" ht="50.0" customHeight="true">
      <c r="A389" s="113" t="s">
        <v>1325</v>
      </c>
      <c r="B389" s="113" t="s">
        <v>1423</v>
      </c>
      <c r="C389" s="113" t="s">
        <v>1424</v>
      </c>
      <c r="D389" s="113"/>
      <c r="E389" s="114" t="s">
        <v>1328</v>
      </c>
      <c r="F389" s="113" t="s">
        <v>1329</v>
      </c>
      <c r="G389" s="113" t="s">
        <v>1329</v>
      </c>
      <c r="H389" s="113" t="s">
        <v>103</v>
      </c>
      <c r="I389" s="115" t="n">
        <v>164.08</v>
      </c>
      <c r="J389" s="115" t="s">
        <v>80</v>
      </c>
      <c r="K389" s="115" t="s">
        <v>81</v>
      </c>
      <c r="L389" s="115" t="n">
        <v>159.08</v>
      </c>
      <c r="M389" s="115" t="n">
        <v>3.0</v>
      </c>
      <c r="N389" s="115"/>
      <c r="O389" s="115"/>
      <c r="P389" s="115"/>
      <c r="Q389" s="115"/>
      <c r="R389" s="115"/>
      <c r="S389" s="115"/>
      <c r="T389" s="115"/>
      <c r="U389" s="115"/>
      <c r="V389" s="115" t="s">
        <v>82</v>
      </c>
      <c r="W389" s="115" t="s">
        <v>83</v>
      </c>
      <c r="X389" s="113">
        <f>IF(INDIRECT("W389")="Clássico","12%",IF(INDIRECT("W389")="Premium","17%","-"))</f>
      </c>
      <c r="Y389" s="113" t="s">
        <v>1330</v>
      </c>
    </row>
    <row r="390" ht="50.0" customHeight="true">
      <c r="A390" s="113" t="s">
        <v>22</v>
      </c>
      <c r="B390" s="113" t="s">
        <v>1425</v>
      </c>
      <c r="C390" s="113"/>
      <c r="D390" s="113"/>
      <c r="E390" s="113" t="s">
        <v>1426</v>
      </c>
      <c r="F390" s="113" t="s">
        <v>1427</v>
      </c>
      <c r="G390" s="113" t="s">
        <v>103</v>
      </c>
      <c r="H390" s="113" t="s">
        <v>103</v>
      </c>
      <c r="I390" s="115" t="n">
        <v>122.66</v>
      </c>
      <c r="J390" s="115" t="s">
        <v>80</v>
      </c>
      <c r="K390" s="113" t="s">
        <v>81</v>
      </c>
      <c r="L390" s="115" t="n">
        <v>117.66</v>
      </c>
      <c r="M390" s="115" t="n">
        <v>3.0</v>
      </c>
      <c r="N390" s="115"/>
      <c r="O390" s="115"/>
      <c r="P390" s="115"/>
      <c r="Q390" s="115"/>
      <c r="R390" s="115"/>
      <c r="S390" s="115"/>
      <c r="T390" s="115"/>
      <c r="U390" s="115"/>
      <c r="V390" s="115" t="s">
        <v>82</v>
      </c>
      <c r="W390" s="115" t="s">
        <v>83</v>
      </c>
      <c r="X390" s="113">
        <f>IF(INDIRECT("W390")="Clássico","12%",IF(INDIRECT("W390")="Premium","17%","-"))</f>
      </c>
      <c r="Y390" s="113" t="s">
        <v>128</v>
      </c>
    </row>
    <row r="391" ht="50.0" customHeight="true">
      <c r="A391" s="113" t="s">
        <v>22</v>
      </c>
      <c r="B391" s="113" t="s">
        <v>1425</v>
      </c>
      <c r="C391" s="113" t="s">
        <v>1428</v>
      </c>
      <c r="D391" s="113" t="s">
        <v>1428</v>
      </c>
      <c r="E391" s="114" t="s">
        <v>1429</v>
      </c>
      <c r="F391" s="116">
        <f>"     "&amp;F390</f>
      </c>
      <c r="G391" s="113" t="s">
        <v>1430</v>
      </c>
      <c r="H391" s="113" t="s">
        <v>103</v>
      </c>
      <c r="I391" s="113">
        <f>I390</f>
      </c>
      <c r="J391" s="113">
        <f>J390&amp;"     "</f>
      </c>
      <c r="K391" s="113" t="s">
        <v>81</v>
      </c>
      <c r="L391" s="113">
        <f>L390</f>
      </c>
      <c r="M391" s="113">
        <f>M390</f>
      </c>
      <c r="N391" s="113">
        <f>N390</f>
      </c>
      <c r="O391" s="113">
        <f>O390</f>
      </c>
      <c r="P391" s="113">
        <f>P390</f>
      </c>
      <c r="Q391" s="113">
        <f>Q390</f>
      </c>
      <c r="R391" s="113">
        <f>R390</f>
      </c>
      <c r="S391" s="113">
        <f>S390</f>
      </c>
      <c r="T391" s="113">
        <f>T390</f>
      </c>
      <c r="U391" s="113">
        <f>U390</f>
      </c>
      <c r="V391" s="113">
        <f>V390&amp;"     "</f>
      </c>
      <c r="W391" s="113">
        <f>W390&amp;"     "</f>
      </c>
      <c r="X391" s="113">
        <f>X390</f>
      </c>
      <c r="Y391" s="113" t="s">
        <v>128</v>
      </c>
    </row>
    <row r="392" ht="50.0" customHeight="true">
      <c r="A392" s="113" t="s">
        <v>22</v>
      </c>
      <c r="B392" s="113" t="s">
        <v>1425</v>
      </c>
      <c r="C392" s="113" t="s">
        <v>1431</v>
      </c>
      <c r="D392" s="113" t="s">
        <v>1431</v>
      </c>
      <c r="E392" s="114" t="s">
        <v>1432</v>
      </c>
      <c r="F392" s="116">
        <f>"     "&amp;F390</f>
      </c>
      <c r="G392" s="113" t="s">
        <v>1433</v>
      </c>
      <c r="H392" s="113" t="s">
        <v>103</v>
      </c>
      <c r="I392" s="113">
        <f>I390</f>
      </c>
      <c r="J392" s="113">
        <f>J390&amp;"     "</f>
      </c>
      <c r="K392" s="113" t="s">
        <v>81</v>
      </c>
      <c r="L392" s="113">
        <f>L390</f>
      </c>
      <c r="M392" s="113">
        <f>M390</f>
      </c>
      <c r="N392" s="113">
        <f>N390</f>
      </c>
      <c r="O392" s="113">
        <f>O390</f>
      </c>
      <c r="P392" s="113">
        <f>P390</f>
      </c>
      <c r="Q392" s="113">
        <f>Q390</f>
      </c>
      <c r="R392" s="113">
        <f>R390</f>
      </c>
      <c r="S392" s="113">
        <f>S390</f>
      </c>
      <c r="T392" s="113">
        <f>T390</f>
      </c>
      <c r="U392" s="113">
        <f>U390</f>
      </c>
      <c r="V392" s="113">
        <f>V390&amp;"     "</f>
      </c>
      <c r="W392" s="113">
        <f>W390&amp;"     "</f>
      </c>
      <c r="X392" s="113">
        <f>X390</f>
      </c>
      <c r="Y392" s="113" t="s">
        <v>128</v>
      </c>
    </row>
    <row r="393" ht="50.0" customHeight="true">
      <c r="A393" s="113" t="s">
        <v>1434</v>
      </c>
      <c r="B393" s="113" t="s">
        <v>1435</v>
      </c>
      <c r="C393" s="113" t="s">
        <v>1436</v>
      </c>
      <c r="D393" s="113"/>
      <c r="E393" s="114" t="s">
        <v>1437</v>
      </c>
      <c r="F393" s="113" t="s">
        <v>1438</v>
      </c>
      <c r="G393" s="113" t="s">
        <v>1438</v>
      </c>
      <c r="H393" s="113" t="s">
        <v>132</v>
      </c>
      <c r="I393" s="115" t="n">
        <v>392.28</v>
      </c>
      <c r="J393" s="115" t="s">
        <v>80</v>
      </c>
      <c r="K393" s="115" t="s">
        <v>81</v>
      </c>
      <c r="L393" s="115" t="n">
        <v>412.71</v>
      </c>
      <c r="M393" s="115" t="n">
        <v>3.0</v>
      </c>
      <c r="N393" s="115"/>
      <c r="O393" s="115"/>
      <c r="P393" s="115"/>
      <c r="Q393" s="115"/>
      <c r="R393" s="115"/>
      <c r="S393" s="115"/>
      <c r="T393" s="115"/>
      <c r="U393" s="115"/>
      <c r="V393" s="115" t="s">
        <v>82</v>
      </c>
      <c r="W393" s="115" t="s">
        <v>92</v>
      </c>
      <c r="X393" s="113">
        <f>IF(INDIRECT("W393")="Clássico","12%",IF(INDIRECT("W393")="Premium","17%","-"))</f>
      </c>
      <c r="Y393" s="113" t="s">
        <v>958</v>
      </c>
    </row>
    <row r="394" ht="50.0" customHeight="true">
      <c r="A394" s="113" t="s">
        <v>1439</v>
      </c>
      <c r="B394" s="113" t="s">
        <v>1440</v>
      </c>
      <c r="C394" s="113" t="s">
        <v>1441</v>
      </c>
      <c r="D394" s="113"/>
      <c r="E394" s="114" t="s">
        <v>1442</v>
      </c>
      <c r="F394" s="113" t="s">
        <v>1443</v>
      </c>
      <c r="G394" s="113" t="s">
        <v>1443</v>
      </c>
      <c r="H394" s="113" t="s">
        <v>103</v>
      </c>
      <c r="I394" s="115" t="n">
        <v>915.07</v>
      </c>
      <c r="J394" s="115" t="s">
        <v>80</v>
      </c>
      <c r="K394" s="113" t="s">
        <v>81</v>
      </c>
      <c r="L394" s="115" t="n">
        <v>610.18</v>
      </c>
      <c r="M394" s="115" t="n">
        <v>3.0</v>
      </c>
      <c r="N394" s="115"/>
      <c r="O394" s="115"/>
      <c r="P394" s="115"/>
      <c r="Q394" s="115"/>
      <c r="R394" s="115"/>
      <c r="S394" s="115"/>
      <c r="T394" s="115"/>
      <c r="U394" s="115"/>
      <c r="V394" s="115" t="s">
        <v>82</v>
      </c>
      <c r="W394" s="115" t="s">
        <v>92</v>
      </c>
      <c r="X394" s="113">
        <f>IF(INDIRECT("W394")="Clássico","12%",IF(INDIRECT("W394")="Premium","17%","-"))</f>
      </c>
      <c r="Y394" s="113" t="s">
        <v>1444</v>
      </c>
    </row>
    <row r="395" ht="50.0" customHeight="true">
      <c r="A395" s="113" t="s">
        <v>1445</v>
      </c>
      <c r="B395" s="113" t="s">
        <v>1446</v>
      </c>
      <c r="C395" s="113" t="s">
        <v>1447</v>
      </c>
      <c r="D395" s="113"/>
      <c r="E395" s="114" t="s">
        <v>1448</v>
      </c>
      <c r="F395" s="113" t="s">
        <v>1449</v>
      </c>
      <c r="G395" s="113" t="s">
        <v>493</v>
      </c>
      <c r="H395" s="113" t="s">
        <v>103</v>
      </c>
      <c r="I395" s="115" t="n">
        <v>363.17</v>
      </c>
      <c r="J395" s="115" t="s">
        <v>80</v>
      </c>
      <c r="K395" s="115" t="s">
        <v>81</v>
      </c>
      <c r="L395" s="115" t="n">
        <v>336.76</v>
      </c>
      <c r="M395" s="115" t="n">
        <v>3.0</v>
      </c>
      <c r="N395" s="115"/>
      <c r="O395" s="115"/>
      <c r="P395" s="115"/>
      <c r="Q395" s="115"/>
      <c r="R395" s="115"/>
      <c r="S395" s="115"/>
      <c r="T395" s="115"/>
      <c r="U395" s="115"/>
      <c r="V395" s="115" t="s">
        <v>82</v>
      </c>
      <c r="W395" s="115" t="s">
        <v>92</v>
      </c>
      <c r="X395" s="113">
        <f>IF(INDIRECT("W395")="Clássico","12%",IF(INDIRECT("W395")="Premium","17%","-"))</f>
      </c>
      <c r="Y395" s="113" t="s">
        <v>643</v>
      </c>
    </row>
    <row r="396" ht="50.0" customHeight="true">
      <c r="A396" s="113" t="s">
        <v>1450</v>
      </c>
      <c r="B396" s="113" t="s">
        <v>1451</v>
      </c>
      <c r="C396" s="113" t="s">
        <v>1452</v>
      </c>
      <c r="D396" s="113"/>
      <c r="E396" s="114" t="s">
        <v>1133</v>
      </c>
      <c r="F396" s="113" t="s">
        <v>1453</v>
      </c>
      <c r="G396" s="113" t="s">
        <v>127</v>
      </c>
      <c r="H396" s="113" t="s">
        <v>103</v>
      </c>
      <c r="I396" s="115" t="n">
        <v>178.36</v>
      </c>
      <c r="J396" s="115" t="s">
        <v>80</v>
      </c>
      <c r="K396" s="115" t="s">
        <v>81</v>
      </c>
      <c r="L396" s="115" t="n">
        <v>172.34</v>
      </c>
      <c r="M396" s="115" t="n">
        <v>3.0</v>
      </c>
      <c r="N396" s="115"/>
      <c r="O396" s="115"/>
      <c r="P396" s="115"/>
      <c r="Q396" s="115"/>
      <c r="R396" s="115"/>
      <c r="S396" s="115"/>
      <c r="T396" s="115"/>
      <c r="U396" s="115"/>
      <c r="V396" s="115" t="s">
        <v>82</v>
      </c>
      <c r="W396" s="115" t="s">
        <v>83</v>
      </c>
      <c r="X396" s="113">
        <f>IF(INDIRECT("W396")="Clássico","12%",IF(INDIRECT("W396")="Premium","17%","-"))</f>
      </c>
      <c r="Y396" s="113" t="s">
        <v>128</v>
      </c>
    </row>
    <row r="397" ht="50.0" customHeight="true">
      <c r="A397" s="113" t="s">
        <v>1454</v>
      </c>
      <c r="B397" s="113" t="s">
        <v>1455</v>
      </c>
      <c r="C397" s="113" t="s">
        <v>1456</v>
      </c>
      <c r="D397" s="113"/>
      <c r="E397" s="114" t="s">
        <v>1457</v>
      </c>
      <c r="F397" s="113" t="s">
        <v>1458</v>
      </c>
      <c r="G397" s="113" t="s">
        <v>1458</v>
      </c>
      <c r="H397" s="113" t="s">
        <v>103</v>
      </c>
      <c r="I397" s="115" t="n">
        <v>341.65</v>
      </c>
      <c r="J397" s="115" t="s">
        <v>80</v>
      </c>
      <c r="K397" s="115" t="s">
        <v>81</v>
      </c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 t="s">
        <v>82</v>
      </c>
      <c r="W397" s="115" t="s">
        <v>92</v>
      </c>
      <c r="X397" s="113">
        <f>IF(INDIRECT("W397")="Clássico","12%",IF(INDIRECT("W397")="Premium","17%","-"))</f>
      </c>
      <c r="Y397" s="113" t="s">
        <v>1048</v>
      </c>
    </row>
    <row r="398" ht="50.0" customHeight="true">
      <c r="A398" s="113" t="s">
        <v>256</v>
      </c>
      <c r="B398" s="113" t="s">
        <v>1459</v>
      </c>
      <c r="C398" s="113" t="s">
        <v>1460</v>
      </c>
      <c r="D398" s="113"/>
      <c r="E398" s="114" t="s">
        <v>259</v>
      </c>
      <c r="F398" s="113" t="s">
        <v>260</v>
      </c>
      <c r="G398" s="113" t="s">
        <v>260</v>
      </c>
      <c r="H398" s="113" t="s">
        <v>103</v>
      </c>
      <c r="I398" s="115" t="n">
        <v>91.01</v>
      </c>
      <c r="J398" s="115" t="s">
        <v>80</v>
      </c>
      <c r="K398" s="115" t="s">
        <v>81</v>
      </c>
      <c r="L398" s="115" t="n">
        <v>92.34</v>
      </c>
      <c r="M398" s="115" t="n">
        <v>3.0</v>
      </c>
      <c r="N398" s="115"/>
      <c r="O398" s="115"/>
      <c r="P398" s="115"/>
      <c r="Q398" s="115"/>
      <c r="R398" s="115"/>
      <c r="S398" s="115"/>
      <c r="T398" s="115"/>
      <c r="U398" s="115"/>
      <c r="V398" s="115" t="s">
        <v>82</v>
      </c>
      <c r="W398" s="115" t="s">
        <v>92</v>
      </c>
      <c r="X398" s="113">
        <f>IF(INDIRECT("W398")="Clássico","12%",IF(INDIRECT("W398")="Premium","17%","-"))</f>
      </c>
      <c r="Y398" s="113" t="s">
        <v>93</v>
      </c>
    </row>
    <row r="399" ht="50.0" customHeight="true">
      <c r="A399" s="113" t="s">
        <v>1461</v>
      </c>
      <c r="B399" s="113" t="s">
        <v>1462</v>
      </c>
      <c r="C399" s="113" t="s">
        <v>1463</v>
      </c>
      <c r="D399" s="113"/>
      <c r="E399" s="114" t="s">
        <v>1464</v>
      </c>
      <c r="F399" s="113" t="s">
        <v>1465</v>
      </c>
      <c r="G399" s="113" t="s">
        <v>1466</v>
      </c>
      <c r="H399" s="113" t="s">
        <v>234</v>
      </c>
      <c r="I399" s="115" t="n">
        <v>718.87</v>
      </c>
      <c r="J399" s="115" t="s">
        <v>80</v>
      </c>
      <c r="K399" s="115" t="s">
        <v>81</v>
      </c>
      <c r="L399" s="115" t="n">
        <v>902.59</v>
      </c>
      <c r="M399" s="115" t="n">
        <v>3.0</v>
      </c>
      <c r="N399" s="115"/>
      <c r="O399" s="115"/>
      <c r="P399" s="115"/>
      <c r="Q399" s="115"/>
      <c r="R399" s="115"/>
      <c r="S399" s="115"/>
      <c r="T399" s="115"/>
      <c r="U399" s="115"/>
      <c r="V399" s="115" t="s">
        <v>82</v>
      </c>
      <c r="W399" s="115" t="s">
        <v>92</v>
      </c>
      <c r="X399" s="113">
        <f>IF(INDIRECT("W399")="Clássico","12%",IF(INDIRECT("W399")="Premium","17%","-"))</f>
      </c>
      <c r="Y399" s="113" t="s">
        <v>1467</v>
      </c>
    </row>
    <row r="400" ht="50.0" customHeight="true">
      <c r="A400" s="113" t="s">
        <v>1468</v>
      </c>
      <c r="B400" s="113" t="s">
        <v>1469</v>
      </c>
      <c r="C400" s="113" t="s">
        <v>1470</v>
      </c>
      <c r="D400" s="113"/>
      <c r="E400" s="114" t="s">
        <v>1471</v>
      </c>
      <c r="F400" s="113" t="s">
        <v>1472</v>
      </c>
      <c r="G400" s="113" t="s">
        <v>1472</v>
      </c>
      <c r="H400" s="113" t="s">
        <v>103</v>
      </c>
      <c r="I400" s="115" t="n">
        <v>225.19</v>
      </c>
      <c r="J400" s="115" t="s">
        <v>80</v>
      </c>
      <c r="K400" s="115" t="s">
        <v>81</v>
      </c>
      <c r="L400" s="115" t="n">
        <v>211.33</v>
      </c>
      <c r="M400" s="115" t="n">
        <v>3.0</v>
      </c>
      <c r="N400" s="115"/>
      <c r="O400" s="115"/>
      <c r="P400" s="115"/>
      <c r="Q400" s="115"/>
      <c r="R400" s="115"/>
      <c r="S400" s="115"/>
      <c r="T400" s="115"/>
      <c r="U400" s="115"/>
      <c r="V400" s="115" t="s">
        <v>82</v>
      </c>
      <c r="W400" s="115" t="s">
        <v>92</v>
      </c>
      <c r="X400" s="113">
        <f>IF(INDIRECT("W400")="Clássico","12%",IF(INDIRECT("W400")="Premium","17%","-"))</f>
      </c>
      <c r="Y400" s="113" t="s">
        <v>1473</v>
      </c>
    </row>
    <row r="401" ht="50.0" customHeight="true">
      <c r="A401" s="113" t="s">
        <v>1474</v>
      </c>
      <c r="B401" s="113" t="s">
        <v>1475</v>
      </c>
      <c r="C401" s="113" t="s">
        <v>1476</v>
      </c>
      <c r="D401" s="113"/>
      <c r="E401" s="114" t="s">
        <v>651</v>
      </c>
      <c r="F401" s="113" t="s">
        <v>1477</v>
      </c>
      <c r="G401" s="113" t="s">
        <v>1477</v>
      </c>
      <c r="H401" s="113" t="s">
        <v>103</v>
      </c>
      <c r="I401" s="115" t="n">
        <v>222.66</v>
      </c>
      <c r="J401" s="115" t="s">
        <v>80</v>
      </c>
      <c r="K401" s="115" t="s">
        <v>81</v>
      </c>
      <c r="L401" s="115" t="n">
        <v>180.95</v>
      </c>
      <c r="M401" s="115" t="n">
        <v>3.0</v>
      </c>
      <c r="N401" s="115"/>
      <c r="O401" s="115"/>
      <c r="P401" s="115"/>
      <c r="Q401" s="115"/>
      <c r="R401" s="115"/>
      <c r="S401" s="115"/>
      <c r="T401" s="115"/>
      <c r="U401" s="115"/>
      <c r="V401" s="115" t="s">
        <v>82</v>
      </c>
      <c r="W401" s="115" t="s">
        <v>83</v>
      </c>
      <c r="X401" s="113">
        <f>IF(INDIRECT("W401")="Clássico","12%",IF(INDIRECT("W401")="Premium","17%","-"))</f>
      </c>
      <c r="Y401" s="113" t="s">
        <v>200</v>
      </c>
    </row>
    <row r="402" ht="50.0" customHeight="true">
      <c r="A402" s="113" t="s">
        <v>22</v>
      </c>
      <c r="B402" s="113" t="s">
        <v>1478</v>
      </c>
      <c r="C402" s="113"/>
      <c r="D402" s="113"/>
      <c r="E402" s="113" t="s">
        <v>22</v>
      </c>
      <c r="F402" s="113" t="s">
        <v>1479</v>
      </c>
      <c r="G402" s="113" t="s">
        <v>103</v>
      </c>
      <c r="H402" s="113" t="s">
        <v>103</v>
      </c>
      <c r="I402" s="115" t="n">
        <v>37.34</v>
      </c>
      <c r="J402" s="115" t="s">
        <v>80</v>
      </c>
      <c r="K402" s="113" t="s">
        <v>81</v>
      </c>
      <c r="L402" s="115" t="n">
        <v>30.44</v>
      </c>
      <c r="M402" s="115" t="n">
        <v>3.0</v>
      </c>
      <c r="N402" s="115"/>
      <c r="O402" s="115"/>
      <c r="P402" s="115"/>
      <c r="Q402" s="115"/>
      <c r="R402" s="115"/>
      <c r="S402" s="115"/>
      <c r="T402" s="115"/>
      <c r="U402" s="115"/>
      <c r="V402" s="115" t="s">
        <v>91</v>
      </c>
      <c r="W402" s="115" t="s">
        <v>92</v>
      </c>
      <c r="X402" s="113">
        <f>IF(INDIRECT("W402")="Clássico","12%",IF(INDIRECT("W402")="Premium","17%","-"))</f>
      </c>
      <c r="Y402" s="113" t="s">
        <v>1105</v>
      </c>
    </row>
    <row r="403" ht="50.0" customHeight="true">
      <c r="A403" s="113" t="s">
        <v>22</v>
      </c>
      <c r="B403" s="113" t="s">
        <v>1478</v>
      </c>
      <c r="C403" s="113" t="s">
        <v>1480</v>
      </c>
      <c r="D403" s="113" t="s">
        <v>1480</v>
      </c>
      <c r="E403" s="114" t="s">
        <v>1107</v>
      </c>
      <c r="F403" s="116">
        <f>"     "&amp;F402</f>
      </c>
      <c r="G403" s="113" t="s">
        <v>1108</v>
      </c>
      <c r="H403" s="113" t="s">
        <v>103</v>
      </c>
      <c r="I403" s="113">
        <f>I402</f>
      </c>
      <c r="J403" s="113">
        <f>J402&amp;"     "</f>
      </c>
      <c r="K403" s="113" t="s">
        <v>81</v>
      </c>
      <c r="L403" s="113">
        <f>L402</f>
      </c>
      <c r="M403" s="113">
        <f>M402</f>
      </c>
      <c r="N403" s="113">
        <f>N402</f>
      </c>
      <c r="O403" s="113">
        <f>O402</f>
      </c>
      <c r="P403" s="113">
        <f>P402</f>
      </c>
      <c r="Q403" s="113">
        <f>Q402</f>
      </c>
      <c r="R403" s="113">
        <f>R402</f>
      </c>
      <c r="S403" s="113">
        <f>S402</f>
      </c>
      <c r="T403" s="113">
        <f>T402</f>
      </c>
      <c r="U403" s="113">
        <f>U402</f>
      </c>
      <c r="V403" s="113">
        <f>V402&amp;"     "</f>
      </c>
      <c r="W403" s="113">
        <f>W402&amp;"     "</f>
      </c>
      <c r="X403" s="113">
        <f>X402</f>
      </c>
      <c r="Y403" s="113" t="s">
        <v>1105</v>
      </c>
    </row>
    <row r="404" ht="50.0" customHeight="true">
      <c r="A404" s="113" t="s">
        <v>22</v>
      </c>
      <c r="B404" s="113" t="s">
        <v>1478</v>
      </c>
      <c r="C404" s="113" t="s">
        <v>1481</v>
      </c>
      <c r="D404" s="113" t="s">
        <v>1481</v>
      </c>
      <c r="E404" s="114" t="s">
        <v>1113</v>
      </c>
      <c r="F404" s="116">
        <f>"     "&amp;F402</f>
      </c>
      <c r="G404" s="113" t="s">
        <v>1114</v>
      </c>
      <c r="H404" s="113" t="s">
        <v>103</v>
      </c>
      <c r="I404" s="113">
        <f>I402</f>
      </c>
      <c r="J404" s="113">
        <f>J402&amp;"     "</f>
      </c>
      <c r="K404" s="113" t="s">
        <v>81</v>
      </c>
      <c r="L404" s="113">
        <f>L402</f>
      </c>
      <c r="M404" s="113">
        <f>M402</f>
      </c>
      <c r="N404" s="113">
        <f>N402</f>
      </c>
      <c r="O404" s="113">
        <f>O402</f>
      </c>
      <c r="P404" s="113">
        <f>P402</f>
      </c>
      <c r="Q404" s="113">
        <f>Q402</f>
      </c>
      <c r="R404" s="113">
        <f>R402</f>
      </c>
      <c r="S404" s="113">
        <f>S402</f>
      </c>
      <c r="T404" s="113">
        <f>T402</f>
      </c>
      <c r="U404" s="113">
        <f>U402</f>
      </c>
      <c r="V404" s="113">
        <f>V402&amp;"     "</f>
      </c>
      <c r="W404" s="113">
        <f>W402&amp;"     "</f>
      </c>
      <c r="X404" s="113">
        <f>X402</f>
      </c>
      <c r="Y404" s="113" t="s">
        <v>1105</v>
      </c>
    </row>
    <row r="405" ht="50.0" customHeight="true">
      <c r="A405" s="113" t="s">
        <v>22</v>
      </c>
      <c r="B405" s="113" t="s">
        <v>1478</v>
      </c>
      <c r="C405" s="113" t="s">
        <v>1482</v>
      </c>
      <c r="D405" s="113" t="s">
        <v>1482</v>
      </c>
      <c r="E405" s="114" t="s">
        <v>1110</v>
      </c>
      <c r="F405" s="116">
        <f>"     "&amp;F402</f>
      </c>
      <c r="G405" s="113" t="s">
        <v>1111</v>
      </c>
      <c r="H405" s="113" t="s">
        <v>103</v>
      </c>
      <c r="I405" s="113">
        <f>I402</f>
      </c>
      <c r="J405" s="113">
        <f>J402&amp;"     "</f>
      </c>
      <c r="K405" s="113" t="s">
        <v>81</v>
      </c>
      <c r="L405" s="113">
        <f>L402</f>
      </c>
      <c r="M405" s="113">
        <f>M402</f>
      </c>
      <c r="N405" s="113">
        <f>N402</f>
      </c>
      <c r="O405" s="113">
        <f>O402</f>
      </c>
      <c r="P405" s="113">
        <f>P402</f>
      </c>
      <c r="Q405" s="113">
        <f>Q402</f>
      </c>
      <c r="R405" s="113">
        <f>R402</f>
      </c>
      <c r="S405" s="113">
        <f>S402</f>
      </c>
      <c r="T405" s="113">
        <f>T402</f>
      </c>
      <c r="U405" s="113">
        <f>U402</f>
      </c>
      <c r="V405" s="113">
        <f>V402&amp;"     "</f>
      </c>
      <c r="W405" s="113">
        <f>W402&amp;"     "</f>
      </c>
      <c r="X405" s="113">
        <f>X402</f>
      </c>
      <c r="Y405" s="113" t="s">
        <v>1105</v>
      </c>
    </row>
    <row r="406" ht="50.0" customHeight="true">
      <c r="A406" s="113" t="s">
        <v>22</v>
      </c>
      <c r="B406" s="113" t="s">
        <v>1478</v>
      </c>
      <c r="C406" s="113" t="s">
        <v>1483</v>
      </c>
      <c r="D406" s="113" t="s">
        <v>1483</v>
      </c>
      <c r="E406" s="114" t="s">
        <v>1116</v>
      </c>
      <c r="F406" s="116">
        <f>"     "&amp;F402</f>
      </c>
      <c r="G406" s="113" t="s">
        <v>1117</v>
      </c>
      <c r="H406" s="113" t="s">
        <v>103</v>
      </c>
      <c r="I406" s="113">
        <f>I402</f>
      </c>
      <c r="J406" s="113">
        <f>J402&amp;"     "</f>
      </c>
      <c r="K406" s="113" t="s">
        <v>81</v>
      </c>
      <c r="L406" s="113">
        <f>L402</f>
      </c>
      <c r="M406" s="113">
        <f>M402</f>
      </c>
      <c r="N406" s="113">
        <f>N402</f>
      </c>
      <c r="O406" s="113">
        <f>O402</f>
      </c>
      <c r="P406" s="113">
        <f>P402</f>
      </c>
      <c r="Q406" s="113">
        <f>Q402</f>
      </c>
      <c r="R406" s="113">
        <f>R402</f>
      </c>
      <c r="S406" s="113">
        <f>S402</f>
      </c>
      <c r="T406" s="113">
        <f>T402</f>
      </c>
      <c r="U406" s="113">
        <f>U402</f>
      </c>
      <c r="V406" s="113">
        <f>V402&amp;"     "</f>
      </c>
      <c r="W406" s="113">
        <f>W402&amp;"     "</f>
      </c>
      <c r="X406" s="113">
        <f>X402</f>
      </c>
      <c r="Y406" s="113" t="s">
        <v>1105</v>
      </c>
    </row>
    <row r="407" ht="50.0" customHeight="true">
      <c r="A407" s="113" t="s">
        <v>1484</v>
      </c>
      <c r="B407" s="113" t="s">
        <v>1485</v>
      </c>
      <c r="C407" s="113" t="s">
        <v>1486</v>
      </c>
      <c r="D407" s="113"/>
      <c r="E407" s="114" t="s">
        <v>1487</v>
      </c>
      <c r="F407" s="113" t="s">
        <v>1488</v>
      </c>
      <c r="G407" s="113" t="s">
        <v>127</v>
      </c>
      <c r="H407" s="113" t="s">
        <v>103</v>
      </c>
      <c r="I407" s="115" t="n">
        <v>117.6</v>
      </c>
      <c r="J407" s="115" t="s">
        <v>80</v>
      </c>
      <c r="K407" s="115" t="s">
        <v>81</v>
      </c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 t="s">
        <v>82</v>
      </c>
      <c r="W407" s="115" t="s">
        <v>92</v>
      </c>
      <c r="X407" s="113">
        <f>IF(INDIRECT("W407")="Clássico","12%",IF(INDIRECT("W407")="Premium","17%","-"))</f>
      </c>
      <c r="Y407" s="113" t="s">
        <v>128</v>
      </c>
    </row>
    <row r="408" ht="50.0" customHeight="true">
      <c r="A408" s="113" t="s">
        <v>1489</v>
      </c>
      <c r="B408" s="113" t="s">
        <v>1490</v>
      </c>
      <c r="C408" s="113" t="s">
        <v>1491</v>
      </c>
      <c r="D408" s="113"/>
      <c r="E408" s="114" t="s">
        <v>1487</v>
      </c>
      <c r="F408" s="113" t="s">
        <v>1492</v>
      </c>
      <c r="G408" s="113" t="s">
        <v>127</v>
      </c>
      <c r="H408" s="113" t="s">
        <v>103</v>
      </c>
      <c r="I408" s="115" t="n">
        <v>125.93</v>
      </c>
      <c r="J408" s="115" t="s">
        <v>80</v>
      </c>
      <c r="K408" s="115" t="s">
        <v>81</v>
      </c>
      <c r="L408" s="115" t="n">
        <v>131.58</v>
      </c>
      <c r="M408" s="115" t="n">
        <v>3.0</v>
      </c>
      <c r="N408" s="115"/>
      <c r="O408" s="115"/>
      <c r="P408" s="115"/>
      <c r="Q408" s="115"/>
      <c r="R408" s="115"/>
      <c r="S408" s="115"/>
      <c r="T408" s="115"/>
      <c r="U408" s="115"/>
      <c r="V408" s="115" t="s">
        <v>82</v>
      </c>
      <c r="W408" s="115" t="s">
        <v>92</v>
      </c>
      <c r="X408" s="113">
        <f>IF(INDIRECT("W408")="Clássico","12%",IF(INDIRECT("W408")="Premium","17%","-"))</f>
      </c>
      <c r="Y408" s="113" t="s">
        <v>128</v>
      </c>
    </row>
    <row r="409" ht="50.0" customHeight="true">
      <c r="A409" s="113" t="s">
        <v>1493</v>
      </c>
      <c r="B409" s="113" t="s">
        <v>1494</v>
      </c>
      <c r="C409" s="113" t="s">
        <v>1495</v>
      </c>
      <c r="D409" s="113"/>
      <c r="E409" s="114" t="s">
        <v>1496</v>
      </c>
      <c r="F409" s="113" t="s">
        <v>1497</v>
      </c>
      <c r="G409" s="113" t="s">
        <v>1497</v>
      </c>
      <c r="H409" s="113" t="s">
        <v>103</v>
      </c>
      <c r="I409" s="115" t="n">
        <v>227.72</v>
      </c>
      <c r="J409" s="115" t="s">
        <v>80</v>
      </c>
      <c r="K409" s="115" t="s">
        <v>81</v>
      </c>
      <c r="L409" s="115" t="n">
        <v>220.19</v>
      </c>
      <c r="M409" s="115" t="n">
        <v>3.0</v>
      </c>
      <c r="N409" s="115"/>
      <c r="O409" s="115"/>
      <c r="P409" s="115"/>
      <c r="Q409" s="115"/>
      <c r="R409" s="115"/>
      <c r="S409" s="115"/>
      <c r="T409" s="115"/>
      <c r="U409" s="115"/>
      <c r="V409" s="115" t="s">
        <v>82</v>
      </c>
      <c r="W409" s="115" t="s">
        <v>83</v>
      </c>
      <c r="X409" s="113">
        <f>IF(INDIRECT("W409")="Clássico","12%",IF(INDIRECT("W409")="Premium","17%","-"))</f>
      </c>
      <c r="Y409" s="113" t="s">
        <v>221</v>
      </c>
    </row>
    <row r="410" ht="50.0" customHeight="true">
      <c r="A410" s="113" t="s">
        <v>1498</v>
      </c>
      <c r="B410" s="113" t="s">
        <v>1499</v>
      </c>
      <c r="C410" s="113" t="s">
        <v>1500</v>
      </c>
      <c r="D410" s="113"/>
      <c r="E410" s="114" t="s">
        <v>1501</v>
      </c>
      <c r="F410" s="113" t="s">
        <v>1502</v>
      </c>
      <c r="G410" s="113" t="s">
        <v>1502</v>
      </c>
      <c r="H410" s="113" t="s">
        <v>103</v>
      </c>
      <c r="I410" s="115" t="n">
        <v>208.85</v>
      </c>
      <c r="J410" s="115" t="s">
        <v>80</v>
      </c>
      <c r="K410" s="115" t="s">
        <v>81</v>
      </c>
      <c r="L410" s="115" t="n">
        <v>203.85</v>
      </c>
      <c r="M410" s="115" t="n">
        <v>3.0</v>
      </c>
      <c r="N410" s="115"/>
      <c r="O410" s="115"/>
      <c r="P410" s="115"/>
      <c r="Q410" s="115"/>
      <c r="R410" s="115"/>
      <c r="S410" s="115"/>
      <c r="T410" s="115"/>
      <c r="U410" s="115"/>
      <c r="V410" s="115" t="s">
        <v>82</v>
      </c>
      <c r="W410" s="115" t="s">
        <v>83</v>
      </c>
      <c r="X410" s="113">
        <f>IF(INDIRECT("W410")="Clássico","12%",IF(INDIRECT("W410")="Premium","17%","-"))</f>
      </c>
      <c r="Y410" s="113" t="s">
        <v>1098</v>
      </c>
    </row>
    <row r="411" ht="50.0" customHeight="true">
      <c r="A411" s="113" t="s">
        <v>1503</v>
      </c>
      <c r="B411" s="113" t="s">
        <v>1504</v>
      </c>
      <c r="C411" s="113" t="s">
        <v>1505</v>
      </c>
      <c r="D411" s="113"/>
      <c r="E411" s="114" t="s">
        <v>259</v>
      </c>
      <c r="F411" s="113" t="s">
        <v>1506</v>
      </c>
      <c r="G411" s="113" t="s">
        <v>1506</v>
      </c>
      <c r="H411" s="113" t="s">
        <v>103</v>
      </c>
      <c r="I411" s="115" t="n">
        <v>89.75</v>
      </c>
      <c r="J411" s="115" t="s">
        <v>80</v>
      </c>
      <c r="K411" s="115" t="s">
        <v>81</v>
      </c>
      <c r="L411" s="115" t="n">
        <v>105.0</v>
      </c>
      <c r="M411" s="115" t="n">
        <v>3.0</v>
      </c>
      <c r="N411" s="115"/>
      <c r="O411" s="115"/>
      <c r="P411" s="115"/>
      <c r="Q411" s="115"/>
      <c r="R411" s="115"/>
      <c r="S411" s="115"/>
      <c r="T411" s="115"/>
      <c r="U411" s="115"/>
      <c r="V411" s="115" t="s">
        <v>91</v>
      </c>
      <c r="W411" s="115" t="s">
        <v>92</v>
      </c>
      <c r="X411" s="113">
        <f>IF(INDIRECT("W411")="Clássico","12%",IF(INDIRECT("W411")="Premium","17%","-"))</f>
      </c>
      <c r="Y411" s="113" t="s">
        <v>93</v>
      </c>
    </row>
    <row r="412" ht="50.0" customHeight="true">
      <c r="A412" s="113" t="s">
        <v>1507</v>
      </c>
      <c r="B412" s="113" t="s">
        <v>1508</v>
      </c>
      <c r="C412" s="113" t="s">
        <v>1509</v>
      </c>
      <c r="D412" s="113"/>
      <c r="E412" s="114" t="s">
        <v>1510</v>
      </c>
      <c r="F412" s="113" t="s">
        <v>1511</v>
      </c>
      <c r="G412" s="113" t="s">
        <v>1512</v>
      </c>
      <c r="H412" s="113" t="s">
        <v>361</v>
      </c>
      <c r="I412" s="115" t="n">
        <v>91.01</v>
      </c>
      <c r="J412" s="115" t="s">
        <v>80</v>
      </c>
      <c r="K412" s="115" t="s">
        <v>81</v>
      </c>
      <c r="L412" s="115" t="n">
        <v>83.48</v>
      </c>
      <c r="M412" s="115" t="n">
        <v>3.0</v>
      </c>
      <c r="N412" s="115"/>
      <c r="O412" s="115"/>
      <c r="P412" s="115"/>
      <c r="Q412" s="115"/>
      <c r="R412" s="115"/>
      <c r="S412" s="115"/>
      <c r="T412" s="115"/>
      <c r="U412" s="115"/>
      <c r="V412" s="115" t="s">
        <v>91</v>
      </c>
      <c r="W412" s="115" t="s">
        <v>92</v>
      </c>
      <c r="X412" s="113">
        <f>IF(INDIRECT("W412")="Clássico","12%",IF(INDIRECT("W412")="Premium","17%","-"))</f>
      </c>
      <c r="Y412" s="113" t="s">
        <v>662</v>
      </c>
    </row>
    <row r="413" ht="50.0" customHeight="true">
      <c r="A413" s="113" t="s">
        <v>1513</v>
      </c>
      <c r="B413" s="113" t="s">
        <v>1514</v>
      </c>
      <c r="C413" s="113" t="s">
        <v>1515</v>
      </c>
      <c r="D413" s="113"/>
      <c r="E413" s="114" t="s">
        <v>881</v>
      </c>
      <c r="F413" s="113" t="s">
        <v>1516</v>
      </c>
      <c r="G413" s="113" t="s">
        <v>1516</v>
      </c>
      <c r="H413" s="113" t="s">
        <v>103</v>
      </c>
      <c r="I413" s="115" t="n">
        <v>90.0</v>
      </c>
      <c r="J413" s="115" t="s">
        <v>80</v>
      </c>
      <c r="K413" s="115" t="s">
        <v>81</v>
      </c>
      <c r="L413" s="115" t="n">
        <v>83.48</v>
      </c>
      <c r="M413" s="115" t="n">
        <v>3.0</v>
      </c>
      <c r="N413" s="115"/>
      <c r="O413" s="115"/>
      <c r="P413" s="115"/>
      <c r="Q413" s="115"/>
      <c r="R413" s="115"/>
      <c r="S413" s="115"/>
      <c r="T413" s="115"/>
      <c r="U413" s="115"/>
      <c r="V413" s="115" t="s">
        <v>91</v>
      </c>
      <c r="W413" s="115" t="s">
        <v>92</v>
      </c>
      <c r="X413" s="113">
        <f>IF(INDIRECT("W413")="Clássico","12%",IF(INDIRECT("W413")="Premium","17%","-"))</f>
      </c>
      <c r="Y413" s="113" t="s">
        <v>883</v>
      </c>
    </row>
    <row r="414" ht="50.0" customHeight="true">
      <c r="A414" s="113" t="s">
        <v>1517</v>
      </c>
      <c r="B414" s="113" t="s">
        <v>1518</v>
      </c>
      <c r="C414" s="113" t="s">
        <v>1519</v>
      </c>
      <c r="D414" s="113"/>
      <c r="E414" s="114" t="s">
        <v>1520</v>
      </c>
      <c r="F414" s="113" t="s">
        <v>1521</v>
      </c>
      <c r="G414" s="113" t="s">
        <v>1521</v>
      </c>
      <c r="H414" s="113" t="s">
        <v>103</v>
      </c>
      <c r="I414" s="115" t="n">
        <v>937.97</v>
      </c>
      <c r="J414" s="115" t="s">
        <v>80</v>
      </c>
      <c r="K414" s="115" t="s">
        <v>81</v>
      </c>
      <c r="L414" s="115" t="n">
        <v>932.97</v>
      </c>
      <c r="M414" s="115" t="n">
        <v>3.0</v>
      </c>
      <c r="N414" s="115"/>
      <c r="O414" s="115"/>
      <c r="P414" s="115"/>
      <c r="Q414" s="115"/>
      <c r="R414" s="115"/>
      <c r="S414" s="115"/>
      <c r="T414" s="115"/>
      <c r="U414" s="115"/>
      <c r="V414" s="115" t="s">
        <v>82</v>
      </c>
      <c r="W414" s="115" t="s">
        <v>83</v>
      </c>
      <c r="X414" s="113">
        <f>IF(INDIRECT("W414")="Clássico","12%",IF(INDIRECT("W414")="Premium","17%","-"))</f>
      </c>
      <c r="Y414" s="113" t="s">
        <v>482</v>
      </c>
    </row>
    <row r="415" ht="50.0" customHeight="true">
      <c r="A415" s="113" t="s">
        <v>1522</v>
      </c>
      <c r="B415" s="113" t="s">
        <v>1523</v>
      </c>
      <c r="C415" s="113" t="s">
        <v>1524</v>
      </c>
      <c r="D415" s="113"/>
      <c r="E415" s="114" t="s">
        <v>1510</v>
      </c>
      <c r="F415" s="113" t="s">
        <v>1525</v>
      </c>
      <c r="G415" s="113" t="s">
        <v>1512</v>
      </c>
      <c r="H415" s="113" t="s">
        <v>103</v>
      </c>
      <c r="I415" s="115" t="n">
        <v>92.28</v>
      </c>
      <c r="J415" s="115" t="s">
        <v>80</v>
      </c>
      <c r="K415" s="115" t="s">
        <v>81</v>
      </c>
      <c r="L415" s="115" t="n">
        <v>87.28</v>
      </c>
      <c r="M415" s="115" t="n">
        <v>3.0</v>
      </c>
      <c r="N415" s="115"/>
      <c r="O415" s="115"/>
      <c r="P415" s="115"/>
      <c r="Q415" s="115"/>
      <c r="R415" s="115"/>
      <c r="S415" s="115"/>
      <c r="T415" s="115"/>
      <c r="U415" s="115"/>
      <c r="V415" s="115" t="s">
        <v>91</v>
      </c>
      <c r="W415" s="115" t="s">
        <v>92</v>
      </c>
      <c r="X415" s="113">
        <f>IF(INDIRECT("W415")="Clássico","12%",IF(INDIRECT("W415")="Premium","17%","-"))</f>
      </c>
      <c r="Y415" s="113" t="s">
        <v>662</v>
      </c>
    </row>
    <row r="416" ht="50.0" customHeight="true">
      <c r="A416" s="113" t="s">
        <v>1526</v>
      </c>
      <c r="B416" s="113" t="s">
        <v>1527</v>
      </c>
      <c r="C416" s="113" t="s">
        <v>1528</v>
      </c>
      <c r="D416" s="113"/>
      <c r="E416" s="114" t="s">
        <v>1178</v>
      </c>
      <c r="F416" s="113" t="s">
        <v>1529</v>
      </c>
      <c r="G416" s="113" t="s">
        <v>1529</v>
      </c>
      <c r="H416" s="113" t="s">
        <v>234</v>
      </c>
      <c r="I416" s="115" t="n">
        <v>1520.14</v>
      </c>
      <c r="J416" s="115" t="s">
        <v>80</v>
      </c>
      <c r="K416" s="115" t="s">
        <v>81</v>
      </c>
      <c r="L416" s="115" t="n">
        <v>1555.51</v>
      </c>
      <c r="M416" s="115" t="n">
        <v>3.0</v>
      </c>
      <c r="N416" s="115"/>
      <c r="O416" s="115"/>
      <c r="P416" s="115"/>
      <c r="Q416" s="115"/>
      <c r="R416" s="115"/>
      <c r="S416" s="115"/>
      <c r="T416" s="115"/>
      <c r="U416" s="115"/>
      <c r="V416" s="115" t="s">
        <v>82</v>
      </c>
      <c r="W416" s="115" t="s">
        <v>83</v>
      </c>
      <c r="X416" s="113">
        <f>IF(INDIRECT("W416")="Clássico","12%",IF(INDIRECT("W416")="Premium","17%","-"))</f>
      </c>
      <c r="Y416" s="113" t="s">
        <v>1180</v>
      </c>
    </row>
    <row r="417" ht="50.0" customHeight="true">
      <c r="A417" s="113" t="s">
        <v>1530</v>
      </c>
      <c r="B417" s="113" t="s">
        <v>1531</v>
      </c>
      <c r="C417" s="113" t="s">
        <v>1532</v>
      </c>
      <c r="D417" s="113"/>
      <c r="E417" s="114" t="s">
        <v>1533</v>
      </c>
      <c r="F417" s="113" t="s">
        <v>1534</v>
      </c>
      <c r="G417" s="113" t="s">
        <v>1534</v>
      </c>
      <c r="H417" s="113" t="s">
        <v>103</v>
      </c>
      <c r="I417" s="115" t="n">
        <v>85.95</v>
      </c>
      <c r="J417" s="115" t="s">
        <v>80</v>
      </c>
      <c r="K417" s="115" t="s">
        <v>81</v>
      </c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 t="s">
        <v>91</v>
      </c>
      <c r="W417" s="115" t="s">
        <v>92</v>
      </c>
      <c r="X417" s="113">
        <f>IF(INDIRECT("W417")="Clássico","12%",IF(INDIRECT("W417")="Premium","17%","-"))</f>
      </c>
      <c r="Y417" s="113" t="s">
        <v>93</v>
      </c>
    </row>
    <row r="418" ht="50.0" customHeight="true">
      <c r="A418" s="113" t="s">
        <v>1170</v>
      </c>
      <c r="B418" s="113" t="s">
        <v>1535</v>
      </c>
      <c r="C418" s="113" t="s">
        <v>1536</v>
      </c>
      <c r="D418" s="113"/>
      <c r="E418" s="114" t="s">
        <v>1173</v>
      </c>
      <c r="F418" s="113" t="s">
        <v>1174</v>
      </c>
      <c r="G418" s="113" t="s">
        <v>1174</v>
      </c>
      <c r="H418" s="113" t="s">
        <v>103</v>
      </c>
      <c r="I418" s="115" t="n">
        <v>226.46</v>
      </c>
      <c r="J418" s="115" t="s">
        <v>80</v>
      </c>
      <c r="K418" s="115" t="s">
        <v>81</v>
      </c>
      <c r="L418" s="115" t="n">
        <v>186.0</v>
      </c>
      <c r="M418" s="115" t="n">
        <v>3.0</v>
      </c>
      <c r="N418" s="115"/>
      <c r="O418" s="115"/>
      <c r="P418" s="115"/>
      <c r="Q418" s="115"/>
      <c r="R418" s="115"/>
      <c r="S418" s="115"/>
      <c r="T418" s="115"/>
      <c r="U418" s="115"/>
      <c r="V418" s="115" t="s">
        <v>82</v>
      </c>
      <c r="W418" s="115" t="s">
        <v>92</v>
      </c>
      <c r="X418" s="113">
        <f>IF(INDIRECT("W418")="Clássico","12%",IF(INDIRECT("W418")="Premium","17%","-"))</f>
      </c>
      <c r="Y418" s="113" t="s">
        <v>482</v>
      </c>
    </row>
    <row r="419" ht="50.0" customHeight="true">
      <c r="A419" s="113" t="s">
        <v>1537</v>
      </c>
      <c r="B419" s="113" t="s">
        <v>1538</v>
      </c>
      <c r="C419" s="113" t="s">
        <v>1539</v>
      </c>
      <c r="D419" s="113"/>
      <c r="E419" s="114" t="s">
        <v>915</v>
      </c>
      <c r="F419" s="113" t="s">
        <v>1540</v>
      </c>
      <c r="G419" s="113" t="s">
        <v>1540</v>
      </c>
      <c r="H419" s="113" t="s">
        <v>103</v>
      </c>
      <c r="I419" s="115" t="n">
        <v>89.75</v>
      </c>
      <c r="J419" s="115" t="s">
        <v>80</v>
      </c>
      <c r="K419" s="115" t="s">
        <v>81</v>
      </c>
      <c r="L419" s="115" t="n">
        <v>91.08</v>
      </c>
      <c r="M419" s="115" t="n">
        <v>3.0</v>
      </c>
      <c r="N419" s="115"/>
      <c r="O419" s="115"/>
      <c r="P419" s="115"/>
      <c r="Q419" s="115"/>
      <c r="R419" s="115"/>
      <c r="S419" s="115"/>
      <c r="T419" s="115"/>
      <c r="U419" s="115"/>
      <c r="V419" s="115" t="s">
        <v>91</v>
      </c>
      <c r="W419" s="115" t="s">
        <v>92</v>
      </c>
      <c r="X419" s="113">
        <f>IF(INDIRECT("W419")="Clássico","12%",IF(INDIRECT("W419")="Premium","17%","-"))</f>
      </c>
      <c r="Y419" s="113" t="s">
        <v>93</v>
      </c>
    </row>
    <row r="420" ht="50.0" customHeight="true">
      <c r="A420" s="113" t="s">
        <v>1541</v>
      </c>
      <c r="B420" s="113" t="s">
        <v>1542</v>
      </c>
      <c r="C420" s="113" t="s">
        <v>1543</v>
      </c>
      <c r="D420" s="113"/>
      <c r="E420" s="114" t="s">
        <v>1359</v>
      </c>
      <c r="F420" s="113" t="s">
        <v>1544</v>
      </c>
      <c r="G420" s="113" t="s">
        <v>1544</v>
      </c>
      <c r="H420" s="113" t="s">
        <v>103</v>
      </c>
      <c r="I420" s="115" t="n">
        <v>1055.58</v>
      </c>
      <c r="J420" s="115" t="s">
        <v>80</v>
      </c>
      <c r="K420" s="115" t="s">
        <v>81</v>
      </c>
      <c r="L420" s="115" t="n">
        <v>1121.47</v>
      </c>
      <c r="M420" s="115" t="n">
        <v>3.0</v>
      </c>
      <c r="N420" s="115"/>
      <c r="O420" s="115"/>
      <c r="P420" s="115"/>
      <c r="Q420" s="115"/>
      <c r="R420" s="115"/>
      <c r="S420" s="115"/>
      <c r="T420" s="115"/>
      <c r="U420" s="115"/>
      <c r="V420" s="115" t="s">
        <v>82</v>
      </c>
      <c r="W420" s="115" t="s">
        <v>92</v>
      </c>
      <c r="X420" s="113">
        <f>IF(INDIRECT("W420")="Clássico","12%",IF(INDIRECT("W420")="Premium","17%","-"))</f>
      </c>
      <c r="Y420" s="113" t="s">
        <v>712</v>
      </c>
    </row>
    <row r="421" ht="50.0" customHeight="true">
      <c r="A421" s="113" t="s">
        <v>1545</v>
      </c>
      <c r="B421" s="113" t="s">
        <v>1546</v>
      </c>
      <c r="C421" s="113" t="s">
        <v>1547</v>
      </c>
      <c r="D421" s="113"/>
      <c r="E421" s="114" t="s">
        <v>1548</v>
      </c>
      <c r="F421" s="113" t="s">
        <v>1549</v>
      </c>
      <c r="G421" s="113" t="s">
        <v>1549</v>
      </c>
      <c r="H421" s="113" t="s">
        <v>103</v>
      </c>
      <c r="I421" s="115" t="n">
        <v>411.27</v>
      </c>
      <c r="J421" s="115" t="s">
        <v>80</v>
      </c>
      <c r="K421" s="115" t="s">
        <v>81</v>
      </c>
      <c r="L421" s="115" t="n">
        <v>614.99</v>
      </c>
      <c r="M421" s="115" t="n">
        <v>3.0</v>
      </c>
      <c r="N421" s="115"/>
      <c r="O421" s="115"/>
      <c r="P421" s="115"/>
      <c r="Q421" s="115"/>
      <c r="R421" s="115"/>
      <c r="S421" s="115"/>
      <c r="T421" s="115"/>
      <c r="U421" s="115"/>
      <c r="V421" s="115" t="s">
        <v>82</v>
      </c>
      <c r="W421" s="115" t="s">
        <v>83</v>
      </c>
      <c r="X421" s="113">
        <f>IF(INDIRECT("W421")="Clássico","12%",IF(INDIRECT("W421")="Premium","17%","-"))</f>
      </c>
      <c r="Y421" s="113" t="s">
        <v>1330</v>
      </c>
    </row>
    <row r="422" ht="50.0" customHeight="true">
      <c r="A422" s="113" t="s">
        <v>22</v>
      </c>
      <c r="B422" s="113" t="s">
        <v>1550</v>
      </c>
      <c r="C422" s="113"/>
      <c r="D422" s="113"/>
      <c r="E422" s="113" t="s">
        <v>1551</v>
      </c>
      <c r="F422" s="113" t="s">
        <v>1552</v>
      </c>
      <c r="G422" s="113" t="s">
        <v>103</v>
      </c>
      <c r="H422" s="113" t="s">
        <v>103</v>
      </c>
      <c r="I422" s="115" t="n">
        <v>815.07</v>
      </c>
      <c r="J422" s="115" t="s">
        <v>80</v>
      </c>
      <c r="K422" s="113" t="s">
        <v>81</v>
      </c>
      <c r="L422" s="115" t="n">
        <v>808.91</v>
      </c>
      <c r="M422" s="115" t="n">
        <v>3.0</v>
      </c>
      <c r="N422" s="115"/>
      <c r="O422" s="115"/>
      <c r="P422" s="115"/>
      <c r="Q422" s="115"/>
      <c r="R422" s="115"/>
      <c r="S422" s="115"/>
      <c r="T422" s="115"/>
      <c r="U422" s="115"/>
      <c r="V422" s="115" t="s">
        <v>82</v>
      </c>
      <c r="W422" s="115" t="s">
        <v>83</v>
      </c>
      <c r="X422" s="113">
        <f>IF(INDIRECT("W422")="Clássico","12%",IF(INDIRECT("W422")="Premium","17%","-"))</f>
      </c>
      <c r="Y422" s="113" t="s">
        <v>1180</v>
      </c>
    </row>
    <row r="423" ht="50.0" customHeight="true">
      <c r="A423" s="113" t="s">
        <v>22</v>
      </c>
      <c r="B423" s="113" t="s">
        <v>1550</v>
      </c>
      <c r="C423" s="113" t="s">
        <v>1553</v>
      </c>
      <c r="D423" s="113" t="s">
        <v>1553</v>
      </c>
      <c r="E423" s="114" t="s">
        <v>1551</v>
      </c>
      <c r="F423" s="116">
        <f>"     "&amp;F422</f>
      </c>
      <c r="G423" s="113" t="s">
        <v>1554</v>
      </c>
      <c r="H423" s="113" t="s">
        <v>103</v>
      </c>
      <c r="I423" s="113">
        <f>I422</f>
      </c>
      <c r="J423" s="113">
        <f>J422&amp;"     "</f>
      </c>
      <c r="K423" s="113" t="s">
        <v>81</v>
      </c>
      <c r="L423" s="113">
        <f>L422</f>
      </c>
      <c r="M423" s="113">
        <f>M422</f>
      </c>
      <c r="N423" s="113">
        <f>N422</f>
      </c>
      <c r="O423" s="113">
        <f>O422</f>
      </c>
      <c r="P423" s="113">
        <f>P422</f>
      </c>
      <c r="Q423" s="113">
        <f>Q422</f>
      </c>
      <c r="R423" s="113">
        <f>R422</f>
      </c>
      <c r="S423" s="113">
        <f>S422</f>
      </c>
      <c r="T423" s="113">
        <f>T422</f>
      </c>
      <c r="U423" s="113">
        <f>U422</f>
      </c>
      <c r="V423" s="113">
        <f>V422&amp;"     "</f>
      </c>
      <c r="W423" s="113">
        <f>W422&amp;"     "</f>
      </c>
      <c r="X423" s="113">
        <f>X422</f>
      </c>
      <c r="Y423" s="113" t="s">
        <v>1180</v>
      </c>
    </row>
    <row r="424" ht="50.0" customHeight="true">
      <c r="A424" s="113" t="s">
        <v>22</v>
      </c>
      <c r="B424" s="113" t="s">
        <v>1550</v>
      </c>
      <c r="C424" s="113" t="s">
        <v>1555</v>
      </c>
      <c r="D424" s="113" t="s">
        <v>1555</v>
      </c>
      <c r="E424" s="114" t="s">
        <v>1556</v>
      </c>
      <c r="F424" s="116">
        <f>"     "&amp;F422</f>
      </c>
      <c r="G424" s="113" t="s">
        <v>1557</v>
      </c>
      <c r="H424" s="113" t="s">
        <v>103</v>
      </c>
      <c r="I424" s="113">
        <f>I422</f>
      </c>
      <c r="J424" s="113">
        <f>J422&amp;"     "</f>
      </c>
      <c r="K424" s="113" t="s">
        <v>81</v>
      </c>
      <c r="L424" s="113">
        <f>L422</f>
      </c>
      <c r="M424" s="113">
        <f>M422</f>
      </c>
      <c r="N424" s="113">
        <f>N422</f>
      </c>
      <c r="O424" s="113">
        <f>O422</f>
      </c>
      <c r="P424" s="113">
        <f>P422</f>
      </c>
      <c r="Q424" s="113">
        <f>Q422</f>
      </c>
      <c r="R424" s="113">
        <f>R422</f>
      </c>
      <c r="S424" s="113">
        <f>S422</f>
      </c>
      <c r="T424" s="113">
        <f>T422</f>
      </c>
      <c r="U424" s="113">
        <f>U422</f>
      </c>
      <c r="V424" s="113">
        <f>V422&amp;"     "</f>
      </c>
      <c r="W424" s="113">
        <f>W422&amp;"     "</f>
      </c>
      <c r="X424" s="113">
        <f>X422</f>
      </c>
      <c r="Y424" s="113" t="s">
        <v>1180</v>
      </c>
    </row>
    <row r="425" ht="50.0" customHeight="true">
      <c r="A425" s="113" t="s">
        <v>1558</v>
      </c>
      <c r="B425" s="113" t="s">
        <v>1559</v>
      </c>
      <c r="C425" s="113" t="s">
        <v>1560</v>
      </c>
      <c r="D425" s="113"/>
      <c r="E425" s="114" t="s">
        <v>1368</v>
      </c>
      <c r="F425" s="113" t="s">
        <v>1561</v>
      </c>
      <c r="G425" s="113" t="s">
        <v>1561</v>
      </c>
      <c r="H425" s="113" t="s">
        <v>132</v>
      </c>
      <c r="I425" s="115" t="n">
        <v>285.95</v>
      </c>
      <c r="J425" s="115" t="s">
        <v>80</v>
      </c>
      <c r="K425" s="115" t="s">
        <v>81</v>
      </c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 t="s">
        <v>82</v>
      </c>
      <c r="W425" s="115" t="s">
        <v>92</v>
      </c>
      <c r="X425" s="113">
        <f>IF(INDIRECT("W425")="Clássico","12%",IF(INDIRECT("W425")="Premium","17%","-"))</f>
      </c>
      <c r="Y425" s="113" t="s">
        <v>93</v>
      </c>
    </row>
    <row r="426" ht="50.0" customHeight="true">
      <c r="A426" s="113" t="s">
        <v>1562</v>
      </c>
      <c r="B426" s="113" t="s">
        <v>1563</v>
      </c>
      <c r="C426" s="113" t="s">
        <v>1564</v>
      </c>
      <c r="D426" s="113"/>
      <c r="E426" s="114" t="s">
        <v>915</v>
      </c>
      <c r="F426" s="113" t="s">
        <v>1565</v>
      </c>
      <c r="G426" s="113" t="s">
        <v>1565</v>
      </c>
      <c r="H426" s="113" t="s">
        <v>103</v>
      </c>
      <c r="I426" s="115" t="n">
        <v>130.25</v>
      </c>
      <c r="J426" s="115" t="s">
        <v>80</v>
      </c>
      <c r="K426" s="115" t="s">
        <v>81</v>
      </c>
      <c r="L426" s="115" t="n">
        <v>96.25</v>
      </c>
      <c r="M426" s="115" t="n">
        <v>3.0</v>
      </c>
      <c r="N426" s="115"/>
      <c r="O426" s="115"/>
      <c r="P426" s="115"/>
      <c r="Q426" s="115"/>
      <c r="R426" s="115"/>
      <c r="S426" s="115"/>
      <c r="T426" s="115"/>
      <c r="U426" s="115"/>
      <c r="V426" s="115" t="s">
        <v>82</v>
      </c>
      <c r="W426" s="115" t="s">
        <v>92</v>
      </c>
      <c r="X426" s="113">
        <f>IF(INDIRECT("W426")="Clássico","12%",IF(INDIRECT("W426")="Premium","17%","-"))</f>
      </c>
      <c r="Y426" s="113" t="s">
        <v>93</v>
      </c>
    </row>
    <row r="427" ht="50.0" customHeight="true">
      <c r="A427" s="113" t="s">
        <v>1566</v>
      </c>
      <c r="B427" s="113" t="s">
        <v>1567</v>
      </c>
      <c r="C427" s="113" t="s">
        <v>1568</v>
      </c>
      <c r="D427" s="113"/>
      <c r="E427" s="114" t="s">
        <v>753</v>
      </c>
      <c r="F427" s="113" t="s">
        <v>1569</v>
      </c>
      <c r="G427" s="113" t="s">
        <v>1569</v>
      </c>
      <c r="H427" s="113" t="s">
        <v>103</v>
      </c>
      <c r="I427" s="115" t="n">
        <v>219.62</v>
      </c>
      <c r="J427" s="115" t="s">
        <v>80</v>
      </c>
      <c r="K427" s="115" t="s">
        <v>81</v>
      </c>
      <c r="L427" s="115" t="n">
        <v>306.38</v>
      </c>
      <c r="M427" s="115" t="n">
        <v>3.0</v>
      </c>
      <c r="N427" s="115"/>
      <c r="O427" s="115"/>
      <c r="P427" s="115"/>
      <c r="Q427" s="115"/>
      <c r="R427" s="115"/>
      <c r="S427" s="115"/>
      <c r="T427" s="115"/>
      <c r="U427" s="115"/>
      <c r="V427" s="115" t="s">
        <v>82</v>
      </c>
      <c r="W427" s="115" t="s">
        <v>92</v>
      </c>
      <c r="X427" s="113">
        <f>IF(INDIRECT("W427")="Clássico","12%",IF(INDIRECT("W427")="Premium","17%","-"))</f>
      </c>
      <c r="Y427" s="113" t="s">
        <v>755</v>
      </c>
    </row>
    <row r="428" ht="50.0" customHeight="true">
      <c r="A428" s="113" t="s">
        <v>1570</v>
      </c>
      <c r="B428" s="113" t="s">
        <v>1571</v>
      </c>
      <c r="C428" s="113" t="s">
        <v>1572</v>
      </c>
      <c r="D428" s="113"/>
      <c r="E428" s="114" t="s">
        <v>119</v>
      </c>
      <c r="F428" s="113" t="s">
        <v>1573</v>
      </c>
      <c r="G428" s="113" t="s">
        <v>1573</v>
      </c>
      <c r="H428" s="113" t="s">
        <v>234</v>
      </c>
      <c r="I428" s="115" t="n">
        <v>193.55</v>
      </c>
      <c r="J428" s="115" t="s">
        <v>80</v>
      </c>
      <c r="K428" s="115" t="s">
        <v>81</v>
      </c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 t="s">
        <v>82</v>
      </c>
      <c r="W428" s="115" t="s">
        <v>83</v>
      </c>
      <c r="X428" s="113">
        <f>IF(INDIRECT("W428")="Clássico","12%",IF(INDIRECT("W428")="Premium","17%","-"))</f>
      </c>
      <c r="Y428" s="113" t="s">
        <v>121</v>
      </c>
    </row>
    <row r="429" ht="50.0" customHeight="true">
      <c r="A429" s="113" t="s">
        <v>22</v>
      </c>
      <c r="B429" s="113" t="s">
        <v>1574</v>
      </c>
      <c r="C429" s="113"/>
      <c r="D429" s="113"/>
      <c r="E429" s="113" t="s">
        <v>1426</v>
      </c>
      <c r="F429" s="113" t="s">
        <v>1575</v>
      </c>
      <c r="G429" s="113" t="s">
        <v>103</v>
      </c>
      <c r="H429" s="113" t="s">
        <v>103</v>
      </c>
      <c r="I429" s="115" t="n">
        <v>134.05</v>
      </c>
      <c r="J429" s="115" t="s">
        <v>80</v>
      </c>
      <c r="K429" s="113" t="s">
        <v>81</v>
      </c>
      <c r="L429" s="115" t="n">
        <v>129.05</v>
      </c>
      <c r="M429" s="115" t="n">
        <v>3.0</v>
      </c>
      <c r="N429" s="115"/>
      <c r="O429" s="115"/>
      <c r="P429" s="115"/>
      <c r="Q429" s="115"/>
      <c r="R429" s="115"/>
      <c r="S429" s="115"/>
      <c r="T429" s="115"/>
      <c r="U429" s="115"/>
      <c r="V429" s="115" t="s">
        <v>82</v>
      </c>
      <c r="W429" s="115" t="s">
        <v>83</v>
      </c>
      <c r="X429" s="113">
        <f>IF(INDIRECT("W429")="Clássico","12%",IF(INDIRECT("W429")="Premium","17%","-"))</f>
      </c>
      <c r="Y429" s="113" t="s">
        <v>128</v>
      </c>
    </row>
    <row r="430" ht="50.0" customHeight="true">
      <c r="A430" s="113" t="s">
        <v>22</v>
      </c>
      <c r="B430" s="113" t="s">
        <v>1574</v>
      </c>
      <c r="C430" s="113" t="s">
        <v>1576</v>
      </c>
      <c r="D430" s="113" t="s">
        <v>1576</v>
      </c>
      <c r="E430" s="114" t="s">
        <v>1432</v>
      </c>
      <c r="F430" s="116">
        <f>"     "&amp;F429</f>
      </c>
      <c r="G430" s="113" t="s">
        <v>1433</v>
      </c>
      <c r="H430" s="113" t="s">
        <v>103</v>
      </c>
      <c r="I430" s="113">
        <f>I429</f>
      </c>
      <c r="J430" s="113">
        <f>J429&amp;"     "</f>
      </c>
      <c r="K430" s="113" t="s">
        <v>81</v>
      </c>
      <c r="L430" s="113">
        <f>L429</f>
      </c>
      <c r="M430" s="113">
        <f>M429</f>
      </c>
      <c r="N430" s="113">
        <f>N429</f>
      </c>
      <c r="O430" s="113">
        <f>O429</f>
      </c>
      <c r="P430" s="113">
        <f>P429</f>
      </c>
      <c r="Q430" s="113">
        <f>Q429</f>
      </c>
      <c r="R430" s="113">
        <f>R429</f>
      </c>
      <c r="S430" s="113">
        <f>S429</f>
      </c>
      <c r="T430" s="113">
        <f>T429</f>
      </c>
      <c r="U430" s="113">
        <f>U429</f>
      </c>
      <c r="V430" s="113">
        <f>V429&amp;"     "</f>
      </c>
      <c r="W430" s="113">
        <f>W429&amp;"     "</f>
      </c>
      <c r="X430" s="113">
        <f>X429</f>
      </c>
      <c r="Y430" s="113" t="s">
        <v>128</v>
      </c>
    </row>
    <row r="431" ht="50.0" customHeight="true">
      <c r="A431" s="113" t="s">
        <v>22</v>
      </c>
      <c r="B431" s="113" t="s">
        <v>1574</v>
      </c>
      <c r="C431" s="113" t="s">
        <v>1577</v>
      </c>
      <c r="D431" s="113" t="s">
        <v>1577</v>
      </c>
      <c r="E431" s="114" t="s">
        <v>1429</v>
      </c>
      <c r="F431" s="116">
        <f>"     "&amp;F429</f>
      </c>
      <c r="G431" s="113" t="s">
        <v>1430</v>
      </c>
      <c r="H431" s="113" t="s">
        <v>103</v>
      </c>
      <c r="I431" s="113">
        <f>I429</f>
      </c>
      <c r="J431" s="113">
        <f>J429&amp;"     "</f>
      </c>
      <c r="K431" s="113" t="s">
        <v>81</v>
      </c>
      <c r="L431" s="113">
        <f>L429</f>
      </c>
      <c r="M431" s="113">
        <f>M429</f>
      </c>
      <c r="N431" s="113">
        <f>N429</f>
      </c>
      <c r="O431" s="113">
        <f>O429</f>
      </c>
      <c r="P431" s="113">
        <f>P429</f>
      </c>
      <c r="Q431" s="113">
        <f>Q429</f>
      </c>
      <c r="R431" s="113">
        <f>R429</f>
      </c>
      <c r="S431" s="113">
        <f>S429</f>
      </c>
      <c r="T431" s="113">
        <f>T429</f>
      </c>
      <c r="U431" s="113">
        <f>U429</f>
      </c>
      <c r="V431" s="113">
        <f>V429&amp;"     "</f>
      </c>
      <c r="W431" s="113">
        <f>W429&amp;"     "</f>
      </c>
      <c r="X431" s="113">
        <f>X429</f>
      </c>
      <c r="Y431" s="113" t="s">
        <v>128</v>
      </c>
    </row>
    <row r="432" ht="50.0" customHeight="true">
      <c r="A432" s="113" t="s">
        <v>1578</v>
      </c>
      <c r="B432" s="113" t="s">
        <v>1579</v>
      </c>
      <c r="C432" s="113" t="s">
        <v>1580</v>
      </c>
      <c r="D432" s="113"/>
      <c r="E432" s="114" t="s">
        <v>720</v>
      </c>
      <c r="F432" s="113" t="s">
        <v>1581</v>
      </c>
      <c r="G432" s="113" t="s">
        <v>1581</v>
      </c>
      <c r="H432" s="113" t="s">
        <v>103</v>
      </c>
      <c r="I432" s="115" t="n">
        <v>92.28</v>
      </c>
      <c r="J432" s="115" t="s">
        <v>80</v>
      </c>
      <c r="K432" s="115" t="s">
        <v>81</v>
      </c>
      <c r="L432" s="115" t="n">
        <v>87.39</v>
      </c>
      <c r="M432" s="115" t="n">
        <v>3.0</v>
      </c>
      <c r="N432" s="115"/>
      <c r="O432" s="115"/>
      <c r="P432" s="115"/>
      <c r="Q432" s="115"/>
      <c r="R432" s="115"/>
      <c r="S432" s="115"/>
      <c r="T432" s="115"/>
      <c r="U432" s="115"/>
      <c r="V432" s="115" t="s">
        <v>91</v>
      </c>
      <c r="W432" s="115" t="s">
        <v>92</v>
      </c>
      <c r="X432" s="113">
        <f>IF(INDIRECT("W432")="Clássico","12%",IF(INDIRECT("W432")="Premium","17%","-"))</f>
      </c>
      <c r="Y432" s="113" t="s">
        <v>722</v>
      </c>
    </row>
    <row r="433" ht="50.0" customHeight="true">
      <c r="A433" s="113" t="s">
        <v>1582</v>
      </c>
      <c r="B433" s="113" t="s">
        <v>1583</v>
      </c>
      <c r="C433" s="113" t="s">
        <v>1584</v>
      </c>
      <c r="D433" s="113"/>
      <c r="E433" s="114" t="s">
        <v>365</v>
      </c>
      <c r="F433" s="113" t="s">
        <v>1585</v>
      </c>
      <c r="G433" s="113" t="s">
        <v>127</v>
      </c>
      <c r="H433" s="113" t="s">
        <v>103</v>
      </c>
      <c r="I433" s="115" t="n">
        <v>658.11</v>
      </c>
      <c r="J433" s="115" t="s">
        <v>80</v>
      </c>
      <c r="K433" s="115" t="s">
        <v>81</v>
      </c>
      <c r="L433" s="115" t="n">
        <v>653.11</v>
      </c>
      <c r="M433" s="115" t="n">
        <v>3.0</v>
      </c>
      <c r="N433" s="115"/>
      <c r="O433" s="115"/>
      <c r="P433" s="115"/>
      <c r="Q433" s="115"/>
      <c r="R433" s="115"/>
      <c r="S433" s="115"/>
      <c r="T433" s="115"/>
      <c r="U433" s="115"/>
      <c r="V433" s="115" t="s">
        <v>82</v>
      </c>
      <c r="W433" s="115" t="s">
        <v>83</v>
      </c>
      <c r="X433" s="113">
        <f>IF(INDIRECT("W433")="Clássico","12%",IF(INDIRECT("W433")="Premium","17%","-"))</f>
      </c>
      <c r="Y433" s="113" t="s">
        <v>367</v>
      </c>
    </row>
    <row r="434" ht="50.0" customHeight="true">
      <c r="A434" s="113" t="s">
        <v>1586</v>
      </c>
      <c r="B434" s="113" t="s">
        <v>1587</v>
      </c>
      <c r="C434" s="113" t="s">
        <v>1588</v>
      </c>
      <c r="D434" s="113"/>
      <c r="E434" s="114" t="s">
        <v>1589</v>
      </c>
      <c r="F434" s="113" t="s">
        <v>1590</v>
      </c>
      <c r="G434" s="113" t="s">
        <v>1590</v>
      </c>
      <c r="H434" s="113" t="s">
        <v>103</v>
      </c>
      <c r="I434" s="115" t="n">
        <v>56.84</v>
      </c>
      <c r="J434" s="115" t="s">
        <v>80</v>
      </c>
      <c r="K434" s="115" t="s">
        <v>81</v>
      </c>
      <c r="L434" s="115" t="n">
        <v>51.95</v>
      </c>
      <c r="M434" s="115" t="n">
        <v>3.0</v>
      </c>
      <c r="N434" s="115"/>
      <c r="O434" s="115"/>
      <c r="P434" s="115"/>
      <c r="Q434" s="115"/>
      <c r="R434" s="115"/>
      <c r="S434" s="115"/>
      <c r="T434" s="115"/>
      <c r="U434" s="115"/>
      <c r="V434" s="115" t="s">
        <v>91</v>
      </c>
      <c r="W434" s="115" t="s">
        <v>92</v>
      </c>
      <c r="X434" s="113">
        <f>IF(INDIRECT("W434")="Clássico","11%",IF(INDIRECT("W434")="Premium","16%","-"))</f>
      </c>
      <c r="Y434" s="113" t="s">
        <v>1591</v>
      </c>
    </row>
    <row r="435" ht="50.0" customHeight="true">
      <c r="A435" s="113" t="s">
        <v>1592</v>
      </c>
      <c r="B435" s="113" t="s">
        <v>1593</v>
      </c>
      <c r="C435" s="113" t="s">
        <v>1594</v>
      </c>
      <c r="D435" s="113"/>
      <c r="E435" s="114" t="s">
        <v>1265</v>
      </c>
      <c r="F435" s="113" t="s">
        <v>1595</v>
      </c>
      <c r="G435" s="113" t="s">
        <v>1595</v>
      </c>
      <c r="H435" s="113" t="s">
        <v>103</v>
      </c>
      <c r="I435" s="115" t="n">
        <v>91.01</v>
      </c>
      <c r="J435" s="115" t="s">
        <v>80</v>
      </c>
      <c r="K435" s="115" t="s">
        <v>81</v>
      </c>
      <c r="L435" s="115" t="n">
        <v>154.37</v>
      </c>
      <c r="M435" s="115" t="n">
        <v>3.0</v>
      </c>
      <c r="N435" s="115"/>
      <c r="O435" s="115"/>
      <c r="P435" s="115"/>
      <c r="Q435" s="115"/>
      <c r="R435" s="115"/>
      <c r="S435" s="115"/>
      <c r="T435" s="115"/>
      <c r="U435" s="115"/>
      <c r="V435" s="113" t="s">
        <v>1413</v>
      </c>
      <c r="W435" s="115" t="s">
        <v>83</v>
      </c>
      <c r="X435" s="113">
        <f>IF(INDIRECT("W435")="Clássico","12%",IF(INDIRECT("W435")="Premium","17%","-"))</f>
      </c>
      <c r="Y435" s="113" t="s">
        <v>627</v>
      </c>
    </row>
    <row r="436" ht="50.0" customHeight="true">
      <c r="A436" s="113" t="s">
        <v>22</v>
      </c>
      <c r="B436" s="113" t="s">
        <v>1596</v>
      </c>
      <c r="C436" s="113"/>
      <c r="D436" s="113"/>
      <c r="E436" s="113" t="s">
        <v>22</v>
      </c>
      <c r="F436" s="113" t="s">
        <v>369</v>
      </c>
      <c r="G436" s="113" t="s">
        <v>103</v>
      </c>
      <c r="H436" s="113" t="s">
        <v>103</v>
      </c>
      <c r="I436" s="115" t="n">
        <v>455.69</v>
      </c>
      <c r="J436" s="115" t="s">
        <v>80</v>
      </c>
      <c r="K436" s="113" t="s">
        <v>81</v>
      </c>
      <c r="L436" s="115" t="n">
        <v>450.69</v>
      </c>
      <c r="M436" s="115" t="n">
        <v>3.0</v>
      </c>
      <c r="N436" s="115"/>
      <c r="O436" s="115"/>
      <c r="P436" s="115"/>
      <c r="Q436" s="115"/>
      <c r="R436" s="115"/>
      <c r="S436" s="115"/>
      <c r="T436" s="115"/>
      <c r="U436" s="115"/>
      <c r="V436" s="115" t="s">
        <v>82</v>
      </c>
      <c r="W436" s="115" t="s">
        <v>92</v>
      </c>
      <c r="X436" s="113">
        <f>IF(INDIRECT("W436")="Clássico","12%",IF(INDIRECT("W436")="Premium","17%","-"))</f>
      </c>
      <c r="Y436" s="113" t="s">
        <v>300</v>
      </c>
    </row>
    <row r="437" ht="50.0" customHeight="true">
      <c r="A437" s="113" t="s">
        <v>22</v>
      </c>
      <c r="B437" s="113" t="s">
        <v>1596</v>
      </c>
      <c r="C437" s="113" t="s">
        <v>1597</v>
      </c>
      <c r="D437" s="113" t="s">
        <v>1597</v>
      </c>
      <c r="E437" s="114" t="s">
        <v>312</v>
      </c>
      <c r="F437" s="116">
        <f>"     "&amp;F436</f>
      </c>
      <c r="G437" s="113" t="s">
        <v>313</v>
      </c>
      <c r="H437" s="113" t="s">
        <v>103</v>
      </c>
      <c r="I437" s="113">
        <f>I436</f>
      </c>
      <c r="J437" s="113">
        <f>J436&amp;"     "</f>
      </c>
      <c r="K437" s="113" t="s">
        <v>81</v>
      </c>
      <c r="L437" s="113">
        <f>L436</f>
      </c>
      <c r="M437" s="113">
        <f>M436</f>
      </c>
      <c r="N437" s="113">
        <f>N436</f>
      </c>
      <c r="O437" s="113">
        <f>O436</f>
      </c>
      <c r="P437" s="113">
        <f>P436</f>
      </c>
      <c r="Q437" s="113">
        <f>Q436</f>
      </c>
      <c r="R437" s="113">
        <f>R436</f>
      </c>
      <c r="S437" s="113">
        <f>S436</f>
      </c>
      <c r="T437" s="113">
        <f>T436</f>
      </c>
      <c r="U437" s="113">
        <f>U436</f>
      </c>
      <c r="V437" s="113">
        <f>V436&amp;"     "</f>
      </c>
      <c r="W437" s="113">
        <f>W436&amp;"     "</f>
      </c>
      <c r="X437" s="113">
        <f>X436</f>
      </c>
      <c r="Y437" s="113" t="s">
        <v>300</v>
      </c>
    </row>
    <row r="438" ht="50.0" customHeight="true">
      <c r="A438" s="113" t="s">
        <v>22</v>
      </c>
      <c r="B438" s="113" t="s">
        <v>1596</v>
      </c>
      <c r="C438" s="113" t="s">
        <v>1598</v>
      </c>
      <c r="D438" s="113" t="s">
        <v>1598</v>
      </c>
      <c r="E438" s="114" t="s">
        <v>302</v>
      </c>
      <c r="F438" s="116">
        <f>"     "&amp;F436</f>
      </c>
      <c r="G438" s="113" t="s">
        <v>307</v>
      </c>
      <c r="H438" s="113" t="s">
        <v>103</v>
      </c>
      <c r="I438" s="113">
        <f>I436</f>
      </c>
      <c r="J438" s="113">
        <f>J436&amp;"     "</f>
      </c>
      <c r="K438" s="113" t="s">
        <v>81</v>
      </c>
      <c r="L438" s="113">
        <f>L436</f>
      </c>
      <c r="M438" s="113">
        <f>M436</f>
      </c>
      <c r="N438" s="113">
        <f>N436</f>
      </c>
      <c r="O438" s="113">
        <f>O436</f>
      </c>
      <c r="P438" s="113">
        <f>P436</f>
      </c>
      <c r="Q438" s="113">
        <f>Q436</f>
      </c>
      <c r="R438" s="113">
        <f>R436</f>
      </c>
      <c r="S438" s="113">
        <f>S436</f>
      </c>
      <c r="T438" s="113">
        <f>T436</f>
      </c>
      <c r="U438" s="113">
        <f>U436</f>
      </c>
      <c r="V438" s="113">
        <f>V436&amp;"     "</f>
      </c>
      <c r="W438" s="113">
        <f>W436&amp;"     "</f>
      </c>
      <c r="X438" s="113">
        <f>X436</f>
      </c>
      <c r="Y438" s="113" t="s">
        <v>300</v>
      </c>
    </row>
    <row r="439" ht="50.0" customHeight="true">
      <c r="A439" s="113" t="s">
        <v>22</v>
      </c>
      <c r="B439" s="113" t="s">
        <v>1596</v>
      </c>
      <c r="C439" s="113" t="s">
        <v>1599</v>
      </c>
      <c r="D439" s="113" t="s">
        <v>1599</v>
      </c>
      <c r="E439" s="114" t="s">
        <v>321</v>
      </c>
      <c r="F439" s="116">
        <f>"     "&amp;F436</f>
      </c>
      <c r="G439" s="113" t="s">
        <v>322</v>
      </c>
      <c r="H439" s="113" t="s">
        <v>103</v>
      </c>
      <c r="I439" s="113">
        <f>I436</f>
      </c>
      <c r="J439" s="113">
        <f>J436&amp;"     "</f>
      </c>
      <c r="K439" s="113" t="s">
        <v>81</v>
      </c>
      <c r="L439" s="113">
        <f>L436</f>
      </c>
      <c r="M439" s="113">
        <f>M436</f>
      </c>
      <c r="N439" s="113">
        <f>N436</f>
      </c>
      <c r="O439" s="113">
        <f>O436</f>
      </c>
      <c r="P439" s="113">
        <f>P436</f>
      </c>
      <c r="Q439" s="113">
        <f>Q436</f>
      </c>
      <c r="R439" s="113">
        <f>R436</f>
      </c>
      <c r="S439" s="113">
        <f>S436</f>
      </c>
      <c r="T439" s="113">
        <f>T436</f>
      </c>
      <c r="U439" s="113">
        <f>U436</f>
      </c>
      <c r="V439" s="113">
        <f>V436&amp;"     "</f>
      </c>
      <c r="W439" s="113">
        <f>W436&amp;"     "</f>
      </c>
      <c r="X439" s="113">
        <f>X436</f>
      </c>
      <c r="Y439" s="113" t="s">
        <v>300</v>
      </c>
    </row>
    <row r="440" ht="50.0" customHeight="true">
      <c r="A440" s="113" t="s">
        <v>22</v>
      </c>
      <c r="B440" s="113" t="s">
        <v>1596</v>
      </c>
      <c r="C440" s="113" t="s">
        <v>1600</v>
      </c>
      <c r="D440" s="113" t="s">
        <v>1600</v>
      </c>
      <c r="E440" s="114" t="s">
        <v>330</v>
      </c>
      <c r="F440" s="116">
        <f>"     "&amp;F436</f>
      </c>
      <c r="G440" s="113" t="s">
        <v>375</v>
      </c>
      <c r="H440" s="113" t="s">
        <v>103</v>
      </c>
      <c r="I440" s="113">
        <f>I436</f>
      </c>
      <c r="J440" s="113">
        <f>J436&amp;"     "</f>
      </c>
      <c r="K440" s="113" t="s">
        <v>81</v>
      </c>
      <c r="L440" s="113">
        <f>L436</f>
      </c>
      <c r="M440" s="113">
        <f>M436</f>
      </c>
      <c r="N440" s="113">
        <f>N436</f>
      </c>
      <c r="O440" s="113">
        <f>O436</f>
      </c>
      <c r="P440" s="113">
        <f>P436</f>
      </c>
      <c r="Q440" s="113">
        <f>Q436</f>
      </c>
      <c r="R440" s="113">
        <f>R436</f>
      </c>
      <c r="S440" s="113">
        <f>S436</f>
      </c>
      <c r="T440" s="113">
        <f>T436</f>
      </c>
      <c r="U440" s="113">
        <f>U436</f>
      </c>
      <c r="V440" s="113">
        <f>V436&amp;"     "</f>
      </c>
      <c r="W440" s="113">
        <f>W436&amp;"     "</f>
      </c>
      <c r="X440" s="113">
        <f>X436</f>
      </c>
      <c r="Y440" s="113" t="s">
        <v>300</v>
      </c>
    </row>
    <row r="441" ht="50.0" customHeight="true">
      <c r="A441" s="113" t="s">
        <v>22</v>
      </c>
      <c r="B441" s="113" t="s">
        <v>1596</v>
      </c>
      <c r="C441" s="113" t="s">
        <v>1601</v>
      </c>
      <c r="D441" s="113" t="s">
        <v>1601</v>
      </c>
      <c r="E441" s="114" t="s">
        <v>324</v>
      </c>
      <c r="F441" s="116">
        <f>"     "&amp;F436</f>
      </c>
      <c r="G441" s="113" t="s">
        <v>377</v>
      </c>
      <c r="H441" s="113" t="s">
        <v>103</v>
      </c>
      <c r="I441" s="113">
        <f>I436</f>
      </c>
      <c r="J441" s="113">
        <f>J436&amp;"     "</f>
      </c>
      <c r="K441" s="113" t="s">
        <v>81</v>
      </c>
      <c r="L441" s="113">
        <f>L436</f>
      </c>
      <c r="M441" s="113">
        <f>M436</f>
      </c>
      <c r="N441" s="113">
        <f>N436</f>
      </c>
      <c r="O441" s="113">
        <f>O436</f>
      </c>
      <c r="P441" s="113">
        <f>P436</f>
      </c>
      <c r="Q441" s="113">
        <f>Q436</f>
      </c>
      <c r="R441" s="113">
        <f>R436</f>
      </c>
      <c r="S441" s="113">
        <f>S436</f>
      </c>
      <c r="T441" s="113">
        <f>T436</f>
      </c>
      <c r="U441" s="113">
        <f>U436</f>
      </c>
      <c r="V441" s="113">
        <f>V436&amp;"     "</f>
      </c>
      <c r="W441" s="113">
        <f>W436&amp;"     "</f>
      </c>
      <c r="X441" s="113">
        <f>X436</f>
      </c>
      <c r="Y441" s="113" t="s">
        <v>300</v>
      </c>
    </row>
    <row r="442" ht="50.0" customHeight="true">
      <c r="A442" s="113" t="s">
        <v>22</v>
      </c>
      <c r="B442" s="113" t="s">
        <v>1596</v>
      </c>
      <c r="C442" s="113" t="s">
        <v>1602</v>
      </c>
      <c r="D442" s="113" t="s">
        <v>1602</v>
      </c>
      <c r="E442" s="114" t="s">
        <v>318</v>
      </c>
      <c r="F442" s="116">
        <f>"     "&amp;F436</f>
      </c>
      <c r="G442" s="113" t="s">
        <v>319</v>
      </c>
      <c r="H442" s="113" t="s">
        <v>103</v>
      </c>
      <c r="I442" s="113">
        <f>I436</f>
      </c>
      <c r="J442" s="113">
        <f>J436&amp;"     "</f>
      </c>
      <c r="K442" s="113" t="s">
        <v>81</v>
      </c>
      <c r="L442" s="113">
        <f>L436</f>
      </c>
      <c r="M442" s="113">
        <f>M436</f>
      </c>
      <c r="N442" s="113">
        <f>N436</f>
      </c>
      <c r="O442" s="113">
        <f>O436</f>
      </c>
      <c r="P442" s="113">
        <f>P436</f>
      </c>
      <c r="Q442" s="113">
        <f>Q436</f>
      </c>
      <c r="R442" s="113">
        <f>R436</f>
      </c>
      <c r="S442" s="113">
        <f>S436</f>
      </c>
      <c r="T442" s="113">
        <f>T436</f>
      </c>
      <c r="U442" s="113">
        <f>U436</f>
      </c>
      <c r="V442" s="113">
        <f>V436&amp;"     "</f>
      </c>
      <c r="W442" s="113">
        <f>W436&amp;"     "</f>
      </c>
      <c r="X442" s="113">
        <f>X436</f>
      </c>
      <c r="Y442" s="113" t="s">
        <v>300</v>
      </c>
    </row>
    <row r="443" ht="50.0" customHeight="true">
      <c r="A443" s="113" t="s">
        <v>1603</v>
      </c>
      <c r="B443" s="113" t="s">
        <v>1604</v>
      </c>
      <c r="C443" s="113" t="s">
        <v>1605</v>
      </c>
      <c r="D443" s="113"/>
      <c r="E443" s="114" t="s">
        <v>1305</v>
      </c>
      <c r="F443" s="113" t="s">
        <v>1606</v>
      </c>
      <c r="G443" s="113" t="s">
        <v>1606</v>
      </c>
      <c r="H443" s="113" t="s">
        <v>103</v>
      </c>
      <c r="I443" s="115" t="n">
        <v>785.96</v>
      </c>
      <c r="J443" s="115" t="s">
        <v>80</v>
      </c>
      <c r="K443" s="115" t="s">
        <v>81</v>
      </c>
      <c r="L443" s="115" t="n">
        <v>785.5</v>
      </c>
      <c r="M443" s="115" t="n">
        <v>3.0</v>
      </c>
      <c r="N443" s="115"/>
      <c r="O443" s="115"/>
      <c r="P443" s="115"/>
      <c r="Q443" s="115"/>
      <c r="R443" s="115"/>
      <c r="S443" s="115"/>
      <c r="T443" s="115"/>
      <c r="U443" s="115"/>
      <c r="V443" s="115" t="s">
        <v>82</v>
      </c>
      <c r="W443" s="115" t="s">
        <v>83</v>
      </c>
      <c r="X443" s="113">
        <f>IF(INDIRECT("W443")="Clássico","12%",IF(INDIRECT("W443")="Premium","17%","-"))</f>
      </c>
      <c r="Y443" s="113" t="s">
        <v>1307</v>
      </c>
    </row>
    <row r="444" ht="50.0" customHeight="true">
      <c r="A444" s="113" t="s">
        <v>1607</v>
      </c>
      <c r="B444" s="113" t="s">
        <v>1608</v>
      </c>
      <c r="C444" s="113" t="s">
        <v>1609</v>
      </c>
      <c r="D444" s="113"/>
      <c r="E444" s="114" t="s">
        <v>636</v>
      </c>
      <c r="F444" s="113" t="s">
        <v>1610</v>
      </c>
      <c r="G444" s="113" t="s">
        <v>1610</v>
      </c>
      <c r="H444" s="113" t="s">
        <v>234</v>
      </c>
      <c r="I444" s="115" t="n">
        <v>150.13</v>
      </c>
      <c r="J444" s="115" t="s">
        <v>80</v>
      </c>
      <c r="K444" s="115" t="s">
        <v>81</v>
      </c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 t="s">
        <v>82</v>
      </c>
      <c r="W444" s="115" t="s">
        <v>92</v>
      </c>
      <c r="X444" s="113">
        <f>IF(INDIRECT("W444")="Clássico","12%",IF(INDIRECT("W444")="Premium","17%","-"))</f>
      </c>
      <c r="Y444" s="113" t="s">
        <v>482</v>
      </c>
    </row>
    <row r="445" ht="50.0" customHeight="true">
      <c r="A445" s="113" t="s">
        <v>520</v>
      </c>
      <c r="B445" s="113" t="s">
        <v>1611</v>
      </c>
      <c r="C445" s="113" t="s">
        <v>1612</v>
      </c>
      <c r="D445" s="113"/>
      <c r="E445" s="114" t="s">
        <v>523</v>
      </c>
      <c r="F445" s="113" t="s">
        <v>524</v>
      </c>
      <c r="G445" s="113" t="s">
        <v>518</v>
      </c>
      <c r="H445" s="113" t="s">
        <v>103</v>
      </c>
      <c r="I445" s="115" t="n">
        <v>34.05</v>
      </c>
      <c r="J445" s="115" t="s">
        <v>80</v>
      </c>
      <c r="K445" s="115" t="s">
        <v>81</v>
      </c>
      <c r="L445" s="115" t="n">
        <v>29.05</v>
      </c>
      <c r="M445" s="115" t="n">
        <v>3.0</v>
      </c>
      <c r="N445" s="115"/>
      <c r="O445" s="115"/>
      <c r="P445" s="115"/>
      <c r="Q445" s="115"/>
      <c r="R445" s="115"/>
      <c r="S445" s="115"/>
      <c r="T445" s="115"/>
      <c r="U445" s="115"/>
      <c r="V445" s="115" t="s">
        <v>91</v>
      </c>
      <c r="W445" s="115" t="s">
        <v>92</v>
      </c>
      <c r="X445" s="113">
        <f>IF(INDIRECT("W445")="Clássico","11.5%",IF(INDIRECT("W445")="Premium","16.5%","-"))</f>
      </c>
      <c r="Y445" s="113" t="s">
        <v>519</v>
      </c>
    </row>
    <row r="446" ht="50.0" customHeight="true">
      <c r="A446" s="113" t="s">
        <v>1613</v>
      </c>
      <c r="B446" s="113" t="s">
        <v>1614</v>
      </c>
      <c r="C446" s="113" t="s">
        <v>1615</v>
      </c>
      <c r="D446" s="113"/>
      <c r="E446" s="114" t="s">
        <v>1164</v>
      </c>
      <c r="F446" s="113" t="s">
        <v>1616</v>
      </c>
      <c r="G446" s="113" t="s">
        <v>1616</v>
      </c>
      <c r="H446" s="113" t="s">
        <v>103</v>
      </c>
      <c r="I446" s="115" t="n">
        <v>206.21</v>
      </c>
      <c r="J446" s="115" t="s">
        <v>80</v>
      </c>
      <c r="K446" s="115" t="s">
        <v>81</v>
      </c>
      <c r="L446" s="115" t="n">
        <v>201.21</v>
      </c>
      <c r="M446" s="115" t="n">
        <v>3.0</v>
      </c>
      <c r="N446" s="115"/>
      <c r="O446" s="115"/>
      <c r="P446" s="115"/>
      <c r="Q446" s="115"/>
      <c r="R446" s="115"/>
      <c r="S446" s="115"/>
      <c r="T446" s="115"/>
      <c r="U446" s="115"/>
      <c r="V446" s="115" t="s">
        <v>82</v>
      </c>
      <c r="W446" s="115" t="s">
        <v>83</v>
      </c>
      <c r="X446" s="113">
        <f>IF(INDIRECT("W446")="Clássico","12%",IF(INDIRECT("W446")="Premium","17%","-"))</f>
      </c>
      <c r="Y446" s="113" t="s">
        <v>221</v>
      </c>
    </row>
    <row r="447" ht="50.0" customHeight="true">
      <c r="A447" s="113" t="s">
        <v>1617</v>
      </c>
      <c r="B447" s="113" t="s">
        <v>1618</v>
      </c>
      <c r="C447" s="113" t="s">
        <v>1619</v>
      </c>
      <c r="D447" s="113"/>
      <c r="E447" s="114" t="s">
        <v>666</v>
      </c>
      <c r="F447" s="113" t="s">
        <v>1620</v>
      </c>
      <c r="G447" s="113" t="s">
        <v>1620</v>
      </c>
      <c r="H447" s="113" t="s">
        <v>103</v>
      </c>
      <c r="I447" s="115" t="n">
        <v>185.95</v>
      </c>
      <c r="J447" s="115" t="s">
        <v>80</v>
      </c>
      <c r="K447" s="115" t="s">
        <v>81</v>
      </c>
      <c r="L447" s="115" t="n">
        <v>145.51</v>
      </c>
      <c r="M447" s="115" t="n">
        <v>3.0</v>
      </c>
      <c r="N447" s="115"/>
      <c r="O447" s="115"/>
      <c r="P447" s="115"/>
      <c r="Q447" s="115"/>
      <c r="R447" s="115"/>
      <c r="S447" s="115"/>
      <c r="T447" s="115"/>
      <c r="U447" s="115"/>
      <c r="V447" s="115" t="s">
        <v>82</v>
      </c>
      <c r="W447" s="115" t="s">
        <v>83</v>
      </c>
      <c r="X447" s="113">
        <f>IF(INDIRECT("W447")="Clássico","12%",IF(INDIRECT("W447")="Premium","17%","-"))</f>
      </c>
      <c r="Y447" s="113" t="s">
        <v>668</v>
      </c>
    </row>
    <row r="448" ht="50.0" customHeight="true">
      <c r="A448" s="113" t="s">
        <v>1621</v>
      </c>
      <c r="B448" s="113" t="s">
        <v>1622</v>
      </c>
      <c r="C448" s="113" t="s">
        <v>1623</v>
      </c>
      <c r="D448" s="113"/>
      <c r="E448" s="114" t="s">
        <v>1368</v>
      </c>
      <c r="F448" s="113" t="s">
        <v>1624</v>
      </c>
      <c r="G448" s="113" t="s">
        <v>1624</v>
      </c>
      <c r="H448" s="113" t="s">
        <v>103</v>
      </c>
      <c r="I448" s="115" t="n">
        <v>353.04</v>
      </c>
      <c r="J448" s="115" t="s">
        <v>80</v>
      </c>
      <c r="K448" s="115" t="s">
        <v>81</v>
      </c>
      <c r="L448" s="115" t="n">
        <v>348.04</v>
      </c>
      <c r="M448" s="115" t="n">
        <v>3.0</v>
      </c>
      <c r="N448" s="115"/>
      <c r="O448" s="115"/>
      <c r="P448" s="115"/>
      <c r="Q448" s="115"/>
      <c r="R448" s="115"/>
      <c r="S448" s="115"/>
      <c r="T448" s="115"/>
      <c r="U448" s="115"/>
      <c r="V448" s="115" t="s">
        <v>82</v>
      </c>
      <c r="W448" s="115" t="s">
        <v>83</v>
      </c>
      <c r="X448" s="113">
        <f>IF(INDIRECT("W448")="Clássico","12%",IF(INDIRECT("W448")="Premium","17%","-"))</f>
      </c>
      <c r="Y448" s="113" t="s">
        <v>93</v>
      </c>
    </row>
    <row r="449" ht="50.0" customHeight="true">
      <c r="A449" s="113" t="s">
        <v>1625</v>
      </c>
      <c r="B449" s="113" t="s">
        <v>1626</v>
      </c>
      <c r="C449" s="113" t="s">
        <v>1627</v>
      </c>
      <c r="D449" s="113"/>
      <c r="E449" s="114" t="s">
        <v>881</v>
      </c>
      <c r="F449" s="113" t="s">
        <v>1628</v>
      </c>
      <c r="G449" s="113" t="s">
        <v>1628</v>
      </c>
      <c r="H449" s="113" t="s">
        <v>103</v>
      </c>
      <c r="I449" s="115" t="n">
        <v>89.75</v>
      </c>
      <c r="J449" s="115" t="s">
        <v>80</v>
      </c>
      <c r="K449" s="115" t="s">
        <v>81</v>
      </c>
      <c r="L449" s="115" t="n">
        <v>83.48</v>
      </c>
      <c r="M449" s="115" t="n">
        <v>3.0</v>
      </c>
      <c r="N449" s="115"/>
      <c r="O449" s="115"/>
      <c r="P449" s="115"/>
      <c r="Q449" s="115"/>
      <c r="R449" s="115"/>
      <c r="S449" s="115"/>
      <c r="T449" s="115"/>
      <c r="U449" s="115"/>
      <c r="V449" s="115" t="s">
        <v>91</v>
      </c>
      <c r="W449" s="115" t="s">
        <v>92</v>
      </c>
      <c r="X449" s="113">
        <f>IF(INDIRECT("W449")="Clássico","12%",IF(INDIRECT("W449")="Premium","17%","-"))</f>
      </c>
      <c r="Y449" s="113" t="s">
        <v>883</v>
      </c>
    </row>
    <row r="450" ht="50.0" customHeight="true">
      <c r="A450" s="113" t="s">
        <v>1629</v>
      </c>
      <c r="B450" s="113" t="s">
        <v>1630</v>
      </c>
      <c r="C450" s="113" t="s">
        <v>1631</v>
      </c>
      <c r="D450" s="113"/>
      <c r="E450" s="114" t="s">
        <v>249</v>
      </c>
      <c r="F450" s="113" t="s">
        <v>1632</v>
      </c>
      <c r="G450" s="113" t="s">
        <v>1632</v>
      </c>
      <c r="H450" s="113" t="s">
        <v>103</v>
      </c>
      <c r="I450" s="115" t="n">
        <v>168.23</v>
      </c>
      <c r="J450" s="115" t="s">
        <v>80</v>
      </c>
      <c r="K450" s="115" t="s">
        <v>81</v>
      </c>
      <c r="L450" s="115" t="n">
        <v>162.09</v>
      </c>
      <c r="M450" s="115" t="n">
        <v>3.0</v>
      </c>
      <c r="N450" s="115"/>
      <c r="O450" s="115"/>
      <c r="P450" s="115"/>
      <c r="Q450" s="115"/>
      <c r="R450" s="115"/>
      <c r="S450" s="115"/>
      <c r="T450" s="115"/>
      <c r="U450" s="115"/>
      <c r="V450" s="115" t="s">
        <v>82</v>
      </c>
      <c r="W450" s="115" t="s">
        <v>83</v>
      </c>
      <c r="X450" s="113">
        <f>IF(INDIRECT("W450")="Clássico","12%",IF(INDIRECT("W450")="Premium","17%","-"))</f>
      </c>
      <c r="Y450" s="113" t="s">
        <v>251</v>
      </c>
    </row>
    <row r="451" ht="50.0" customHeight="true">
      <c r="A451" s="113" t="s">
        <v>1633</v>
      </c>
      <c r="B451" s="113" t="s">
        <v>1634</v>
      </c>
      <c r="C451" s="113" t="s">
        <v>1635</v>
      </c>
      <c r="D451" s="113"/>
      <c r="E451" s="114" t="s">
        <v>983</v>
      </c>
      <c r="F451" s="113" t="s">
        <v>1636</v>
      </c>
      <c r="G451" s="113" t="s">
        <v>1636</v>
      </c>
      <c r="H451" s="113" t="s">
        <v>103</v>
      </c>
      <c r="I451" s="115" t="n">
        <v>151.77</v>
      </c>
      <c r="J451" s="115" t="s">
        <v>80</v>
      </c>
      <c r="K451" s="115" t="s">
        <v>81</v>
      </c>
      <c r="L451" s="115" t="n">
        <v>91.08</v>
      </c>
      <c r="M451" s="115" t="n">
        <v>3.0</v>
      </c>
      <c r="N451" s="115"/>
      <c r="O451" s="115"/>
      <c r="P451" s="115"/>
      <c r="Q451" s="115"/>
      <c r="R451" s="115"/>
      <c r="S451" s="115"/>
      <c r="T451" s="115"/>
      <c r="U451" s="115"/>
      <c r="V451" s="115" t="s">
        <v>82</v>
      </c>
      <c r="W451" s="115" t="s">
        <v>92</v>
      </c>
      <c r="X451" s="113">
        <f>IF(INDIRECT("W451")="Clássico","11.5%",IF(INDIRECT("W451")="Premium","16.5%","-"))</f>
      </c>
      <c r="Y451" s="113" t="s">
        <v>985</v>
      </c>
    </row>
    <row r="452" ht="50.0" customHeight="true">
      <c r="A452" s="113" t="s">
        <v>1637</v>
      </c>
      <c r="B452" s="113" t="s">
        <v>1638</v>
      </c>
      <c r="C452" s="113" t="s">
        <v>1639</v>
      </c>
      <c r="D452" s="113"/>
      <c r="E452" s="114" t="s">
        <v>1533</v>
      </c>
      <c r="F452" s="113" t="s">
        <v>1640</v>
      </c>
      <c r="G452" s="113" t="s">
        <v>1640</v>
      </c>
      <c r="H452" s="113" t="s">
        <v>103</v>
      </c>
      <c r="I452" s="115" t="n">
        <v>90.51</v>
      </c>
      <c r="J452" s="115" t="s">
        <v>80</v>
      </c>
      <c r="K452" s="115" t="s">
        <v>81</v>
      </c>
      <c r="L452" s="115" t="n">
        <v>61.81</v>
      </c>
      <c r="M452" s="115" t="n">
        <v>3.0</v>
      </c>
      <c r="N452" s="115"/>
      <c r="O452" s="115"/>
      <c r="P452" s="115"/>
      <c r="Q452" s="115"/>
      <c r="R452" s="115"/>
      <c r="S452" s="115"/>
      <c r="T452" s="115"/>
      <c r="U452" s="115"/>
      <c r="V452" s="115" t="s">
        <v>91</v>
      </c>
      <c r="W452" s="115" t="s">
        <v>92</v>
      </c>
      <c r="X452" s="113">
        <f>IF(INDIRECT("W452")="Clássico","12%",IF(INDIRECT("W452")="Premium","17%","-"))</f>
      </c>
      <c r="Y452" s="113" t="s">
        <v>93</v>
      </c>
    </row>
    <row r="453" ht="50.0" customHeight="true">
      <c r="A453" s="113" t="s">
        <v>1641</v>
      </c>
      <c r="B453" s="113" t="s">
        <v>1642</v>
      </c>
      <c r="C453" s="113" t="s">
        <v>1643</v>
      </c>
      <c r="D453" s="113"/>
      <c r="E453" s="114" t="s">
        <v>110</v>
      </c>
      <c r="F453" s="113" t="s">
        <v>1644</v>
      </c>
      <c r="G453" s="113" t="s">
        <v>1644</v>
      </c>
      <c r="H453" s="113" t="s">
        <v>103</v>
      </c>
      <c r="I453" s="115" t="n">
        <v>189.75</v>
      </c>
      <c r="J453" s="115" t="s">
        <v>80</v>
      </c>
      <c r="K453" s="115" t="s">
        <v>81</v>
      </c>
      <c r="L453" s="115" t="n">
        <v>241.9</v>
      </c>
      <c r="M453" s="115" t="n">
        <v>3.0</v>
      </c>
      <c r="N453" s="115"/>
      <c r="O453" s="115"/>
      <c r="P453" s="115"/>
      <c r="Q453" s="115"/>
      <c r="R453" s="115"/>
      <c r="S453" s="115"/>
      <c r="T453" s="115"/>
      <c r="U453" s="115"/>
      <c r="V453" s="115" t="s">
        <v>82</v>
      </c>
      <c r="W453" s="115" t="s">
        <v>92</v>
      </c>
      <c r="X453" s="113">
        <f>IF(INDIRECT("W453")="Clássico","12%",IF(INDIRECT("W453")="Premium","17%","-"))</f>
      </c>
      <c r="Y453" s="113" t="s">
        <v>551</v>
      </c>
    </row>
    <row r="454" ht="50.0" customHeight="true">
      <c r="A454" s="113" t="s">
        <v>22</v>
      </c>
      <c r="B454" s="113" t="s">
        <v>1645</v>
      </c>
      <c r="C454" s="113"/>
      <c r="D454" s="113"/>
      <c r="E454" s="113" t="s">
        <v>22</v>
      </c>
      <c r="F454" s="113" t="s">
        <v>1241</v>
      </c>
      <c r="G454" s="113" t="s">
        <v>103</v>
      </c>
      <c r="H454" s="113" t="s">
        <v>103</v>
      </c>
      <c r="I454" s="115" t="n">
        <v>189.75</v>
      </c>
      <c r="J454" s="115" t="s">
        <v>80</v>
      </c>
      <c r="K454" s="113" t="s">
        <v>81</v>
      </c>
      <c r="L454" s="115" t="n">
        <v>181.08</v>
      </c>
      <c r="M454" s="115" t="n">
        <v>3.0</v>
      </c>
      <c r="N454" s="115"/>
      <c r="O454" s="115"/>
      <c r="P454" s="115"/>
      <c r="Q454" s="115"/>
      <c r="R454" s="115"/>
      <c r="S454" s="115"/>
      <c r="T454" s="115"/>
      <c r="U454" s="115"/>
      <c r="V454" s="115" t="s">
        <v>82</v>
      </c>
      <c r="W454" s="115" t="s">
        <v>92</v>
      </c>
      <c r="X454" s="113">
        <f>IF(INDIRECT("W454")="Clássico","12%",IF(INDIRECT("W454")="Premium","17%","-"))</f>
      </c>
      <c r="Y454" s="113" t="s">
        <v>1646</v>
      </c>
    </row>
    <row r="455" ht="50.0" customHeight="true">
      <c r="A455" s="113" t="s">
        <v>22</v>
      </c>
      <c r="B455" s="113" t="s">
        <v>1645</v>
      </c>
      <c r="C455" s="113" t="s">
        <v>1647</v>
      </c>
      <c r="D455" s="113" t="s">
        <v>1647</v>
      </c>
      <c r="E455" s="114" t="s">
        <v>1243</v>
      </c>
      <c r="F455" s="116">
        <f>"     "&amp;F454</f>
      </c>
      <c r="G455" s="113" t="s">
        <v>1648</v>
      </c>
      <c r="H455" s="113" t="s">
        <v>103</v>
      </c>
      <c r="I455" s="113">
        <f>I454</f>
      </c>
      <c r="J455" s="113">
        <f>J454&amp;"     "</f>
      </c>
      <c r="K455" s="113" t="s">
        <v>81</v>
      </c>
      <c r="L455" s="113">
        <f>L454</f>
      </c>
      <c r="M455" s="113">
        <f>M454</f>
      </c>
      <c r="N455" s="113">
        <f>N454</f>
      </c>
      <c r="O455" s="113">
        <f>O454</f>
      </c>
      <c r="P455" s="113">
        <f>P454</f>
      </c>
      <c r="Q455" s="113">
        <f>Q454</f>
      </c>
      <c r="R455" s="113">
        <f>R454</f>
      </c>
      <c r="S455" s="113">
        <f>S454</f>
      </c>
      <c r="T455" s="113">
        <f>T454</f>
      </c>
      <c r="U455" s="113">
        <f>U454</f>
      </c>
      <c r="V455" s="113">
        <f>V454&amp;"     "</f>
      </c>
      <c r="W455" s="113">
        <f>W454&amp;"     "</f>
      </c>
      <c r="X455" s="113">
        <f>X454</f>
      </c>
      <c r="Y455" s="113" t="s">
        <v>1646</v>
      </c>
    </row>
    <row r="456" ht="50.0" customHeight="true">
      <c r="A456" s="113" t="s">
        <v>22</v>
      </c>
      <c r="B456" s="113" t="s">
        <v>1645</v>
      </c>
      <c r="C456" s="113" t="s">
        <v>1649</v>
      </c>
      <c r="D456" s="113" t="s">
        <v>1649</v>
      </c>
      <c r="E456" s="114" t="s">
        <v>1245</v>
      </c>
      <c r="F456" s="116">
        <f>"     "&amp;F454</f>
      </c>
      <c r="G456" s="113" t="s">
        <v>187</v>
      </c>
      <c r="H456" s="113" t="s">
        <v>103</v>
      </c>
      <c r="I456" s="113">
        <f>I454</f>
      </c>
      <c r="J456" s="113">
        <f>J454&amp;"     "</f>
      </c>
      <c r="K456" s="113" t="s">
        <v>81</v>
      </c>
      <c r="L456" s="113">
        <f>L454</f>
      </c>
      <c r="M456" s="113">
        <f>M454</f>
      </c>
      <c r="N456" s="113">
        <f>N454</f>
      </c>
      <c r="O456" s="113">
        <f>O454</f>
      </c>
      <c r="P456" s="113">
        <f>P454</f>
      </c>
      <c r="Q456" s="113">
        <f>Q454</f>
      </c>
      <c r="R456" s="113">
        <f>R454</f>
      </c>
      <c r="S456" s="113">
        <f>S454</f>
      </c>
      <c r="T456" s="113">
        <f>T454</f>
      </c>
      <c r="U456" s="113">
        <f>U454</f>
      </c>
      <c r="V456" s="113">
        <f>V454&amp;"     "</f>
      </c>
      <c r="W456" s="113">
        <f>W454&amp;"     "</f>
      </c>
      <c r="X456" s="113">
        <f>X454</f>
      </c>
      <c r="Y456" s="113" t="s">
        <v>1646</v>
      </c>
    </row>
    <row r="457" ht="50.0" customHeight="true">
      <c r="A457" s="113" t="s">
        <v>1650</v>
      </c>
      <c r="B457" s="113" t="s">
        <v>1651</v>
      </c>
      <c r="C457" s="113" t="s">
        <v>1652</v>
      </c>
      <c r="D457" s="113"/>
      <c r="E457" s="114" t="s">
        <v>532</v>
      </c>
      <c r="F457" s="113" t="s">
        <v>1653</v>
      </c>
      <c r="G457" s="113" t="s">
        <v>1653</v>
      </c>
      <c r="H457" s="113" t="s">
        <v>103</v>
      </c>
      <c r="I457" s="115" t="n">
        <v>218.86</v>
      </c>
      <c r="J457" s="115" t="s">
        <v>80</v>
      </c>
      <c r="K457" s="115" t="s">
        <v>81</v>
      </c>
      <c r="L457" s="115" t="n">
        <v>213.98</v>
      </c>
      <c r="M457" s="115" t="n">
        <v>3.0</v>
      </c>
      <c r="N457" s="115"/>
      <c r="O457" s="115"/>
      <c r="P457" s="115"/>
      <c r="Q457" s="115"/>
      <c r="R457" s="115"/>
      <c r="S457" s="115"/>
      <c r="T457" s="115"/>
      <c r="U457" s="115"/>
      <c r="V457" s="115" t="s">
        <v>82</v>
      </c>
      <c r="W457" s="115" t="s">
        <v>92</v>
      </c>
      <c r="X457" s="113">
        <f>IF(INDIRECT("W457")="Clássico","13%",IF(INDIRECT("W457")="Premium","18%","-"))</f>
      </c>
      <c r="Y457" s="113" t="s">
        <v>706</v>
      </c>
    </row>
    <row r="458" ht="50.0" customHeight="true">
      <c r="A458" s="113" t="s">
        <v>1654</v>
      </c>
      <c r="B458" s="113" t="s">
        <v>1655</v>
      </c>
      <c r="C458" s="113" t="s">
        <v>1656</v>
      </c>
      <c r="D458" s="113"/>
      <c r="E458" s="114" t="s">
        <v>1657</v>
      </c>
      <c r="F458" s="113" t="s">
        <v>1658</v>
      </c>
      <c r="G458" s="113" t="s">
        <v>1658</v>
      </c>
      <c r="H458" s="113" t="s">
        <v>103</v>
      </c>
      <c r="I458" s="115" t="n">
        <v>161.9</v>
      </c>
      <c r="J458" s="115" t="s">
        <v>80</v>
      </c>
      <c r="K458" s="115" t="s">
        <v>81</v>
      </c>
      <c r="L458" s="115" t="n">
        <v>172.09</v>
      </c>
      <c r="M458" s="115" t="n">
        <v>3.0</v>
      </c>
      <c r="N458" s="115"/>
      <c r="O458" s="115"/>
      <c r="P458" s="115"/>
      <c r="Q458" s="115"/>
      <c r="R458" s="115"/>
      <c r="S458" s="115"/>
      <c r="T458" s="115"/>
      <c r="U458" s="115"/>
      <c r="V458" s="115" t="s">
        <v>82</v>
      </c>
      <c r="W458" s="115" t="s">
        <v>92</v>
      </c>
      <c r="X458" s="113">
        <f>IF(INDIRECT("W458")="Clássico","12%",IF(INDIRECT("W458")="Premium","17%","-"))</f>
      </c>
      <c r="Y458" s="113" t="s">
        <v>1659</v>
      </c>
    </row>
    <row r="459" ht="50.0" customHeight="true">
      <c r="A459" s="113" t="s">
        <v>1660</v>
      </c>
      <c r="B459" s="113" t="s">
        <v>1661</v>
      </c>
      <c r="C459" s="113" t="s">
        <v>1662</v>
      </c>
      <c r="D459" s="113"/>
      <c r="E459" s="114" t="s">
        <v>930</v>
      </c>
      <c r="F459" s="113" t="s">
        <v>1663</v>
      </c>
      <c r="G459" s="113" t="s">
        <v>1663</v>
      </c>
      <c r="H459" s="113" t="s">
        <v>103</v>
      </c>
      <c r="I459" s="115" t="n">
        <v>299.88</v>
      </c>
      <c r="J459" s="115" t="s">
        <v>80</v>
      </c>
      <c r="K459" s="115" t="s">
        <v>81</v>
      </c>
      <c r="L459" s="115" t="n">
        <v>294.88</v>
      </c>
      <c r="M459" s="115" t="n">
        <v>3.0</v>
      </c>
      <c r="N459" s="115"/>
      <c r="O459" s="115"/>
      <c r="P459" s="115"/>
      <c r="Q459" s="115"/>
      <c r="R459" s="115"/>
      <c r="S459" s="115"/>
      <c r="T459" s="115"/>
      <c r="U459" s="115"/>
      <c r="V459" s="115" t="s">
        <v>82</v>
      </c>
      <c r="W459" s="115" t="s">
        <v>83</v>
      </c>
      <c r="X459" s="113">
        <f>IF(INDIRECT("W459")="Clássico","12%",IF(INDIRECT("W459")="Premium","17%","-"))</f>
      </c>
      <c r="Y459" s="113" t="s">
        <v>932</v>
      </c>
    </row>
    <row r="460" ht="50.0" customHeight="true">
      <c r="A460" s="113" t="s">
        <v>222</v>
      </c>
      <c r="B460" s="113" t="s">
        <v>1664</v>
      </c>
      <c r="C460" s="113" t="s">
        <v>1665</v>
      </c>
      <c r="D460" s="113"/>
      <c r="E460" s="114" t="s">
        <v>225</v>
      </c>
      <c r="F460" s="113" t="s">
        <v>226</v>
      </c>
      <c r="G460" s="113" t="s">
        <v>493</v>
      </c>
      <c r="H460" s="113" t="s">
        <v>99</v>
      </c>
      <c r="I460" s="115" t="n">
        <v>337.85</v>
      </c>
      <c r="J460" s="115" t="s">
        <v>80</v>
      </c>
      <c r="K460" s="115" t="s">
        <v>81</v>
      </c>
      <c r="L460" s="115" t="n">
        <v>332.35</v>
      </c>
      <c r="M460" s="115" t="n">
        <v>3.0</v>
      </c>
      <c r="N460" s="115"/>
      <c r="O460" s="115"/>
      <c r="P460" s="115"/>
      <c r="Q460" s="115"/>
      <c r="R460" s="115"/>
      <c r="S460" s="115"/>
      <c r="T460" s="115"/>
      <c r="U460" s="115"/>
      <c r="V460" s="115" t="s">
        <v>82</v>
      </c>
      <c r="W460" s="115" t="s">
        <v>83</v>
      </c>
      <c r="X460" s="113">
        <f>IF(INDIRECT("W460")="Clássico","12%",IF(INDIRECT("W460")="Premium","17%","-"))</f>
      </c>
      <c r="Y460" s="113" t="s">
        <v>229</v>
      </c>
    </row>
    <row r="461" ht="50.0" customHeight="true">
      <c r="A461" s="113" t="s">
        <v>1666</v>
      </c>
      <c r="B461" s="113" t="s">
        <v>1667</v>
      </c>
      <c r="C461" s="113" t="s">
        <v>1668</v>
      </c>
      <c r="D461" s="113"/>
      <c r="E461" s="114" t="s">
        <v>1510</v>
      </c>
      <c r="F461" s="113" t="s">
        <v>1669</v>
      </c>
      <c r="G461" s="113" t="s">
        <v>1512</v>
      </c>
      <c r="H461" s="113" t="s">
        <v>304</v>
      </c>
      <c r="I461" s="115" t="n">
        <v>149.24</v>
      </c>
      <c r="J461" s="115" t="s">
        <v>80</v>
      </c>
      <c r="K461" s="115" t="s">
        <v>81</v>
      </c>
      <c r="L461" s="115" t="n">
        <v>84.75</v>
      </c>
      <c r="M461" s="115" t="n">
        <v>3.0</v>
      </c>
      <c r="N461" s="115"/>
      <c r="O461" s="115"/>
      <c r="P461" s="115"/>
      <c r="Q461" s="115"/>
      <c r="R461" s="115"/>
      <c r="S461" s="115"/>
      <c r="T461" s="115"/>
      <c r="U461" s="115"/>
      <c r="V461" s="115" t="s">
        <v>82</v>
      </c>
      <c r="W461" s="115" t="s">
        <v>92</v>
      </c>
      <c r="X461" s="113">
        <f>IF(INDIRECT("W461")="Clássico","12%",IF(INDIRECT("W461")="Premium","17%","-"))</f>
      </c>
      <c r="Y461" s="113" t="s">
        <v>662</v>
      </c>
    </row>
    <row r="462" ht="50.0" customHeight="true">
      <c r="A462" s="113" t="s">
        <v>1670</v>
      </c>
      <c r="B462" s="113" t="s">
        <v>1671</v>
      </c>
      <c r="C462" s="113" t="s">
        <v>1672</v>
      </c>
      <c r="D462" s="113"/>
      <c r="E462" s="114" t="s">
        <v>480</v>
      </c>
      <c r="F462" s="113" t="s">
        <v>1673</v>
      </c>
      <c r="G462" s="113" t="s">
        <v>1673</v>
      </c>
      <c r="H462" s="113" t="s">
        <v>99</v>
      </c>
      <c r="I462" s="115" t="n">
        <v>166.96</v>
      </c>
      <c r="J462" s="115" t="s">
        <v>80</v>
      </c>
      <c r="K462" s="115" t="s">
        <v>81</v>
      </c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 t="s">
        <v>82</v>
      </c>
      <c r="W462" s="115" t="s">
        <v>83</v>
      </c>
      <c r="X462" s="113">
        <f>IF(INDIRECT("W462")="Clássico","12%",IF(INDIRECT("W462")="Premium","17%","-"))</f>
      </c>
      <c r="Y462" s="113" t="s">
        <v>1674</v>
      </c>
    </row>
    <row r="463" ht="50.0" customHeight="true">
      <c r="A463" s="113" t="s">
        <v>1675</v>
      </c>
      <c r="B463" s="113" t="s">
        <v>1676</v>
      </c>
      <c r="C463" s="113" t="s">
        <v>1677</v>
      </c>
      <c r="D463" s="113"/>
      <c r="E463" s="114" t="s">
        <v>656</v>
      </c>
      <c r="F463" s="113" t="s">
        <v>1678</v>
      </c>
      <c r="G463" s="113" t="s">
        <v>1678</v>
      </c>
      <c r="H463" s="113" t="s">
        <v>304</v>
      </c>
      <c r="I463" s="115" t="n">
        <v>1093.56</v>
      </c>
      <c r="J463" s="115" t="s">
        <v>80</v>
      </c>
      <c r="K463" s="115" t="s">
        <v>81</v>
      </c>
      <c r="L463" s="115" t="n">
        <v>920.2</v>
      </c>
      <c r="M463" s="115" t="n">
        <v>3.0</v>
      </c>
      <c r="N463" s="115"/>
      <c r="O463" s="115"/>
      <c r="P463" s="115"/>
      <c r="Q463" s="115"/>
      <c r="R463" s="115"/>
      <c r="S463" s="115"/>
      <c r="T463" s="115"/>
      <c r="U463" s="115"/>
      <c r="V463" s="115" t="s">
        <v>82</v>
      </c>
      <c r="W463" s="115" t="s">
        <v>92</v>
      </c>
      <c r="X463" s="113">
        <f>IF(INDIRECT("W463")="Clássico","12%",IF(INDIRECT("W463")="Premium","17%","-"))</f>
      </c>
      <c r="Y463" s="113" t="s">
        <v>164</v>
      </c>
    </row>
    <row r="464" ht="50.0" customHeight="true">
      <c r="A464" s="113" t="s">
        <v>1679</v>
      </c>
      <c r="B464" s="113" t="s">
        <v>1680</v>
      </c>
      <c r="C464" s="113" t="s">
        <v>1681</v>
      </c>
      <c r="D464" s="113"/>
      <c r="E464" s="114" t="s">
        <v>1442</v>
      </c>
      <c r="F464" s="113" t="s">
        <v>1682</v>
      </c>
      <c r="G464" s="113" t="s">
        <v>1682</v>
      </c>
      <c r="H464" s="113" t="s">
        <v>103</v>
      </c>
      <c r="I464" s="115" t="n">
        <v>679.63</v>
      </c>
      <c r="J464" s="115" t="s">
        <v>80</v>
      </c>
      <c r="K464" s="115" t="s">
        <v>81</v>
      </c>
      <c r="L464" s="115" t="n">
        <v>908.8</v>
      </c>
      <c r="M464" s="115" t="n">
        <v>3.0</v>
      </c>
      <c r="N464" s="115"/>
      <c r="O464" s="115"/>
      <c r="P464" s="115"/>
      <c r="Q464" s="115"/>
      <c r="R464" s="115"/>
      <c r="S464" s="115"/>
      <c r="T464" s="115"/>
      <c r="U464" s="115"/>
      <c r="V464" s="115" t="s">
        <v>82</v>
      </c>
      <c r="W464" s="115" t="s">
        <v>92</v>
      </c>
      <c r="X464" s="113">
        <f>IF(INDIRECT("W464")="Clássico","12%",IF(INDIRECT("W464")="Premium","17%","-"))</f>
      </c>
      <c r="Y464" s="113" t="s">
        <v>1444</v>
      </c>
    </row>
    <row r="465" ht="50.0" customHeight="true">
      <c r="A465" s="113" t="s">
        <v>22</v>
      </c>
      <c r="B465" s="113" t="s">
        <v>1683</v>
      </c>
      <c r="C465" s="113"/>
      <c r="D465" s="113"/>
      <c r="E465" s="114" t="s">
        <v>1002</v>
      </c>
      <c r="F465" s="113" t="s">
        <v>1684</v>
      </c>
      <c r="G465" s="113" t="s">
        <v>103</v>
      </c>
      <c r="H465" s="113" t="s">
        <v>103</v>
      </c>
      <c r="I465" s="115" t="n">
        <v>92.28</v>
      </c>
      <c r="J465" s="115" t="s">
        <v>80</v>
      </c>
      <c r="K465" s="115" t="s">
        <v>81</v>
      </c>
      <c r="L465" s="115" t="n">
        <v>74.62</v>
      </c>
      <c r="M465" s="115" t="n">
        <v>3.0</v>
      </c>
      <c r="N465" s="115"/>
      <c r="O465" s="115"/>
      <c r="P465" s="115"/>
      <c r="Q465" s="115"/>
      <c r="R465" s="115"/>
      <c r="S465" s="115"/>
      <c r="T465" s="115"/>
      <c r="U465" s="115"/>
      <c r="V465" s="115" t="s">
        <v>91</v>
      </c>
      <c r="W465" s="115" t="s">
        <v>92</v>
      </c>
      <c r="X465" s="113">
        <f>IF(INDIRECT("W465")="Clássico","13%",IF(INDIRECT("W465")="Premium","18%","-"))</f>
      </c>
      <c r="Y465" s="113" t="s">
        <v>1685</v>
      </c>
    </row>
    <row r="466" ht="50.0" customHeight="true">
      <c r="A466" s="113" t="s">
        <v>1686</v>
      </c>
      <c r="B466" s="113" t="s">
        <v>1687</v>
      </c>
      <c r="C466" s="113" t="s">
        <v>1688</v>
      </c>
      <c r="D466" s="113"/>
      <c r="E466" s="114" t="s">
        <v>341</v>
      </c>
      <c r="F466" s="113" t="s">
        <v>1689</v>
      </c>
      <c r="G466" s="113" t="s">
        <v>1689</v>
      </c>
      <c r="H466" s="113" t="s">
        <v>103</v>
      </c>
      <c r="I466" s="115" t="n">
        <v>97.34</v>
      </c>
      <c r="J466" s="115" t="s">
        <v>80</v>
      </c>
      <c r="K466" s="115" t="s">
        <v>81</v>
      </c>
      <c r="L466" s="115" t="n">
        <v>54.37</v>
      </c>
      <c r="M466" s="115" t="n">
        <v>3.0</v>
      </c>
      <c r="N466" s="115"/>
      <c r="O466" s="115"/>
      <c r="P466" s="115"/>
      <c r="Q466" s="115"/>
      <c r="R466" s="115"/>
      <c r="S466" s="115"/>
      <c r="T466" s="115"/>
      <c r="U466" s="115"/>
      <c r="V466" s="115" t="s">
        <v>91</v>
      </c>
      <c r="W466" s="115" t="s">
        <v>83</v>
      </c>
      <c r="X466" s="113">
        <f>IF(INDIRECT("W466")="Clássico","12%",IF(INDIRECT("W466")="Premium","17%","-"))</f>
      </c>
      <c r="Y466" s="113" t="s">
        <v>1063</v>
      </c>
    </row>
    <row r="467" ht="50.0" customHeight="true">
      <c r="A467" s="113" t="s">
        <v>1454</v>
      </c>
      <c r="B467" s="113" t="s">
        <v>1690</v>
      </c>
      <c r="C467" s="113" t="s">
        <v>1691</v>
      </c>
      <c r="D467" s="113"/>
      <c r="E467" s="114" t="s">
        <v>1457</v>
      </c>
      <c r="F467" s="113" t="s">
        <v>1458</v>
      </c>
      <c r="G467" s="113" t="s">
        <v>1458</v>
      </c>
      <c r="H467" s="113" t="s">
        <v>103</v>
      </c>
      <c r="I467" s="115" t="n">
        <v>291.02</v>
      </c>
      <c r="J467" s="115" t="s">
        <v>80</v>
      </c>
      <c r="K467" s="115" t="s">
        <v>81</v>
      </c>
      <c r="L467" s="115" t="n">
        <v>267.03</v>
      </c>
      <c r="M467" s="115" t="n">
        <v>3.0</v>
      </c>
      <c r="N467" s="115"/>
      <c r="O467" s="115"/>
      <c r="P467" s="115"/>
      <c r="Q467" s="115"/>
      <c r="R467" s="115"/>
      <c r="S467" s="115"/>
      <c r="T467" s="115"/>
      <c r="U467" s="115"/>
      <c r="V467" s="115" t="s">
        <v>82</v>
      </c>
      <c r="W467" s="115" t="s">
        <v>83</v>
      </c>
      <c r="X467" s="113">
        <f>IF(INDIRECT("W467")="Clássico","12%",IF(INDIRECT("W467")="Premium","17%","-"))</f>
      </c>
      <c r="Y467" s="113" t="s">
        <v>1048</v>
      </c>
    </row>
    <row r="468" ht="50.0" customHeight="true">
      <c r="A468" s="113" t="s">
        <v>1222</v>
      </c>
      <c r="B468" s="113" t="s">
        <v>1692</v>
      </c>
      <c r="C468" s="113" t="s">
        <v>1693</v>
      </c>
      <c r="D468" s="113"/>
      <c r="E468" s="114" t="s">
        <v>636</v>
      </c>
      <c r="F468" s="113" t="s">
        <v>1225</v>
      </c>
      <c r="G468" s="113" t="s">
        <v>1225</v>
      </c>
      <c r="H468" s="113" t="s">
        <v>103</v>
      </c>
      <c r="I468" s="115" t="n">
        <v>183.42</v>
      </c>
      <c r="J468" s="115" t="s">
        <v>80</v>
      </c>
      <c r="K468" s="115" t="s">
        <v>81</v>
      </c>
      <c r="L468" s="115" t="n">
        <v>230.32</v>
      </c>
      <c r="M468" s="115" t="n">
        <v>3.0</v>
      </c>
      <c r="N468" s="115"/>
      <c r="O468" s="115"/>
      <c r="P468" s="115"/>
      <c r="Q468" s="115"/>
      <c r="R468" s="115"/>
      <c r="S468" s="115"/>
      <c r="T468" s="115"/>
      <c r="U468" s="115"/>
      <c r="V468" s="115" t="s">
        <v>82</v>
      </c>
      <c r="W468" s="115" t="s">
        <v>83</v>
      </c>
      <c r="X468" s="113">
        <f>IF(INDIRECT("W468")="Clássico","12%",IF(INDIRECT("W468")="Premium","17%","-"))</f>
      </c>
      <c r="Y468" s="113" t="s">
        <v>482</v>
      </c>
    </row>
    <row r="469" ht="50.0" customHeight="true">
      <c r="A469" s="113" t="s">
        <v>1694</v>
      </c>
      <c r="B469" s="113" t="s">
        <v>1695</v>
      </c>
      <c r="C469" s="113" t="s">
        <v>1696</v>
      </c>
      <c r="D469" s="113"/>
      <c r="E469" s="114" t="s">
        <v>155</v>
      </c>
      <c r="F469" s="113" t="s">
        <v>1343</v>
      </c>
      <c r="G469" s="113" t="s">
        <v>1343</v>
      </c>
      <c r="H469" s="113" t="s">
        <v>157</v>
      </c>
      <c r="I469" s="115" t="n">
        <v>170.9</v>
      </c>
      <c r="J469" s="115" t="s">
        <v>80</v>
      </c>
      <c r="K469" s="115" t="s">
        <v>81</v>
      </c>
      <c r="L469" s="115" t="n">
        <v>294.37</v>
      </c>
      <c r="M469" s="115" t="n">
        <v>3.0</v>
      </c>
      <c r="N469" s="115"/>
      <c r="O469" s="115"/>
      <c r="P469" s="115"/>
      <c r="Q469" s="115"/>
      <c r="R469" s="115"/>
      <c r="S469" s="115"/>
      <c r="T469" s="115"/>
      <c r="U469" s="115"/>
      <c r="V469" s="115" t="s">
        <v>82</v>
      </c>
      <c r="W469" s="115" t="s">
        <v>83</v>
      </c>
      <c r="X469" s="113">
        <f>IF(INDIRECT("W469")="Clássico","10%",IF(INDIRECT("W469")="Premium","15%","-"))</f>
      </c>
      <c r="Y469" s="113" t="s">
        <v>1697</v>
      </c>
    </row>
    <row r="470" ht="50.0" customHeight="true">
      <c r="A470" s="113" t="s">
        <v>1698</v>
      </c>
      <c r="B470" s="113" t="s">
        <v>1699</v>
      </c>
      <c r="C470" s="113" t="s">
        <v>1700</v>
      </c>
      <c r="D470" s="113"/>
      <c r="E470" s="114" t="s">
        <v>1701</v>
      </c>
      <c r="F470" s="113" t="s">
        <v>1702</v>
      </c>
      <c r="G470" s="113" t="s">
        <v>1702</v>
      </c>
      <c r="H470" s="113" t="s">
        <v>103</v>
      </c>
      <c r="I470" s="115" t="n">
        <v>553.04</v>
      </c>
      <c r="J470" s="115" t="s">
        <v>80</v>
      </c>
      <c r="K470" s="115" t="s">
        <v>81</v>
      </c>
      <c r="L470" s="115" t="n">
        <v>548.04</v>
      </c>
      <c r="M470" s="115" t="n">
        <v>3.0</v>
      </c>
      <c r="N470" s="115"/>
      <c r="O470" s="115"/>
      <c r="P470" s="115"/>
      <c r="Q470" s="115"/>
      <c r="R470" s="115"/>
      <c r="S470" s="115"/>
      <c r="T470" s="115"/>
      <c r="U470" s="115"/>
      <c r="V470" s="115" t="s">
        <v>82</v>
      </c>
      <c r="W470" s="115" t="s">
        <v>83</v>
      </c>
      <c r="X470" s="113">
        <f>IF(INDIRECT("W470")="Clássico","12%",IF(INDIRECT("W470")="Premium","17%","-"))</f>
      </c>
      <c r="Y470" s="113" t="s">
        <v>1473</v>
      </c>
    </row>
    <row r="471" ht="50.0" customHeight="true">
      <c r="A471" s="113" t="s">
        <v>1703</v>
      </c>
      <c r="B471" s="113" t="s">
        <v>1704</v>
      </c>
      <c r="C471" s="113" t="s">
        <v>1705</v>
      </c>
      <c r="D471" s="113"/>
      <c r="E471" s="114" t="s">
        <v>1706</v>
      </c>
      <c r="F471" s="113" t="s">
        <v>1707</v>
      </c>
      <c r="G471" s="113" t="s">
        <v>1707</v>
      </c>
      <c r="H471" s="113" t="s">
        <v>103</v>
      </c>
      <c r="I471" s="115" t="n">
        <v>242.41</v>
      </c>
      <c r="J471" s="115" t="s">
        <v>80</v>
      </c>
      <c r="K471" s="115" t="s">
        <v>81</v>
      </c>
      <c r="L471" s="115" t="n">
        <v>242.98</v>
      </c>
      <c r="M471" s="115" t="n">
        <v>3.0</v>
      </c>
      <c r="N471" s="115"/>
      <c r="O471" s="115"/>
      <c r="P471" s="115"/>
      <c r="Q471" s="115"/>
      <c r="R471" s="115"/>
      <c r="S471" s="115"/>
      <c r="T471" s="115"/>
      <c r="U471" s="115"/>
      <c r="V471" s="115" t="s">
        <v>82</v>
      </c>
      <c r="W471" s="115" t="s">
        <v>92</v>
      </c>
      <c r="X471" s="113">
        <f>IF(INDIRECT("W471")="Clássico","12%",IF(INDIRECT("W471")="Premium","17%","-"))</f>
      </c>
      <c r="Y471" s="113" t="s">
        <v>1293</v>
      </c>
    </row>
    <row r="472" ht="50.0" customHeight="true">
      <c r="A472" s="113" t="s">
        <v>1708</v>
      </c>
      <c r="B472" s="113" t="s">
        <v>1709</v>
      </c>
      <c r="C472" s="113" t="s">
        <v>1710</v>
      </c>
      <c r="D472" s="113"/>
      <c r="E472" s="114" t="s">
        <v>1711</v>
      </c>
      <c r="F472" s="113" t="s">
        <v>1712</v>
      </c>
      <c r="G472" s="113" t="s">
        <v>1712</v>
      </c>
      <c r="H472" s="113" t="s">
        <v>103</v>
      </c>
      <c r="I472" s="115" t="n">
        <v>199.88</v>
      </c>
      <c r="J472" s="115" t="s">
        <v>80</v>
      </c>
      <c r="K472" s="115" t="s">
        <v>81</v>
      </c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 t="s">
        <v>82</v>
      </c>
      <c r="W472" s="115" t="s">
        <v>92</v>
      </c>
      <c r="X472" s="113">
        <f>IF(INDIRECT("W472")="Clássico","12%",IF(INDIRECT("W472")="Premium","17%","-"))</f>
      </c>
      <c r="Y472" s="113" t="s">
        <v>221</v>
      </c>
    </row>
    <row r="473" ht="50.0" customHeight="true">
      <c r="A473" s="113" t="s">
        <v>1713</v>
      </c>
      <c r="B473" s="113" t="s">
        <v>1714</v>
      </c>
      <c r="C473" s="113" t="s">
        <v>1715</v>
      </c>
      <c r="D473" s="113"/>
      <c r="E473" s="114" t="s">
        <v>1716</v>
      </c>
      <c r="F473" s="113" t="s">
        <v>1717</v>
      </c>
      <c r="G473" s="113" t="s">
        <v>127</v>
      </c>
      <c r="H473" s="113" t="s">
        <v>103</v>
      </c>
      <c r="I473" s="115" t="n">
        <v>529.96</v>
      </c>
      <c r="J473" s="115" t="s">
        <v>80</v>
      </c>
      <c r="K473" s="115" t="s">
        <v>81</v>
      </c>
      <c r="L473" s="115" t="n">
        <v>524.96</v>
      </c>
      <c r="M473" s="115" t="n">
        <v>3.0</v>
      </c>
      <c r="N473" s="115"/>
      <c r="O473" s="115"/>
      <c r="P473" s="115"/>
      <c r="Q473" s="115"/>
      <c r="R473" s="115"/>
      <c r="S473" s="115"/>
      <c r="T473" s="115"/>
      <c r="U473" s="115"/>
      <c r="V473" s="115" t="s">
        <v>82</v>
      </c>
      <c r="W473" s="115" t="s">
        <v>83</v>
      </c>
      <c r="X473" s="113">
        <f>IF(INDIRECT("W473")="Clássico","12%",IF(INDIRECT("W473")="Premium","17%","-"))</f>
      </c>
      <c r="Y473" s="113" t="s">
        <v>1718</v>
      </c>
    </row>
    <row r="474" ht="50.0" customHeight="true">
      <c r="A474" s="113" t="s">
        <v>1719</v>
      </c>
      <c r="B474" s="113" t="s">
        <v>1720</v>
      </c>
      <c r="C474" s="113" t="s">
        <v>1721</v>
      </c>
      <c r="D474" s="113"/>
      <c r="E474" s="114" t="s">
        <v>1722</v>
      </c>
      <c r="F474" s="113" t="s">
        <v>1723</v>
      </c>
      <c r="G474" s="113" t="s">
        <v>493</v>
      </c>
      <c r="H474" s="113" t="s">
        <v>103</v>
      </c>
      <c r="I474" s="115" t="n">
        <v>137.47</v>
      </c>
      <c r="J474" s="115" t="s">
        <v>80</v>
      </c>
      <c r="K474" s="115" t="s">
        <v>81</v>
      </c>
      <c r="L474" s="115" t="n">
        <v>137.91</v>
      </c>
      <c r="M474" s="115" t="n">
        <v>3.0</v>
      </c>
      <c r="N474" s="115"/>
      <c r="O474" s="115"/>
      <c r="P474" s="115"/>
      <c r="Q474" s="115"/>
      <c r="R474" s="115"/>
      <c r="S474" s="115"/>
      <c r="T474" s="115"/>
      <c r="U474" s="115"/>
      <c r="V474" s="115" t="s">
        <v>82</v>
      </c>
      <c r="W474" s="115" t="s">
        <v>92</v>
      </c>
      <c r="X474" s="113">
        <f>IF(INDIRECT("W474")="Clássico","12%",IF(INDIRECT("W474")="Premium","17%","-"))</f>
      </c>
      <c r="Y474" s="113" t="s">
        <v>643</v>
      </c>
    </row>
    <row r="475" ht="50.0" customHeight="true">
      <c r="A475" s="113" t="s">
        <v>1724</v>
      </c>
      <c r="B475" s="113" t="s">
        <v>1725</v>
      </c>
      <c r="C475" s="113" t="s">
        <v>1726</v>
      </c>
      <c r="D475" s="113"/>
      <c r="E475" s="114" t="s">
        <v>744</v>
      </c>
      <c r="F475" s="113" t="s">
        <v>1727</v>
      </c>
      <c r="G475" s="113" t="s">
        <v>1727</v>
      </c>
      <c r="H475" s="113" t="s">
        <v>103</v>
      </c>
      <c r="I475" s="115" t="n">
        <v>50.0</v>
      </c>
      <c r="J475" s="115" t="s">
        <v>80</v>
      </c>
      <c r="K475" s="115" t="s">
        <v>81</v>
      </c>
      <c r="L475" s="115" t="n">
        <v>45.0</v>
      </c>
      <c r="M475" s="115" t="n">
        <v>3.0</v>
      </c>
      <c r="N475" s="115"/>
      <c r="O475" s="115"/>
      <c r="P475" s="115"/>
      <c r="Q475" s="115"/>
      <c r="R475" s="115"/>
      <c r="S475" s="115"/>
      <c r="T475" s="115"/>
      <c r="U475" s="115"/>
      <c r="V475" s="115" t="s">
        <v>91</v>
      </c>
      <c r="W475" s="115" t="s">
        <v>92</v>
      </c>
      <c r="X475" s="113">
        <f>IF(INDIRECT("W475")="Clássico","12%",IF(INDIRECT("W475")="Premium","17%","-"))</f>
      </c>
      <c r="Y475" s="113" t="s">
        <v>397</v>
      </c>
    </row>
    <row r="476" ht="50.0" customHeight="true">
      <c r="A476" s="113" t="s">
        <v>1728</v>
      </c>
      <c r="B476" s="113" t="s">
        <v>1729</v>
      </c>
      <c r="C476" s="113" t="s">
        <v>1730</v>
      </c>
      <c r="D476" s="113"/>
      <c r="E476" s="114" t="s">
        <v>1193</v>
      </c>
      <c r="F476" s="113" t="s">
        <v>1731</v>
      </c>
      <c r="G476" s="113" t="s">
        <v>1731</v>
      </c>
      <c r="H476" s="113" t="s">
        <v>103</v>
      </c>
      <c r="I476" s="115" t="n">
        <v>288.48</v>
      </c>
      <c r="J476" s="115" t="s">
        <v>80</v>
      </c>
      <c r="K476" s="115" t="s">
        <v>81</v>
      </c>
      <c r="L476" s="115" t="n">
        <v>287.28</v>
      </c>
      <c r="M476" s="115" t="n">
        <v>3.0</v>
      </c>
      <c r="N476" s="115"/>
      <c r="O476" s="115"/>
      <c r="P476" s="115"/>
      <c r="Q476" s="115"/>
      <c r="R476" s="115"/>
      <c r="S476" s="115"/>
      <c r="T476" s="115"/>
      <c r="U476" s="115"/>
      <c r="V476" s="115" t="s">
        <v>82</v>
      </c>
      <c r="W476" s="115" t="s">
        <v>92</v>
      </c>
      <c r="X476" s="113">
        <f>IF(INDIRECT("W476")="Clássico","12%",IF(INDIRECT("W476")="Premium","17%","-"))</f>
      </c>
      <c r="Y476" s="113" t="s">
        <v>512</v>
      </c>
    </row>
    <row r="477" ht="50.0" customHeight="true">
      <c r="A477" s="113" t="s">
        <v>1732</v>
      </c>
      <c r="B477" s="113" t="s">
        <v>1733</v>
      </c>
      <c r="C477" s="113" t="s">
        <v>1734</v>
      </c>
      <c r="D477" s="113"/>
      <c r="E477" s="114" t="s">
        <v>744</v>
      </c>
      <c r="F477" s="113" t="s">
        <v>1735</v>
      </c>
      <c r="G477" s="113" t="s">
        <v>1735</v>
      </c>
      <c r="H477" s="113" t="s">
        <v>103</v>
      </c>
      <c r="I477" s="115" t="n">
        <v>43.67</v>
      </c>
      <c r="J477" s="115" t="s">
        <v>80</v>
      </c>
      <c r="K477" s="115" t="s">
        <v>81</v>
      </c>
      <c r="L477" s="115" t="n">
        <v>46.77</v>
      </c>
      <c r="M477" s="115" t="n">
        <v>3.0</v>
      </c>
      <c r="N477" s="115"/>
      <c r="O477" s="115"/>
      <c r="P477" s="115"/>
      <c r="Q477" s="115"/>
      <c r="R477" s="115"/>
      <c r="S477" s="115"/>
      <c r="T477" s="115"/>
      <c r="U477" s="115"/>
      <c r="V477" s="115" t="s">
        <v>91</v>
      </c>
      <c r="W477" s="115" t="s">
        <v>92</v>
      </c>
      <c r="X477" s="113">
        <f>IF(INDIRECT("W477")="Clássico","12%",IF(INDIRECT("W477")="Premium","17%","-"))</f>
      </c>
      <c r="Y477" s="113" t="s">
        <v>397</v>
      </c>
    </row>
    <row r="478" ht="50.0" customHeight="true">
      <c r="A478" s="113" t="s">
        <v>1736</v>
      </c>
      <c r="B478" s="113" t="s">
        <v>1737</v>
      </c>
      <c r="C478" s="113" t="s">
        <v>1738</v>
      </c>
      <c r="D478" s="113"/>
      <c r="E478" s="114" t="s">
        <v>1739</v>
      </c>
      <c r="F478" s="113" t="s">
        <v>1740</v>
      </c>
      <c r="G478" s="113" t="s">
        <v>1740</v>
      </c>
      <c r="H478" s="113" t="s">
        <v>103</v>
      </c>
      <c r="I478" s="115" t="n">
        <v>173.29</v>
      </c>
      <c r="J478" s="115" t="s">
        <v>80</v>
      </c>
      <c r="K478" s="115" t="s">
        <v>81</v>
      </c>
      <c r="L478" s="115" t="n">
        <v>168.29</v>
      </c>
      <c r="M478" s="115" t="n">
        <v>3.0</v>
      </c>
      <c r="N478" s="115"/>
      <c r="O478" s="115"/>
      <c r="P478" s="115"/>
      <c r="Q478" s="115"/>
      <c r="R478" s="115"/>
      <c r="S478" s="115"/>
      <c r="T478" s="115"/>
      <c r="U478" s="115"/>
      <c r="V478" s="115" t="s">
        <v>82</v>
      </c>
      <c r="W478" s="115" t="s">
        <v>92</v>
      </c>
      <c r="X478" s="113">
        <f>IF(INDIRECT("W478")="Clássico","12%",IF(INDIRECT("W478")="Premium","17%","-"))</f>
      </c>
      <c r="Y478" s="113" t="s">
        <v>1741</v>
      </c>
    </row>
    <row r="479" ht="50.0" customHeight="true">
      <c r="A479" s="113" t="s">
        <v>1742</v>
      </c>
      <c r="B479" s="113" t="s">
        <v>1743</v>
      </c>
      <c r="C479" s="113" t="s">
        <v>1744</v>
      </c>
      <c r="D479" s="113"/>
      <c r="E479" s="114" t="s">
        <v>1338</v>
      </c>
      <c r="F479" s="113" t="s">
        <v>1745</v>
      </c>
      <c r="G479" s="113" t="s">
        <v>1745</v>
      </c>
      <c r="H479" s="113" t="s">
        <v>103</v>
      </c>
      <c r="I479" s="115" t="n">
        <v>150.51</v>
      </c>
      <c r="J479" s="115" t="s">
        <v>80</v>
      </c>
      <c r="K479" s="115" t="s">
        <v>81</v>
      </c>
      <c r="L479" s="115" t="n">
        <v>203.85</v>
      </c>
      <c r="M479" s="115" t="n">
        <v>3.0</v>
      </c>
      <c r="N479" s="115"/>
      <c r="O479" s="115"/>
      <c r="P479" s="115"/>
      <c r="Q479" s="115"/>
      <c r="R479" s="115"/>
      <c r="S479" s="115"/>
      <c r="T479" s="115"/>
      <c r="U479" s="115"/>
      <c r="V479" s="115" t="s">
        <v>82</v>
      </c>
      <c r="W479" s="115" t="s">
        <v>83</v>
      </c>
      <c r="X479" s="113">
        <f>IF(INDIRECT("W479")="Clássico","12%",IF(INDIRECT("W479")="Premium","17%","-"))</f>
      </c>
      <c r="Y479" s="113" t="s">
        <v>883</v>
      </c>
    </row>
    <row r="480" ht="50.0" customHeight="true">
      <c r="A480" s="113" t="s">
        <v>1746</v>
      </c>
      <c r="B480" s="113" t="s">
        <v>1747</v>
      </c>
      <c r="C480" s="113" t="s">
        <v>1748</v>
      </c>
      <c r="D480" s="113"/>
      <c r="E480" s="114" t="s">
        <v>1749</v>
      </c>
      <c r="F480" s="113" t="s">
        <v>1750</v>
      </c>
      <c r="G480" s="113" t="s">
        <v>1750</v>
      </c>
      <c r="H480" s="113" t="s">
        <v>132</v>
      </c>
      <c r="I480" s="115" t="n">
        <v>72.36</v>
      </c>
      <c r="J480" s="115" t="s">
        <v>80</v>
      </c>
      <c r="K480" s="115" t="s">
        <v>81</v>
      </c>
      <c r="L480" s="115" t="n">
        <v>67.36</v>
      </c>
      <c r="M480" s="115" t="n">
        <v>3.0</v>
      </c>
      <c r="N480" s="115"/>
      <c r="O480" s="115"/>
      <c r="P480" s="115"/>
      <c r="Q480" s="115"/>
      <c r="R480" s="115"/>
      <c r="S480" s="115"/>
      <c r="T480" s="115"/>
      <c r="U480" s="115"/>
      <c r="V480" s="115" t="s">
        <v>91</v>
      </c>
      <c r="W480" s="115" t="s">
        <v>83</v>
      </c>
      <c r="X480" s="113">
        <f>IF(INDIRECT("W480")="Clássico","12%",IF(INDIRECT("W480")="Premium","17%","-"))</f>
      </c>
      <c r="Y480" s="113" t="s">
        <v>1751</v>
      </c>
    </row>
    <row r="481" ht="50.0" customHeight="true">
      <c r="A481" s="113" t="s">
        <v>1752</v>
      </c>
      <c r="B481" s="113" t="s">
        <v>1753</v>
      </c>
      <c r="C481" s="113" t="s">
        <v>1754</v>
      </c>
      <c r="D481" s="113"/>
      <c r="E481" s="114" t="s">
        <v>1193</v>
      </c>
      <c r="F481" s="113" t="s">
        <v>1755</v>
      </c>
      <c r="G481" s="113" t="s">
        <v>1755</v>
      </c>
      <c r="H481" s="113" t="s">
        <v>103</v>
      </c>
      <c r="I481" s="115" t="n">
        <v>307.47</v>
      </c>
      <c r="J481" s="115" t="s">
        <v>80</v>
      </c>
      <c r="K481" s="115" t="s">
        <v>81</v>
      </c>
      <c r="L481" s="115" t="n">
        <v>274.62</v>
      </c>
      <c r="M481" s="115" t="n">
        <v>3.0</v>
      </c>
      <c r="N481" s="115"/>
      <c r="O481" s="115"/>
      <c r="P481" s="115"/>
      <c r="Q481" s="115"/>
      <c r="R481" s="115"/>
      <c r="S481" s="115"/>
      <c r="T481" s="115"/>
      <c r="U481" s="115"/>
      <c r="V481" s="115" t="s">
        <v>82</v>
      </c>
      <c r="W481" s="115" t="s">
        <v>83</v>
      </c>
      <c r="X481" s="113">
        <f>IF(INDIRECT("W481")="Clássico","12%",IF(INDIRECT("W481")="Premium","17%","-"))</f>
      </c>
      <c r="Y481" s="113" t="s">
        <v>512</v>
      </c>
    </row>
    <row r="482" ht="50.0" customHeight="true">
      <c r="A482" s="113" t="s">
        <v>22</v>
      </c>
      <c r="B482" s="113" t="s">
        <v>1756</v>
      </c>
      <c r="C482" s="113"/>
      <c r="D482" s="113"/>
      <c r="E482" s="113" t="s">
        <v>22</v>
      </c>
      <c r="F482" s="113" t="s">
        <v>1757</v>
      </c>
      <c r="G482" s="113" t="s">
        <v>103</v>
      </c>
      <c r="H482" s="113" t="s">
        <v>103</v>
      </c>
      <c r="I482" s="115" t="n">
        <v>260.64</v>
      </c>
      <c r="J482" s="115" t="s">
        <v>80</v>
      </c>
      <c r="K482" s="113" t="s">
        <v>81</v>
      </c>
      <c r="L482" s="115" t="n">
        <v>215.9</v>
      </c>
      <c r="M482" s="115" t="n">
        <v>3.0</v>
      </c>
      <c r="N482" s="115"/>
      <c r="O482" s="115"/>
      <c r="P482" s="115"/>
      <c r="Q482" s="115"/>
      <c r="R482" s="115"/>
      <c r="S482" s="115"/>
      <c r="T482" s="115"/>
      <c r="U482" s="115"/>
      <c r="V482" s="115" t="s">
        <v>82</v>
      </c>
      <c r="W482" s="115" t="s">
        <v>83</v>
      </c>
      <c r="X482" s="113">
        <f>IF(INDIRECT("W482")="Clássico","12%",IF(INDIRECT("W482")="Premium","17%","-"))</f>
      </c>
      <c r="Y482" s="113" t="s">
        <v>181</v>
      </c>
    </row>
    <row r="483" ht="50.0" customHeight="true">
      <c r="A483" s="113" t="s">
        <v>22</v>
      </c>
      <c r="B483" s="113" t="s">
        <v>1756</v>
      </c>
      <c r="C483" s="113" t="s">
        <v>1758</v>
      </c>
      <c r="D483" s="113" t="s">
        <v>1758</v>
      </c>
      <c r="E483" s="114" t="s">
        <v>186</v>
      </c>
      <c r="F483" s="116">
        <f>"     "&amp;F482</f>
      </c>
      <c r="G483" s="113" t="s">
        <v>187</v>
      </c>
      <c r="H483" s="113" t="s">
        <v>103</v>
      </c>
      <c r="I483" s="113">
        <f>I482</f>
      </c>
      <c r="J483" s="113">
        <f>J482&amp;"     "</f>
      </c>
      <c r="K483" s="113" t="s">
        <v>81</v>
      </c>
      <c r="L483" s="113">
        <f>L482</f>
      </c>
      <c r="M483" s="113">
        <f>M482</f>
      </c>
      <c r="N483" s="113">
        <f>N482</f>
      </c>
      <c r="O483" s="113">
        <f>O482</f>
      </c>
      <c r="P483" s="113">
        <f>P482</f>
      </c>
      <c r="Q483" s="113">
        <f>Q482</f>
      </c>
      <c r="R483" s="113">
        <f>R482</f>
      </c>
      <c r="S483" s="113">
        <f>S482</f>
      </c>
      <c r="T483" s="113">
        <f>T482</f>
      </c>
      <c r="U483" s="113">
        <f>U482</f>
      </c>
      <c r="V483" s="113">
        <f>V482&amp;"     "</f>
      </c>
      <c r="W483" s="113">
        <f>W482&amp;"     "</f>
      </c>
      <c r="X483" s="113">
        <f>X482</f>
      </c>
      <c r="Y483" s="113" t="s">
        <v>181</v>
      </c>
    </row>
    <row r="484" ht="50.0" customHeight="true">
      <c r="A484" s="113" t="s">
        <v>22</v>
      </c>
      <c r="B484" s="113" t="s">
        <v>1756</v>
      </c>
      <c r="C484" s="113" t="s">
        <v>1759</v>
      </c>
      <c r="D484" s="113" t="s">
        <v>1759</v>
      </c>
      <c r="E484" s="114" t="s">
        <v>183</v>
      </c>
      <c r="F484" s="116">
        <f>"     "&amp;F482</f>
      </c>
      <c r="G484" s="113" t="s">
        <v>184</v>
      </c>
      <c r="H484" s="113" t="s">
        <v>103</v>
      </c>
      <c r="I484" s="113">
        <f>I482</f>
      </c>
      <c r="J484" s="113">
        <f>J482&amp;"     "</f>
      </c>
      <c r="K484" s="113" t="s">
        <v>81</v>
      </c>
      <c r="L484" s="113">
        <f>L482</f>
      </c>
      <c r="M484" s="113">
        <f>M482</f>
      </c>
      <c r="N484" s="113">
        <f>N482</f>
      </c>
      <c r="O484" s="113">
        <f>O482</f>
      </c>
      <c r="P484" s="113">
        <f>P482</f>
      </c>
      <c r="Q484" s="113">
        <f>Q482</f>
      </c>
      <c r="R484" s="113">
        <f>R482</f>
      </c>
      <c r="S484" s="113">
        <f>S482</f>
      </c>
      <c r="T484" s="113">
        <f>T482</f>
      </c>
      <c r="U484" s="113">
        <f>U482</f>
      </c>
      <c r="V484" s="113">
        <f>V482&amp;"     "</f>
      </c>
      <c r="W484" s="113">
        <f>W482&amp;"     "</f>
      </c>
      <c r="X484" s="113">
        <f>X482</f>
      </c>
      <c r="Y484" s="113" t="s">
        <v>181</v>
      </c>
    </row>
    <row r="485" ht="50.0" customHeight="true">
      <c r="A485" s="113" t="s">
        <v>22</v>
      </c>
      <c r="B485" s="113" t="s">
        <v>1756</v>
      </c>
      <c r="C485" s="113" t="s">
        <v>1760</v>
      </c>
      <c r="D485" s="113" t="s">
        <v>1760</v>
      </c>
      <c r="E485" s="114" t="s">
        <v>189</v>
      </c>
      <c r="F485" s="116">
        <f>"     "&amp;F482</f>
      </c>
      <c r="G485" s="113" t="s">
        <v>190</v>
      </c>
      <c r="H485" s="113" t="s">
        <v>103</v>
      </c>
      <c r="I485" s="113">
        <f>I482</f>
      </c>
      <c r="J485" s="113">
        <f>J482&amp;"     "</f>
      </c>
      <c r="K485" s="113" t="s">
        <v>81</v>
      </c>
      <c r="L485" s="113">
        <f>L482</f>
      </c>
      <c r="M485" s="113">
        <f>M482</f>
      </c>
      <c r="N485" s="113">
        <f>N482</f>
      </c>
      <c r="O485" s="113">
        <f>O482</f>
      </c>
      <c r="P485" s="113">
        <f>P482</f>
      </c>
      <c r="Q485" s="113">
        <f>Q482</f>
      </c>
      <c r="R485" s="113">
        <f>R482</f>
      </c>
      <c r="S485" s="113">
        <f>S482</f>
      </c>
      <c r="T485" s="113">
        <f>T482</f>
      </c>
      <c r="U485" s="113">
        <f>U482</f>
      </c>
      <c r="V485" s="113">
        <f>V482&amp;"     "</f>
      </c>
      <c r="W485" s="113">
        <f>W482&amp;"     "</f>
      </c>
      <c r="X485" s="113">
        <f>X482</f>
      </c>
      <c r="Y485" s="113" t="s">
        <v>181</v>
      </c>
    </row>
    <row r="486" ht="50.0" customHeight="true">
      <c r="A486" s="113" t="s">
        <v>1761</v>
      </c>
      <c r="B486" s="113" t="s">
        <v>1762</v>
      </c>
      <c r="C486" s="113" t="s">
        <v>1763</v>
      </c>
      <c r="D486" s="113"/>
      <c r="E486" s="114" t="s">
        <v>1711</v>
      </c>
      <c r="F486" s="113" t="s">
        <v>1764</v>
      </c>
      <c r="G486" s="113" t="s">
        <v>1764</v>
      </c>
      <c r="H486" s="113" t="s">
        <v>103</v>
      </c>
      <c r="I486" s="115" t="n">
        <v>199.99</v>
      </c>
      <c r="J486" s="115" t="s">
        <v>80</v>
      </c>
      <c r="K486" s="115" t="s">
        <v>81</v>
      </c>
      <c r="L486" s="115" t="n">
        <v>187.39</v>
      </c>
      <c r="M486" s="115" t="n">
        <v>3.0</v>
      </c>
      <c r="N486" s="115"/>
      <c r="O486" s="115"/>
      <c r="P486" s="115"/>
      <c r="Q486" s="115"/>
      <c r="R486" s="115"/>
      <c r="S486" s="115"/>
      <c r="T486" s="115"/>
      <c r="U486" s="115"/>
      <c r="V486" s="115" t="s">
        <v>82</v>
      </c>
      <c r="W486" s="115" t="s">
        <v>92</v>
      </c>
      <c r="X486" s="113">
        <f>IF(INDIRECT("W486")="Clássico","12%",IF(INDIRECT("W486")="Premium","17%","-"))</f>
      </c>
      <c r="Y486" s="113" t="s">
        <v>221</v>
      </c>
    </row>
    <row r="487" ht="50.0" customHeight="true">
      <c r="A487" s="113" t="s">
        <v>1765</v>
      </c>
      <c r="B487" s="113" t="s">
        <v>1766</v>
      </c>
      <c r="C487" s="113" t="s">
        <v>1767</v>
      </c>
      <c r="D487" s="113"/>
      <c r="E487" s="114" t="s">
        <v>1164</v>
      </c>
      <c r="F487" s="113" t="s">
        <v>1768</v>
      </c>
      <c r="G487" s="113" t="s">
        <v>1768</v>
      </c>
      <c r="H487" s="113" t="s">
        <v>103</v>
      </c>
      <c r="I487" s="115" t="n">
        <v>198.61</v>
      </c>
      <c r="J487" s="115" t="s">
        <v>80</v>
      </c>
      <c r="K487" s="115" t="s">
        <v>81</v>
      </c>
      <c r="L487" s="115" t="n">
        <v>184.75</v>
      </c>
      <c r="M487" s="115" t="n">
        <v>3.0</v>
      </c>
      <c r="N487" s="115"/>
      <c r="O487" s="115"/>
      <c r="P487" s="115"/>
      <c r="Q487" s="115"/>
      <c r="R487" s="115"/>
      <c r="S487" s="115"/>
      <c r="T487" s="115"/>
      <c r="U487" s="115"/>
      <c r="V487" s="115" t="s">
        <v>82</v>
      </c>
      <c r="W487" s="115" t="s">
        <v>83</v>
      </c>
      <c r="X487" s="113">
        <f>IF(INDIRECT("W487")="Clássico","12%",IF(INDIRECT("W487")="Premium","17%","-"))</f>
      </c>
      <c r="Y487" s="113" t="s">
        <v>221</v>
      </c>
    </row>
    <row r="488" ht="50.0" customHeight="true">
      <c r="A488" s="113" t="s">
        <v>1769</v>
      </c>
      <c r="B488" s="113" t="s">
        <v>1770</v>
      </c>
      <c r="C488" s="113" t="s">
        <v>1771</v>
      </c>
      <c r="D488" s="113"/>
      <c r="E488" s="114" t="s">
        <v>1772</v>
      </c>
      <c r="F488" s="113" t="s">
        <v>1773</v>
      </c>
      <c r="G488" s="113" t="s">
        <v>1773</v>
      </c>
      <c r="H488" s="113" t="s">
        <v>99</v>
      </c>
      <c r="I488" s="115" t="n">
        <v>1183.43</v>
      </c>
      <c r="J488" s="115" t="s">
        <v>80</v>
      </c>
      <c r="K488" s="115" t="s">
        <v>81</v>
      </c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 t="s">
        <v>82</v>
      </c>
      <c r="W488" s="115" t="s">
        <v>83</v>
      </c>
      <c r="X488" s="113">
        <f>IF(INDIRECT("W488")="Clássico","12%",IF(INDIRECT("W488")="Premium","17%","-"))</f>
      </c>
      <c r="Y488" s="113" t="s">
        <v>1774</v>
      </c>
    </row>
    <row r="489" ht="50.0" customHeight="true">
      <c r="A489" s="113" t="s">
        <v>1775</v>
      </c>
      <c r="B489" s="113" t="s">
        <v>1776</v>
      </c>
      <c r="C489" s="113" t="s">
        <v>1777</v>
      </c>
      <c r="D489" s="113"/>
      <c r="E489" s="114" t="s">
        <v>850</v>
      </c>
      <c r="F489" s="113" t="s">
        <v>1778</v>
      </c>
      <c r="G489" s="113" t="s">
        <v>493</v>
      </c>
      <c r="H489" s="113" t="s">
        <v>103</v>
      </c>
      <c r="I489" s="115" t="n">
        <v>346.71</v>
      </c>
      <c r="J489" s="115" t="s">
        <v>80</v>
      </c>
      <c r="K489" s="115" t="s">
        <v>81</v>
      </c>
      <c r="L489" s="115" t="n">
        <v>182.22</v>
      </c>
      <c r="M489" s="115" t="n">
        <v>3.0</v>
      </c>
      <c r="N489" s="115"/>
      <c r="O489" s="115"/>
      <c r="P489" s="115"/>
      <c r="Q489" s="115"/>
      <c r="R489" s="115"/>
      <c r="S489" s="115"/>
      <c r="T489" s="115"/>
      <c r="U489" s="115"/>
      <c r="V489" s="113" t="s">
        <v>1413</v>
      </c>
      <c r="W489" s="115" t="s">
        <v>92</v>
      </c>
      <c r="X489" s="113">
        <f>IF(INDIRECT("W489")="Clássico","12%",IF(INDIRECT("W489")="Premium","17%","-"))</f>
      </c>
      <c r="Y489" s="113" t="s">
        <v>643</v>
      </c>
    </row>
    <row r="490" ht="50.0" customHeight="true">
      <c r="A490" s="113" t="s">
        <v>1779</v>
      </c>
      <c r="B490" s="113" t="s">
        <v>1780</v>
      </c>
      <c r="C490" s="113" t="s">
        <v>1781</v>
      </c>
      <c r="D490" s="113"/>
      <c r="E490" s="114" t="s">
        <v>1711</v>
      </c>
      <c r="F490" s="113" t="s">
        <v>1782</v>
      </c>
      <c r="G490" s="113" t="s">
        <v>1782</v>
      </c>
      <c r="H490" s="113" t="s">
        <v>103</v>
      </c>
      <c r="I490" s="115" t="n">
        <v>231.52</v>
      </c>
      <c r="J490" s="115" t="s">
        <v>80</v>
      </c>
      <c r="K490" s="115" t="s">
        <v>81</v>
      </c>
      <c r="L490" s="115" t="n">
        <v>202.47</v>
      </c>
      <c r="M490" s="115" t="n">
        <v>3.0</v>
      </c>
      <c r="N490" s="115"/>
      <c r="O490" s="115"/>
      <c r="P490" s="115"/>
      <c r="Q490" s="115"/>
      <c r="R490" s="115"/>
      <c r="S490" s="115"/>
      <c r="T490" s="115"/>
      <c r="U490" s="115"/>
      <c r="V490" s="115" t="s">
        <v>82</v>
      </c>
      <c r="W490" s="115" t="s">
        <v>83</v>
      </c>
      <c r="X490" s="113">
        <f>IF(INDIRECT("W490")="Clássico","12%",IF(INDIRECT("W490")="Premium","17%","-"))</f>
      </c>
      <c r="Y490" s="113" t="s">
        <v>221</v>
      </c>
    </row>
    <row r="491" ht="50.0" customHeight="true">
      <c r="A491" s="113" t="s">
        <v>1783</v>
      </c>
      <c r="B491" s="113" t="s">
        <v>1784</v>
      </c>
      <c r="C491" s="113" t="s">
        <v>1785</v>
      </c>
      <c r="D491" s="113"/>
      <c r="E491" s="114" t="s">
        <v>1711</v>
      </c>
      <c r="F491" s="113" t="s">
        <v>1786</v>
      </c>
      <c r="G491" s="113" t="s">
        <v>1786</v>
      </c>
      <c r="H491" s="113" t="s">
        <v>103</v>
      </c>
      <c r="I491" s="115" t="n">
        <v>198.61</v>
      </c>
      <c r="J491" s="115" t="s">
        <v>80</v>
      </c>
      <c r="K491" s="115" t="s">
        <v>81</v>
      </c>
      <c r="L491" s="115" t="n">
        <v>188.66</v>
      </c>
      <c r="M491" s="115" t="n">
        <v>3.0</v>
      </c>
      <c r="N491" s="115"/>
      <c r="O491" s="115"/>
      <c r="P491" s="115"/>
      <c r="Q491" s="115"/>
      <c r="R491" s="115"/>
      <c r="S491" s="115"/>
      <c r="T491" s="115"/>
      <c r="U491" s="115"/>
      <c r="V491" s="115" t="s">
        <v>82</v>
      </c>
      <c r="W491" s="115" t="s">
        <v>92</v>
      </c>
      <c r="X491" s="113">
        <f>IF(INDIRECT("W491")="Clássico","12%",IF(INDIRECT("W491")="Premium","17%","-"))</f>
      </c>
      <c r="Y491" s="113" t="s">
        <v>221</v>
      </c>
    </row>
    <row r="492" ht="50.0" customHeight="true">
      <c r="A492" s="113" t="s">
        <v>1787</v>
      </c>
      <c r="B492" s="113" t="s">
        <v>1788</v>
      </c>
      <c r="C492" s="113" t="s">
        <v>1789</v>
      </c>
      <c r="D492" s="113"/>
      <c r="E492" s="114" t="s">
        <v>1208</v>
      </c>
      <c r="F492" s="113" t="s">
        <v>1790</v>
      </c>
      <c r="G492" s="113" t="s">
        <v>1791</v>
      </c>
      <c r="H492" s="113" t="s">
        <v>103</v>
      </c>
      <c r="I492" s="115" t="n">
        <v>37.99</v>
      </c>
      <c r="J492" s="115" t="s">
        <v>80</v>
      </c>
      <c r="K492" s="115" t="s">
        <v>81</v>
      </c>
      <c r="L492" s="115" t="n">
        <v>30.9</v>
      </c>
      <c r="M492" s="115" t="n">
        <v>3.0</v>
      </c>
      <c r="N492" s="115"/>
      <c r="O492" s="115"/>
      <c r="P492" s="115"/>
      <c r="Q492" s="115"/>
      <c r="R492" s="115"/>
      <c r="S492" s="115"/>
      <c r="T492" s="115"/>
      <c r="U492" s="115"/>
      <c r="V492" s="115" t="s">
        <v>91</v>
      </c>
      <c r="W492" s="115" t="s">
        <v>92</v>
      </c>
      <c r="X492" s="113">
        <f>IF(INDIRECT("W492")="Clássico","12%",IF(INDIRECT("W492")="Premium","17%","-"))</f>
      </c>
      <c r="Y492" s="113" t="s">
        <v>662</v>
      </c>
    </row>
    <row r="493" ht="50.0" customHeight="true">
      <c r="A493" s="113" t="s">
        <v>805</v>
      </c>
      <c r="B493" s="113" t="s">
        <v>1792</v>
      </c>
      <c r="C493" s="113" t="s">
        <v>1793</v>
      </c>
      <c r="D493" s="113"/>
      <c r="E493" s="114" t="s">
        <v>808</v>
      </c>
      <c r="F493" s="113" t="s">
        <v>809</v>
      </c>
      <c r="G493" s="113" t="s">
        <v>809</v>
      </c>
      <c r="H493" s="113" t="s">
        <v>234</v>
      </c>
      <c r="I493" s="115" t="n">
        <v>213.9</v>
      </c>
      <c r="J493" s="115" t="s">
        <v>80</v>
      </c>
      <c r="K493" s="115" t="s">
        <v>81</v>
      </c>
      <c r="L493" s="115" t="n">
        <v>169.56</v>
      </c>
      <c r="M493" s="115" t="n">
        <v>3.0</v>
      </c>
      <c r="N493" s="115"/>
      <c r="O493" s="115"/>
      <c r="P493" s="115"/>
      <c r="Q493" s="115"/>
      <c r="R493" s="115"/>
      <c r="S493" s="115"/>
      <c r="T493" s="115"/>
      <c r="U493" s="115"/>
      <c r="V493" s="115" t="s">
        <v>82</v>
      </c>
      <c r="W493" s="115" t="s">
        <v>83</v>
      </c>
      <c r="X493" s="113">
        <f>IF(INDIRECT("W493")="Clássico","12%",IF(INDIRECT("W493")="Premium","17%","-"))</f>
      </c>
      <c r="Y493" s="113" t="s">
        <v>482</v>
      </c>
    </row>
    <row r="494" ht="50.0" customHeight="true">
      <c r="A494" s="113" t="s">
        <v>1794</v>
      </c>
      <c r="B494" s="113" t="s">
        <v>1795</v>
      </c>
      <c r="C494" s="113" t="s">
        <v>1796</v>
      </c>
      <c r="D494" s="113"/>
      <c r="E494" s="114" t="s">
        <v>1231</v>
      </c>
      <c r="F494" s="113" t="s">
        <v>1797</v>
      </c>
      <c r="G494" s="113" t="s">
        <v>1797</v>
      </c>
      <c r="H494" s="113" t="s">
        <v>103</v>
      </c>
      <c r="I494" s="115" t="n">
        <v>375.83</v>
      </c>
      <c r="J494" s="115" t="s">
        <v>80</v>
      </c>
      <c r="K494" s="115" t="s">
        <v>81</v>
      </c>
      <c r="L494" s="115" t="n">
        <v>356.4</v>
      </c>
      <c r="M494" s="115" t="n">
        <v>3.0</v>
      </c>
      <c r="N494" s="115"/>
      <c r="O494" s="115"/>
      <c r="P494" s="115"/>
      <c r="Q494" s="115"/>
      <c r="R494" s="115"/>
      <c r="S494" s="115"/>
      <c r="T494" s="115"/>
      <c r="U494" s="115"/>
      <c r="V494" s="115" t="s">
        <v>82</v>
      </c>
      <c r="W494" s="115" t="s">
        <v>83</v>
      </c>
      <c r="X494" s="113">
        <f>IF(INDIRECT("W494")="Clássico","12%",IF(INDIRECT("W494")="Premium","17%","-"))</f>
      </c>
      <c r="Y494" s="113" t="s">
        <v>1233</v>
      </c>
    </row>
    <row r="495" ht="50.0" customHeight="true">
      <c r="A495" s="113" t="s">
        <v>1798</v>
      </c>
      <c r="B495" s="113" t="s">
        <v>1799</v>
      </c>
      <c r="C495" s="113" t="s">
        <v>1800</v>
      </c>
      <c r="D495" s="113"/>
      <c r="E495" s="114" t="s">
        <v>1457</v>
      </c>
      <c r="F495" s="113" t="s">
        <v>1801</v>
      </c>
      <c r="G495" s="113" t="s">
        <v>1801</v>
      </c>
      <c r="H495" s="113" t="s">
        <v>103</v>
      </c>
      <c r="I495" s="115" t="n">
        <v>122.66</v>
      </c>
      <c r="J495" s="115" t="s">
        <v>80</v>
      </c>
      <c r="K495" s="115" t="s">
        <v>81</v>
      </c>
      <c r="L495" s="115" t="n">
        <v>117.66</v>
      </c>
      <c r="M495" s="115" t="n">
        <v>3.0</v>
      </c>
      <c r="N495" s="115"/>
      <c r="O495" s="115"/>
      <c r="P495" s="115"/>
      <c r="Q495" s="115"/>
      <c r="R495" s="115"/>
      <c r="S495" s="115"/>
      <c r="T495" s="115"/>
      <c r="U495" s="115"/>
      <c r="V495" s="115" t="s">
        <v>82</v>
      </c>
      <c r="W495" s="115" t="s">
        <v>83</v>
      </c>
      <c r="X495" s="113">
        <f>IF(INDIRECT("W495")="Clássico","12%",IF(INDIRECT("W495")="Premium","17%","-"))</f>
      </c>
      <c r="Y495" s="113" t="s">
        <v>1048</v>
      </c>
    </row>
    <row r="496" ht="50.0" customHeight="true">
      <c r="A496" s="113" t="s">
        <v>1802</v>
      </c>
      <c r="B496" s="113" t="s">
        <v>1803</v>
      </c>
      <c r="C496" s="113" t="s">
        <v>1804</v>
      </c>
      <c r="D496" s="113"/>
      <c r="E496" s="114" t="s">
        <v>1805</v>
      </c>
      <c r="F496" s="113" t="s">
        <v>1806</v>
      </c>
      <c r="G496" s="113" t="s">
        <v>467</v>
      </c>
      <c r="H496" s="113" t="s">
        <v>103</v>
      </c>
      <c r="I496" s="115" t="n">
        <v>502.41</v>
      </c>
      <c r="J496" s="115" t="s">
        <v>80</v>
      </c>
      <c r="K496" s="115" t="s">
        <v>81</v>
      </c>
      <c r="L496" s="115" t="n">
        <v>211.33</v>
      </c>
      <c r="M496" s="115" t="n">
        <v>3.0</v>
      </c>
      <c r="N496" s="115"/>
      <c r="O496" s="115"/>
      <c r="P496" s="115"/>
      <c r="Q496" s="115"/>
      <c r="R496" s="115"/>
      <c r="S496" s="115"/>
      <c r="T496" s="115"/>
      <c r="U496" s="115"/>
      <c r="V496" s="115" t="s">
        <v>82</v>
      </c>
      <c r="W496" s="115" t="s">
        <v>83</v>
      </c>
      <c r="X496" s="113">
        <f>IF(INDIRECT("W496")="Clássico","12%",IF(INDIRECT("W496")="Premium","17%","-"))</f>
      </c>
      <c r="Y496" s="113" t="s">
        <v>367</v>
      </c>
    </row>
    <row r="497" ht="50.0" customHeight="true">
      <c r="A497" s="113" t="s">
        <v>1807</v>
      </c>
      <c r="B497" s="113" t="s">
        <v>1808</v>
      </c>
      <c r="C497" s="113" t="s">
        <v>1809</v>
      </c>
      <c r="D497" s="113"/>
      <c r="E497" s="114" t="s">
        <v>1810</v>
      </c>
      <c r="F497" s="113" t="s">
        <v>1811</v>
      </c>
      <c r="G497" s="113" t="s">
        <v>1811</v>
      </c>
      <c r="H497" s="113" t="s">
        <v>103</v>
      </c>
      <c r="I497" s="115" t="n">
        <v>250.51</v>
      </c>
      <c r="J497" s="115" t="s">
        <v>80</v>
      </c>
      <c r="K497" s="115" t="s">
        <v>81</v>
      </c>
      <c r="L497" s="115" t="n">
        <v>244.36</v>
      </c>
      <c r="M497" s="115" t="n">
        <v>3.0</v>
      </c>
      <c r="N497" s="115"/>
      <c r="O497" s="115"/>
      <c r="P497" s="115"/>
      <c r="Q497" s="115"/>
      <c r="R497" s="115"/>
      <c r="S497" s="115"/>
      <c r="T497" s="115"/>
      <c r="U497" s="115"/>
      <c r="V497" s="115" t="s">
        <v>82</v>
      </c>
      <c r="W497" s="115" t="s">
        <v>83</v>
      </c>
      <c r="X497" s="113">
        <f>IF(INDIRECT("W497")="Clássico","12%",IF(INDIRECT("W497")="Premium","17%","-"))</f>
      </c>
      <c r="Y497" s="113" t="s">
        <v>1473</v>
      </c>
    </row>
    <row r="498" ht="50.0" customHeight="true">
      <c r="A498" s="113" t="s">
        <v>1812</v>
      </c>
      <c r="B498" s="113" t="s">
        <v>1813</v>
      </c>
      <c r="C498" s="113" t="s">
        <v>1814</v>
      </c>
      <c r="D498" s="113"/>
      <c r="E498" s="114" t="s">
        <v>1815</v>
      </c>
      <c r="F498" s="113" t="s">
        <v>1816</v>
      </c>
      <c r="G498" s="113" t="s">
        <v>1816</v>
      </c>
      <c r="H498" s="113" t="s">
        <v>103</v>
      </c>
      <c r="I498" s="115" t="n">
        <v>298.61</v>
      </c>
      <c r="J498" s="115" t="s">
        <v>80</v>
      </c>
      <c r="K498" s="115" t="s">
        <v>81</v>
      </c>
      <c r="L498" s="115" t="n">
        <v>293.61</v>
      </c>
      <c r="M498" s="115" t="n">
        <v>3.0</v>
      </c>
      <c r="N498" s="115"/>
      <c r="O498" s="115"/>
      <c r="P498" s="115"/>
      <c r="Q498" s="115"/>
      <c r="R498" s="115"/>
      <c r="S498" s="115"/>
      <c r="T498" s="115"/>
      <c r="U498" s="115"/>
      <c r="V498" s="115" t="s">
        <v>82</v>
      </c>
      <c r="W498" s="115" t="s">
        <v>83</v>
      </c>
      <c r="X498" s="113">
        <f>IF(INDIRECT("W498")="Clássico","12%",IF(INDIRECT("W498")="Premium","17%","-"))</f>
      </c>
      <c r="Y498" s="113" t="s">
        <v>181</v>
      </c>
    </row>
    <row r="499" ht="50.0" customHeight="true">
      <c r="A499" s="113" t="s">
        <v>1817</v>
      </c>
      <c r="B499" s="113" t="s">
        <v>1818</v>
      </c>
      <c r="C499" s="113" t="s">
        <v>1819</v>
      </c>
      <c r="D499" s="113"/>
      <c r="E499" s="114" t="s">
        <v>516</v>
      </c>
      <c r="F499" s="113" t="s">
        <v>1820</v>
      </c>
      <c r="G499" s="113" t="s">
        <v>1820</v>
      </c>
      <c r="H499" s="113" t="s">
        <v>99</v>
      </c>
      <c r="I499" s="115" t="n">
        <v>41.65</v>
      </c>
      <c r="J499" s="115" t="s">
        <v>80</v>
      </c>
      <c r="K499" s="115" t="s">
        <v>81</v>
      </c>
      <c r="L499" s="115" t="n">
        <v>36.65</v>
      </c>
      <c r="M499" s="115" t="n">
        <v>3.0</v>
      </c>
      <c r="N499" s="115"/>
      <c r="O499" s="115"/>
      <c r="P499" s="115"/>
      <c r="Q499" s="115"/>
      <c r="R499" s="115"/>
      <c r="S499" s="115"/>
      <c r="T499" s="115"/>
      <c r="U499" s="115"/>
      <c r="V499" s="115" t="s">
        <v>91</v>
      </c>
      <c r="W499" s="115" t="s">
        <v>92</v>
      </c>
      <c r="X499" s="113">
        <f>IF(INDIRECT("W499")="Clássico","12%",IF(INDIRECT("W499")="Premium","17%","-"))</f>
      </c>
      <c r="Y499" s="113" t="s">
        <v>696</v>
      </c>
    </row>
    <row r="500" ht="50.0" customHeight="true">
      <c r="A500" s="113" t="s">
        <v>22</v>
      </c>
      <c r="B500" s="113" t="s">
        <v>1821</v>
      </c>
      <c r="C500" s="113"/>
      <c r="D500" s="113"/>
      <c r="E500" s="113" t="s">
        <v>22</v>
      </c>
      <c r="F500" s="113" t="s">
        <v>1822</v>
      </c>
      <c r="G500" s="113" t="s">
        <v>103</v>
      </c>
      <c r="H500" s="113" t="s">
        <v>103</v>
      </c>
      <c r="I500" s="115" t="n">
        <v>359.37</v>
      </c>
      <c r="J500" s="115" t="s">
        <v>80</v>
      </c>
      <c r="K500" s="113" t="s">
        <v>81</v>
      </c>
      <c r="L500" s="115" t="n">
        <v>332.85</v>
      </c>
      <c r="M500" s="115" t="n">
        <v>3.0</v>
      </c>
      <c r="N500" s="115"/>
      <c r="O500" s="115"/>
      <c r="P500" s="115"/>
      <c r="Q500" s="115"/>
      <c r="R500" s="115"/>
      <c r="S500" s="115"/>
      <c r="T500" s="115"/>
      <c r="U500" s="115"/>
      <c r="V500" s="115" t="s">
        <v>82</v>
      </c>
      <c r="W500" s="115" t="s">
        <v>83</v>
      </c>
      <c r="X500" s="113">
        <f>IF(INDIRECT("W500")="Clássico","11.5%",IF(INDIRECT("W500")="Premium","16.5%","-"))</f>
      </c>
      <c r="Y500" s="113" t="s">
        <v>684</v>
      </c>
    </row>
    <row r="501" ht="50.0" customHeight="true">
      <c r="A501" s="113" t="s">
        <v>22</v>
      </c>
      <c r="B501" s="113" t="s">
        <v>1821</v>
      </c>
      <c r="C501" s="113" t="s">
        <v>1823</v>
      </c>
      <c r="D501" s="113" t="s">
        <v>1823</v>
      </c>
      <c r="E501" s="114" t="s">
        <v>686</v>
      </c>
      <c r="F501" s="116">
        <f>"     "&amp;F500</f>
      </c>
      <c r="G501" s="113" t="s">
        <v>687</v>
      </c>
      <c r="H501" s="113" t="s">
        <v>103</v>
      </c>
      <c r="I501" s="113">
        <f>I500</f>
      </c>
      <c r="J501" s="113">
        <f>J500&amp;"     "</f>
      </c>
      <c r="K501" s="113" t="s">
        <v>81</v>
      </c>
      <c r="L501" s="113">
        <f>L500</f>
      </c>
      <c r="M501" s="113">
        <f>M500</f>
      </c>
      <c r="N501" s="113">
        <f>N500</f>
      </c>
      <c r="O501" s="113">
        <f>O500</f>
      </c>
      <c r="P501" s="113">
        <f>P500</f>
      </c>
      <c r="Q501" s="113">
        <f>Q500</f>
      </c>
      <c r="R501" s="113">
        <f>R500</f>
      </c>
      <c r="S501" s="113">
        <f>S500</f>
      </c>
      <c r="T501" s="113">
        <f>T500</f>
      </c>
      <c r="U501" s="113">
        <f>U500</f>
      </c>
      <c r="V501" s="113">
        <f>V500&amp;"     "</f>
      </c>
      <c r="W501" s="113">
        <f>W500&amp;"     "</f>
      </c>
      <c r="X501" s="113">
        <f>X500</f>
      </c>
      <c r="Y501" s="113" t="s">
        <v>684</v>
      </c>
    </row>
    <row r="502" ht="50.0" customHeight="true">
      <c r="A502" s="113" t="s">
        <v>22</v>
      </c>
      <c r="B502" s="113" t="s">
        <v>1821</v>
      </c>
      <c r="C502" s="113" t="s">
        <v>1824</v>
      </c>
      <c r="D502" s="113" t="s">
        <v>1824</v>
      </c>
      <c r="E502" s="114" t="s">
        <v>689</v>
      </c>
      <c r="F502" s="116">
        <f>"     "&amp;F500</f>
      </c>
      <c r="G502" s="113" t="s">
        <v>690</v>
      </c>
      <c r="H502" s="113" t="s">
        <v>103</v>
      </c>
      <c r="I502" s="113">
        <f>I500</f>
      </c>
      <c r="J502" s="113">
        <f>J500&amp;"     "</f>
      </c>
      <c r="K502" s="113" t="s">
        <v>81</v>
      </c>
      <c r="L502" s="113">
        <f>L500</f>
      </c>
      <c r="M502" s="113">
        <f>M500</f>
      </c>
      <c r="N502" s="113">
        <f>N500</f>
      </c>
      <c r="O502" s="113">
        <f>O500</f>
      </c>
      <c r="P502" s="113">
        <f>P500</f>
      </c>
      <c r="Q502" s="113">
        <f>Q500</f>
      </c>
      <c r="R502" s="113">
        <f>R500</f>
      </c>
      <c r="S502" s="113">
        <f>S500</f>
      </c>
      <c r="T502" s="113">
        <f>T500</f>
      </c>
      <c r="U502" s="113">
        <f>U500</f>
      </c>
      <c r="V502" s="113">
        <f>V500&amp;"     "</f>
      </c>
      <c r="W502" s="113">
        <f>W500&amp;"     "</f>
      </c>
      <c r="X502" s="113">
        <f>X500</f>
      </c>
      <c r="Y502" s="113" t="s">
        <v>684</v>
      </c>
    </row>
    <row r="503" ht="50.0" customHeight="true">
      <c r="A503" s="113" t="s">
        <v>1825</v>
      </c>
      <c r="B503" s="113" t="s">
        <v>1826</v>
      </c>
      <c r="C503" s="113" t="s">
        <v>1827</v>
      </c>
      <c r="D503" s="113"/>
      <c r="E503" s="114" t="s">
        <v>505</v>
      </c>
      <c r="F503" s="113" t="s">
        <v>506</v>
      </c>
      <c r="G503" s="113" t="s">
        <v>506</v>
      </c>
      <c r="H503" s="113" t="s">
        <v>103</v>
      </c>
      <c r="I503" s="115" t="n">
        <v>283.42</v>
      </c>
      <c r="J503" s="115" t="s">
        <v>80</v>
      </c>
      <c r="K503" s="115" t="s">
        <v>81</v>
      </c>
      <c r="L503" s="115" t="n">
        <v>267.03</v>
      </c>
      <c r="M503" s="115" t="n">
        <v>3.0</v>
      </c>
      <c r="N503" s="115"/>
      <c r="O503" s="115"/>
      <c r="P503" s="115"/>
      <c r="Q503" s="115"/>
      <c r="R503" s="115"/>
      <c r="S503" s="115"/>
      <c r="T503" s="115"/>
      <c r="U503" s="115"/>
      <c r="V503" s="115" t="s">
        <v>82</v>
      </c>
      <c r="W503" s="115" t="s">
        <v>83</v>
      </c>
      <c r="X503" s="113">
        <f>IF(INDIRECT("W503")="Clássico","10%",IF(INDIRECT("W503")="Premium","15%","-"))</f>
      </c>
      <c r="Y503" s="113" t="s">
        <v>1828</v>
      </c>
    </row>
    <row r="504" ht="50.0" customHeight="true">
      <c r="A504" s="113" t="s">
        <v>1829</v>
      </c>
      <c r="B504" s="113" t="s">
        <v>1830</v>
      </c>
      <c r="C504" s="113" t="s">
        <v>1831</v>
      </c>
      <c r="D504" s="113"/>
      <c r="E504" s="114" t="s">
        <v>588</v>
      </c>
      <c r="F504" s="113" t="s">
        <v>1832</v>
      </c>
      <c r="G504" s="113" t="s">
        <v>1832</v>
      </c>
      <c r="H504" s="113" t="s">
        <v>103</v>
      </c>
      <c r="I504" s="115" t="n">
        <v>63.0</v>
      </c>
      <c r="J504" s="115" t="s">
        <v>80</v>
      </c>
      <c r="K504" s="115" t="s">
        <v>81</v>
      </c>
      <c r="L504" s="115" t="n">
        <v>74.74</v>
      </c>
      <c r="M504" s="115" t="n">
        <v>3.0</v>
      </c>
      <c r="N504" s="115"/>
      <c r="O504" s="115"/>
      <c r="P504" s="115"/>
      <c r="Q504" s="115"/>
      <c r="R504" s="115"/>
      <c r="S504" s="115"/>
      <c r="T504" s="115"/>
      <c r="U504" s="115"/>
      <c r="V504" s="115" t="s">
        <v>91</v>
      </c>
      <c r="W504" s="115" t="s">
        <v>92</v>
      </c>
      <c r="X504" s="113">
        <f>IF(INDIRECT("W504")="Clássico","12%",IF(INDIRECT("W504")="Premium","17%","-"))</f>
      </c>
      <c r="Y504" s="113" t="s">
        <v>777</v>
      </c>
    </row>
    <row r="505" ht="50.0" customHeight="true">
      <c r="A505" s="113" t="s">
        <v>1833</v>
      </c>
      <c r="B505" s="113" t="s">
        <v>1834</v>
      </c>
      <c r="C505" s="113" t="s">
        <v>1835</v>
      </c>
      <c r="D505" s="113"/>
      <c r="E505" s="114" t="s">
        <v>1030</v>
      </c>
      <c r="F505" s="113" t="s">
        <v>1836</v>
      </c>
      <c r="G505" s="113" t="s">
        <v>1836</v>
      </c>
      <c r="H505" s="113" t="s">
        <v>103</v>
      </c>
      <c r="I505" s="115" t="n">
        <v>201.14</v>
      </c>
      <c r="J505" s="115" t="s">
        <v>80</v>
      </c>
      <c r="K505" s="115" t="s">
        <v>81</v>
      </c>
      <c r="L505" s="115" t="n">
        <v>193.72</v>
      </c>
      <c r="M505" s="115" t="n">
        <v>3.0</v>
      </c>
      <c r="N505" s="115"/>
      <c r="O505" s="115"/>
      <c r="P505" s="115"/>
      <c r="Q505" s="115"/>
      <c r="R505" s="115"/>
      <c r="S505" s="115"/>
      <c r="T505" s="115"/>
      <c r="U505" s="115"/>
      <c r="V505" s="115" t="s">
        <v>82</v>
      </c>
      <c r="W505" s="115" t="s">
        <v>83</v>
      </c>
      <c r="X505" s="113">
        <f>IF(INDIRECT("W505")="Clássico","12%",IF(INDIRECT("W505")="Premium","17%","-"))</f>
      </c>
      <c r="Y505" s="113" t="s">
        <v>1032</v>
      </c>
    </row>
    <row r="506" ht="50.0" customHeight="true">
      <c r="A506" s="113" t="s">
        <v>1837</v>
      </c>
      <c r="B506" s="113" t="s">
        <v>1838</v>
      </c>
      <c r="C506" s="113" t="s">
        <v>1839</v>
      </c>
      <c r="D506" s="113"/>
      <c r="E506" s="114" t="s">
        <v>125</v>
      </c>
      <c r="F506" s="113" t="s">
        <v>1840</v>
      </c>
      <c r="G506" s="113" t="s">
        <v>127</v>
      </c>
      <c r="H506" s="113" t="s">
        <v>103</v>
      </c>
      <c r="I506" s="115" t="n">
        <v>131.52</v>
      </c>
      <c r="J506" s="115" t="s">
        <v>80</v>
      </c>
      <c r="K506" s="115" t="s">
        <v>81</v>
      </c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 t="s">
        <v>82</v>
      </c>
      <c r="W506" s="115" t="s">
        <v>83</v>
      </c>
      <c r="X506" s="113">
        <f>IF(INDIRECT("W506")="Clássico","12%",IF(INDIRECT("W506")="Premium","17%","-"))</f>
      </c>
      <c r="Y506" s="113" t="s">
        <v>128</v>
      </c>
    </row>
    <row r="507" ht="50.0" customHeight="true">
      <c r="A507" s="113" t="s">
        <v>1621</v>
      </c>
      <c r="B507" s="113" t="s">
        <v>1841</v>
      </c>
      <c r="C507" s="113" t="s">
        <v>1842</v>
      </c>
      <c r="D507" s="113"/>
      <c r="E507" s="114" t="s">
        <v>1368</v>
      </c>
      <c r="F507" s="113" t="s">
        <v>1624</v>
      </c>
      <c r="G507" s="113" t="s">
        <v>1624</v>
      </c>
      <c r="H507" s="113" t="s">
        <v>103</v>
      </c>
      <c r="I507" s="115" t="n">
        <v>317.6</v>
      </c>
      <c r="J507" s="115" t="s">
        <v>80</v>
      </c>
      <c r="K507" s="115" t="s">
        <v>81</v>
      </c>
      <c r="L507" s="115" t="n">
        <v>346.78</v>
      </c>
      <c r="M507" s="115" t="n">
        <v>3.0</v>
      </c>
      <c r="N507" s="115"/>
      <c r="O507" s="115"/>
      <c r="P507" s="115"/>
      <c r="Q507" s="115"/>
      <c r="R507" s="115"/>
      <c r="S507" s="115"/>
      <c r="T507" s="115"/>
      <c r="U507" s="115"/>
      <c r="V507" s="115" t="s">
        <v>82</v>
      </c>
      <c r="W507" s="115" t="s">
        <v>92</v>
      </c>
      <c r="X507" s="113">
        <f>IF(INDIRECT("W507")="Clássico","12%",IF(INDIRECT("W507")="Premium","17%","-"))</f>
      </c>
      <c r="Y507" s="113" t="s">
        <v>93</v>
      </c>
    </row>
    <row r="508" ht="50.0" customHeight="true">
      <c r="A508" s="113" t="s">
        <v>1843</v>
      </c>
      <c r="B508" s="113" t="s">
        <v>1844</v>
      </c>
      <c r="C508" s="113" t="s">
        <v>1845</v>
      </c>
      <c r="D508" s="113"/>
      <c r="E508" s="114" t="s">
        <v>1846</v>
      </c>
      <c r="F508" s="113" t="s">
        <v>1847</v>
      </c>
      <c r="G508" s="113" t="s">
        <v>1847</v>
      </c>
      <c r="H508" s="113" t="s">
        <v>103</v>
      </c>
      <c r="I508" s="115" t="n">
        <v>266.46</v>
      </c>
      <c r="J508" s="115" t="s">
        <v>80</v>
      </c>
      <c r="K508" s="115" t="s">
        <v>81</v>
      </c>
      <c r="L508" s="115" t="n">
        <v>261.46</v>
      </c>
      <c r="M508" s="115" t="n">
        <v>3.0</v>
      </c>
      <c r="N508" s="115"/>
      <c r="O508" s="115"/>
      <c r="P508" s="115"/>
      <c r="Q508" s="115"/>
      <c r="R508" s="115"/>
      <c r="S508" s="115"/>
      <c r="T508" s="115"/>
      <c r="U508" s="115"/>
      <c r="V508" s="115" t="s">
        <v>82</v>
      </c>
      <c r="W508" s="115" t="s">
        <v>92</v>
      </c>
      <c r="X508" s="113">
        <f>IF(INDIRECT("W508")="Clássico","12%",IF(INDIRECT("W508")="Premium","17%","-"))</f>
      </c>
      <c r="Y508" s="113" t="s">
        <v>1848</v>
      </c>
    </row>
    <row r="509" ht="50.0" customHeight="true">
      <c r="A509" s="113" t="s">
        <v>1849</v>
      </c>
      <c r="B509" s="113" t="s">
        <v>1850</v>
      </c>
      <c r="C509" s="113" t="s">
        <v>1851</v>
      </c>
      <c r="D509" s="113"/>
      <c r="E509" s="114" t="s">
        <v>1138</v>
      </c>
      <c r="F509" s="113" t="s">
        <v>1852</v>
      </c>
      <c r="G509" s="113" t="s">
        <v>1140</v>
      </c>
      <c r="H509" s="113" t="s">
        <v>103</v>
      </c>
      <c r="I509" s="115" t="n">
        <v>72.14</v>
      </c>
      <c r="J509" s="115" t="s">
        <v>80</v>
      </c>
      <c r="K509" s="115" t="s">
        <v>81</v>
      </c>
      <c r="L509" s="115" t="n">
        <v>67.14</v>
      </c>
      <c r="M509" s="115" t="n">
        <v>3.0</v>
      </c>
      <c r="N509" s="115"/>
      <c r="O509" s="115"/>
      <c r="P509" s="115"/>
      <c r="Q509" s="115"/>
      <c r="R509" s="115"/>
      <c r="S509" s="115"/>
      <c r="T509" s="115"/>
      <c r="U509" s="115"/>
      <c r="V509" s="115" t="s">
        <v>91</v>
      </c>
      <c r="W509" s="115" t="s">
        <v>92</v>
      </c>
      <c r="X509" s="113">
        <f>IF(INDIRECT("W509")="Clássico","12%",IF(INDIRECT("W509")="Premium","17%","-"))</f>
      </c>
      <c r="Y509" s="113" t="s">
        <v>1048</v>
      </c>
    </row>
    <row r="510" ht="50.0" customHeight="true">
      <c r="A510" s="113" t="s">
        <v>1853</v>
      </c>
      <c r="B510" s="113" t="s">
        <v>1854</v>
      </c>
      <c r="C510" s="113" t="s">
        <v>1855</v>
      </c>
      <c r="D510" s="113"/>
      <c r="E510" s="114" t="s">
        <v>616</v>
      </c>
      <c r="F510" s="113" t="s">
        <v>1856</v>
      </c>
      <c r="G510" s="113" t="s">
        <v>127</v>
      </c>
      <c r="H510" s="113" t="s">
        <v>103</v>
      </c>
      <c r="I510" s="115" t="n">
        <v>263.0</v>
      </c>
      <c r="J510" s="115" t="s">
        <v>80</v>
      </c>
      <c r="K510" s="115" t="s">
        <v>81</v>
      </c>
      <c r="L510" s="115" t="n">
        <v>384.94</v>
      </c>
      <c r="M510" s="115" t="n">
        <v>3.0</v>
      </c>
      <c r="N510" s="115"/>
      <c r="O510" s="115"/>
      <c r="P510" s="115"/>
      <c r="Q510" s="115"/>
      <c r="R510" s="115"/>
      <c r="S510" s="115"/>
      <c r="T510" s="115"/>
      <c r="U510" s="115"/>
      <c r="V510" s="115" t="s">
        <v>82</v>
      </c>
      <c r="W510" s="115" t="s">
        <v>92</v>
      </c>
      <c r="X510" s="113">
        <f>IF(INDIRECT("W510")="Clássico","12%",IF(INDIRECT("W510")="Premium","17%","-"))</f>
      </c>
      <c r="Y510" s="113" t="s">
        <v>158</v>
      </c>
    </row>
    <row r="511" ht="50.0" customHeight="true">
      <c r="A511" s="113" t="s">
        <v>22</v>
      </c>
      <c r="B511" s="113" t="s">
        <v>1857</v>
      </c>
      <c r="C511" s="113"/>
      <c r="D511" s="113"/>
      <c r="E511" s="113" t="s">
        <v>22</v>
      </c>
      <c r="F511" s="113" t="s">
        <v>1858</v>
      </c>
      <c r="G511" s="113" t="s">
        <v>103</v>
      </c>
      <c r="H511" s="113" t="s">
        <v>103</v>
      </c>
      <c r="I511" s="115" t="n">
        <v>249.24</v>
      </c>
      <c r="J511" s="115" t="s">
        <v>80</v>
      </c>
      <c r="K511" s="113" t="s">
        <v>81</v>
      </c>
      <c r="L511" s="115" t="n">
        <v>244.24</v>
      </c>
      <c r="M511" s="115" t="n">
        <v>3.0</v>
      </c>
      <c r="N511" s="115"/>
      <c r="O511" s="115"/>
      <c r="P511" s="115"/>
      <c r="Q511" s="115"/>
      <c r="R511" s="115"/>
      <c r="S511" s="115"/>
      <c r="T511" s="115"/>
      <c r="U511" s="115"/>
      <c r="V511" s="115" t="s">
        <v>82</v>
      </c>
      <c r="W511" s="115" t="s">
        <v>83</v>
      </c>
      <c r="X511" s="113">
        <f>IF(INDIRECT("W511")="Clássico","12%",IF(INDIRECT("W511")="Premium","17%","-"))</f>
      </c>
      <c r="Y511" s="113" t="s">
        <v>662</v>
      </c>
    </row>
    <row r="512" ht="50.0" customHeight="true">
      <c r="A512" s="113" t="s">
        <v>22</v>
      </c>
      <c r="B512" s="113" t="s">
        <v>1857</v>
      </c>
      <c r="C512" s="113" t="s">
        <v>1859</v>
      </c>
      <c r="D512" s="113" t="s">
        <v>1859</v>
      </c>
      <c r="E512" s="114" t="s">
        <v>1860</v>
      </c>
      <c r="F512" s="116">
        <f>"     "&amp;F511</f>
      </c>
      <c r="G512" s="113" t="s">
        <v>687</v>
      </c>
      <c r="H512" s="113" t="s">
        <v>103</v>
      </c>
      <c r="I512" s="113">
        <f>I511</f>
      </c>
      <c r="J512" s="113">
        <f>J511&amp;"     "</f>
      </c>
      <c r="K512" s="113" t="s">
        <v>81</v>
      </c>
      <c r="L512" s="113">
        <f>L511</f>
      </c>
      <c r="M512" s="113">
        <f>M511</f>
      </c>
      <c r="N512" s="113">
        <f>N511</f>
      </c>
      <c r="O512" s="113">
        <f>O511</f>
      </c>
      <c r="P512" s="113">
        <f>P511</f>
      </c>
      <c r="Q512" s="113">
        <f>Q511</f>
      </c>
      <c r="R512" s="113">
        <f>R511</f>
      </c>
      <c r="S512" s="113">
        <f>S511</f>
      </c>
      <c r="T512" s="113">
        <f>T511</f>
      </c>
      <c r="U512" s="113">
        <f>U511</f>
      </c>
      <c r="V512" s="113">
        <f>V511&amp;"     "</f>
      </c>
      <c r="W512" s="113">
        <f>W511&amp;"     "</f>
      </c>
      <c r="X512" s="113">
        <f>X511</f>
      </c>
      <c r="Y512" s="113" t="s">
        <v>662</v>
      </c>
    </row>
    <row r="513" ht="50.0" customHeight="true">
      <c r="A513" s="113" t="s">
        <v>22</v>
      </c>
      <c r="B513" s="113" t="s">
        <v>1857</v>
      </c>
      <c r="C513" s="113" t="s">
        <v>1861</v>
      </c>
      <c r="D513" s="113" t="s">
        <v>1861</v>
      </c>
      <c r="E513" s="114" t="s">
        <v>1862</v>
      </c>
      <c r="F513" s="116">
        <f>"     "&amp;F511</f>
      </c>
      <c r="G513" s="113" t="s">
        <v>690</v>
      </c>
      <c r="H513" s="113" t="s">
        <v>103</v>
      </c>
      <c r="I513" s="113">
        <f>I511</f>
      </c>
      <c r="J513" s="113">
        <f>J511&amp;"     "</f>
      </c>
      <c r="K513" s="113" t="s">
        <v>81</v>
      </c>
      <c r="L513" s="113">
        <f>L511</f>
      </c>
      <c r="M513" s="113">
        <f>M511</f>
      </c>
      <c r="N513" s="113">
        <f>N511</f>
      </c>
      <c r="O513" s="113">
        <f>O511</f>
      </c>
      <c r="P513" s="113">
        <f>P511</f>
      </c>
      <c r="Q513" s="113">
        <f>Q511</f>
      </c>
      <c r="R513" s="113">
        <f>R511</f>
      </c>
      <c r="S513" s="113">
        <f>S511</f>
      </c>
      <c r="T513" s="113">
        <f>T511</f>
      </c>
      <c r="U513" s="113">
        <f>U511</f>
      </c>
      <c r="V513" s="113">
        <f>V511&amp;"     "</f>
      </c>
      <c r="W513" s="113">
        <f>W511&amp;"     "</f>
      </c>
      <c r="X513" s="113">
        <f>X511</f>
      </c>
      <c r="Y513" s="113" t="s">
        <v>662</v>
      </c>
    </row>
    <row r="514" ht="50.0" customHeight="true">
      <c r="A514" s="113" t="s">
        <v>22</v>
      </c>
      <c r="B514" s="113" t="s">
        <v>1863</v>
      </c>
      <c r="C514" s="113"/>
      <c r="D514" s="113"/>
      <c r="E514" s="113" t="s">
        <v>22</v>
      </c>
      <c r="F514" s="113" t="s">
        <v>369</v>
      </c>
      <c r="G514" s="113" t="s">
        <v>103</v>
      </c>
      <c r="H514" s="113" t="s">
        <v>103</v>
      </c>
      <c r="I514" s="115" t="n">
        <v>477.09</v>
      </c>
      <c r="J514" s="115" t="s">
        <v>80</v>
      </c>
      <c r="K514" s="113" t="s">
        <v>81</v>
      </c>
      <c r="L514" s="115" t="n">
        <v>458.28</v>
      </c>
      <c r="M514" s="115" t="n">
        <v>3.0</v>
      </c>
      <c r="N514" s="115"/>
      <c r="O514" s="115"/>
      <c r="P514" s="115"/>
      <c r="Q514" s="115"/>
      <c r="R514" s="115"/>
      <c r="S514" s="115"/>
      <c r="T514" s="115"/>
      <c r="U514" s="115"/>
      <c r="V514" s="115" t="s">
        <v>82</v>
      </c>
      <c r="W514" s="115" t="s">
        <v>92</v>
      </c>
      <c r="X514" s="113">
        <f>IF(INDIRECT("W514")="Clássico","12%",IF(INDIRECT("W514")="Premium","17%","-"))</f>
      </c>
      <c r="Y514" s="113" t="s">
        <v>300</v>
      </c>
    </row>
    <row r="515" ht="50.0" customHeight="true">
      <c r="A515" s="113" t="s">
        <v>22</v>
      </c>
      <c r="B515" s="113" t="s">
        <v>1863</v>
      </c>
      <c r="C515" s="113" t="s">
        <v>1864</v>
      </c>
      <c r="D515" s="113" t="s">
        <v>1864</v>
      </c>
      <c r="E515" s="114" t="s">
        <v>312</v>
      </c>
      <c r="F515" s="116">
        <f>"     "&amp;F514</f>
      </c>
      <c r="G515" s="113" t="s">
        <v>313</v>
      </c>
      <c r="H515" s="113" t="s">
        <v>103</v>
      </c>
      <c r="I515" s="113">
        <f>I514</f>
      </c>
      <c r="J515" s="113">
        <f>J514&amp;"     "</f>
      </c>
      <c r="K515" s="113" t="s">
        <v>81</v>
      </c>
      <c r="L515" s="113">
        <f>L514</f>
      </c>
      <c r="M515" s="113">
        <f>M514</f>
      </c>
      <c r="N515" s="113">
        <f>N514</f>
      </c>
      <c r="O515" s="113">
        <f>O514</f>
      </c>
      <c r="P515" s="113">
        <f>P514</f>
      </c>
      <c r="Q515" s="113">
        <f>Q514</f>
      </c>
      <c r="R515" s="113">
        <f>R514</f>
      </c>
      <c r="S515" s="113">
        <f>S514</f>
      </c>
      <c r="T515" s="113">
        <f>T514</f>
      </c>
      <c r="U515" s="113">
        <f>U514</f>
      </c>
      <c r="V515" s="113">
        <f>V514&amp;"     "</f>
      </c>
      <c r="W515" s="113">
        <f>W514&amp;"     "</f>
      </c>
      <c r="X515" s="113">
        <f>X514</f>
      </c>
      <c r="Y515" s="113" t="s">
        <v>300</v>
      </c>
    </row>
    <row r="516" ht="50.0" customHeight="true">
      <c r="A516" s="113" t="s">
        <v>22</v>
      </c>
      <c r="B516" s="113" t="s">
        <v>1863</v>
      </c>
      <c r="C516" s="113" t="s">
        <v>1865</v>
      </c>
      <c r="D516" s="113" t="s">
        <v>1865</v>
      </c>
      <c r="E516" s="114" t="s">
        <v>318</v>
      </c>
      <c r="F516" s="116">
        <f>"     "&amp;F514</f>
      </c>
      <c r="G516" s="113" t="s">
        <v>319</v>
      </c>
      <c r="H516" s="113" t="s">
        <v>103</v>
      </c>
      <c r="I516" s="113">
        <f>I514</f>
      </c>
      <c r="J516" s="113">
        <f>J514&amp;"     "</f>
      </c>
      <c r="K516" s="113" t="s">
        <v>81</v>
      </c>
      <c r="L516" s="113">
        <f>L514</f>
      </c>
      <c r="M516" s="113">
        <f>M514</f>
      </c>
      <c r="N516" s="113">
        <f>N514</f>
      </c>
      <c r="O516" s="113">
        <f>O514</f>
      </c>
      <c r="P516" s="113">
        <f>P514</f>
      </c>
      <c r="Q516" s="113">
        <f>Q514</f>
      </c>
      <c r="R516" s="113">
        <f>R514</f>
      </c>
      <c r="S516" s="113">
        <f>S514</f>
      </c>
      <c r="T516" s="113">
        <f>T514</f>
      </c>
      <c r="U516" s="113">
        <f>U514</f>
      </c>
      <c r="V516" s="113">
        <f>V514&amp;"     "</f>
      </c>
      <c r="W516" s="113">
        <f>W514&amp;"     "</f>
      </c>
      <c r="X516" s="113">
        <f>X514</f>
      </c>
      <c r="Y516" s="113" t="s">
        <v>300</v>
      </c>
    </row>
    <row r="517" ht="50.0" customHeight="true">
      <c r="A517" s="113" t="s">
        <v>22</v>
      </c>
      <c r="B517" s="113" t="s">
        <v>1863</v>
      </c>
      <c r="C517" s="113" t="s">
        <v>1866</v>
      </c>
      <c r="D517" s="113" t="s">
        <v>1866</v>
      </c>
      <c r="E517" s="114" t="s">
        <v>306</v>
      </c>
      <c r="F517" s="116">
        <f>"     "&amp;F514</f>
      </c>
      <c r="G517" s="113" t="s">
        <v>307</v>
      </c>
      <c r="H517" s="113" t="s">
        <v>103</v>
      </c>
      <c r="I517" s="113">
        <f>I514</f>
      </c>
      <c r="J517" s="113">
        <f>J514&amp;"     "</f>
      </c>
      <c r="K517" s="113" t="s">
        <v>81</v>
      </c>
      <c r="L517" s="113">
        <f>L514</f>
      </c>
      <c r="M517" s="113">
        <f>M514</f>
      </c>
      <c r="N517" s="113">
        <f>N514</f>
      </c>
      <c r="O517" s="113">
        <f>O514</f>
      </c>
      <c r="P517" s="113">
        <f>P514</f>
      </c>
      <c r="Q517" s="113">
        <f>Q514</f>
      </c>
      <c r="R517" s="113">
        <f>R514</f>
      </c>
      <c r="S517" s="113">
        <f>S514</f>
      </c>
      <c r="T517" s="113">
        <f>T514</f>
      </c>
      <c r="U517" s="113">
        <f>U514</f>
      </c>
      <c r="V517" s="113">
        <f>V514&amp;"     "</f>
      </c>
      <c r="W517" s="113">
        <f>W514&amp;"     "</f>
      </c>
      <c r="X517" s="113">
        <f>X514</f>
      </c>
      <c r="Y517" s="113" t="s">
        <v>300</v>
      </c>
    </row>
    <row r="518" ht="50.0" customHeight="true">
      <c r="A518" s="113" t="s">
        <v>22</v>
      </c>
      <c r="B518" s="113" t="s">
        <v>1863</v>
      </c>
      <c r="C518" s="113" t="s">
        <v>1867</v>
      </c>
      <c r="D518" s="113" t="s">
        <v>1867</v>
      </c>
      <c r="E518" s="114" t="s">
        <v>321</v>
      </c>
      <c r="F518" s="116">
        <f>"     "&amp;F514</f>
      </c>
      <c r="G518" s="113" t="s">
        <v>322</v>
      </c>
      <c r="H518" s="113" t="s">
        <v>103</v>
      </c>
      <c r="I518" s="113">
        <f>I514</f>
      </c>
      <c r="J518" s="113">
        <f>J514&amp;"     "</f>
      </c>
      <c r="K518" s="113" t="s">
        <v>81</v>
      </c>
      <c r="L518" s="113">
        <f>L514</f>
      </c>
      <c r="M518" s="113">
        <f>M514</f>
      </c>
      <c r="N518" s="113">
        <f>N514</f>
      </c>
      <c r="O518" s="113">
        <f>O514</f>
      </c>
      <c r="P518" s="113">
        <f>P514</f>
      </c>
      <c r="Q518" s="113">
        <f>Q514</f>
      </c>
      <c r="R518" s="113">
        <f>R514</f>
      </c>
      <c r="S518" s="113">
        <f>S514</f>
      </c>
      <c r="T518" s="113">
        <f>T514</f>
      </c>
      <c r="U518" s="113">
        <f>U514</f>
      </c>
      <c r="V518" s="113">
        <f>V514&amp;"     "</f>
      </c>
      <c r="W518" s="113">
        <f>W514&amp;"     "</f>
      </c>
      <c r="X518" s="113">
        <f>X514</f>
      </c>
      <c r="Y518" s="113" t="s">
        <v>300</v>
      </c>
    </row>
    <row r="519" ht="50.0" customHeight="true">
      <c r="A519" s="113" t="s">
        <v>22</v>
      </c>
      <c r="B519" s="113" t="s">
        <v>1863</v>
      </c>
      <c r="C519" s="113" t="s">
        <v>1868</v>
      </c>
      <c r="D519" s="113" t="s">
        <v>1868</v>
      </c>
      <c r="E519" s="114" t="s">
        <v>309</v>
      </c>
      <c r="F519" s="116">
        <f>"     "&amp;F514</f>
      </c>
      <c r="G519" s="113" t="s">
        <v>375</v>
      </c>
      <c r="H519" s="113" t="s">
        <v>103</v>
      </c>
      <c r="I519" s="113">
        <f>I514</f>
      </c>
      <c r="J519" s="113">
        <f>J514&amp;"     "</f>
      </c>
      <c r="K519" s="113" t="s">
        <v>81</v>
      </c>
      <c r="L519" s="113">
        <f>L514</f>
      </c>
      <c r="M519" s="113">
        <f>M514</f>
      </c>
      <c r="N519" s="113">
        <f>N514</f>
      </c>
      <c r="O519" s="113">
        <f>O514</f>
      </c>
      <c r="P519" s="113">
        <f>P514</f>
      </c>
      <c r="Q519" s="113">
        <f>Q514</f>
      </c>
      <c r="R519" s="113">
        <f>R514</f>
      </c>
      <c r="S519" s="113">
        <f>S514</f>
      </c>
      <c r="T519" s="113">
        <f>T514</f>
      </c>
      <c r="U519" s="113">
        <f>U514</f>
      </c>
      <c r="V519" s="113">
        <f>V514&amp;"     "</f>
      </c>
      <c r="W519" s="113">
        <f>W514&amp;"     "</f>
      </c>
      <c r="X519" s="113">
        <f>X514</f>
      </c>
      <c r="Y519" s="113" t="s">
        <v>300</v>
      </c>
    </row>
    <row r="520" ht="50.0" customHeight="true">
      <c r="A520" s="113" t="s">
        <v>22</v>
      </c>
      <c r="B520" s="113" t="s">
        <v>1863</v>
      </c>
      <c r="C520" s="113" t="s">
        <v>1869</v>
      </c>
      <c r="D520" s="113" t="s">
        <v>1869</v>
      </c>
      <c r="E520" s="114" t="s">
        <v>315</v>
      </c>
      <c r="F520" s="116">
        <f>"     "&amp;F514</f>
      </c>
      <c r="G520" s="113" t="s">
        <v>377</v>
      </c>
      <c r="H520" s="113" t="s">
        <v>103</v>
      </c>
      <c r="I520" s="113">
        <f>I514</f>
      </c>
      <c r="J520" s="113">
        <f>J514&amp;"     "</f>
      </c>
      <c r="K520" s="113" t="s">
        <v>81</v>
      </c>
      <c r="L520" s="113">
        <f>L514</f>
      </c>
      <c r="M520" s="113">
        <f>M514</f>
      </c>
      <c r="N520" s="113">
        <f>N514</f>
      </c>
      <c r="O520" s="113">
        <f>O514</f>
      </c>
      <c r="P520" s="113">
        <f>P514</f>
      </c>
      <c r="Q520" s="113">
        <f>Q514</f>
      </c>
      <c r="R520" s="113">
        <f>R514</f>
      </c>
      <c r="S520" s="113">
        <f>S514</f>
      </c>
      <c r="T520" s="113">
        <f>T514</f>
      </c>
      <c r="U520" s="113">
        <f>U514</f>
      </c>
      <c r="V520" s="113">
        <f>V514&amp;"     "</f>
      </c>
      <c r="W520" s="113">
        <f>W514&amp;"     "</f>
      </c>
      <c r="X520" s="113">
        <f>X514</f>
      </c>
      <c r="Y520" s="113" t="s">
        <v>300</v>
      </c>
    </row>
    <row r="521" ht="50.0" customHeight="true">
      <c r="A521" s="113" t="s">
        <v>22</v>
      </c>
      <c r="B521" s="113" t="s">
        <v>1863</v>
      </c>
      <c r="C521" s="113" t="s">
        <v>1870</v>
      </c>
      <c r="D521" s="113" t="s">
        <v>1870</v>
      </c>
      <c r="E521" s="114" t="s">
        <v>302</v>
      </c>
      <c r="F521" s="116">
        <f>"     "&amp;F514</f>
      </c>
      <c r="G521" s="113" t="s">
        <v>303</v>
      </c>
      <c r="H521" s="113" t="s">
        <v>103</v>
      </c>
      <c r="I521" s="113">
        <f>I514</f>
      </c>
      <c r="J521" s="113">
        <f>J514&amp;"     "</f>
      </c>
      <c r="K521" s="113" t="s">
        <v>81</v>
      </c>
      <c r="L521" s="113">
        <f>L514</f>
      </c>
      <c r="M521" s="113">
        <f>M514</f>
      </c>
      <c r="N521" s="113">
        <f>N514</f>
      </c>
      <c r="O521" s="113">
        <f>O514</f>
      </c>
      <c r="P521" s="113">
        <f>P514</f>
      </c>
      <c r="Q521" s="113">
        <f>Q514</f>
      </c>
      <c r="R521" s="113">
        <f>R514</f>
      </c>
      <c r="S521" s="113">
        <f>S514</f>
      </c>
      <c r="T521" s="113">
        <f>T514</f>
      </c>
      <c r="U521" s="113">
        <f>U514</f>
      </c>
      <c r="V521" s="113">
        <f>V514&amp;"     "</f>
      </c>
      <c r="W521" s="113">
        <f>W514&amp;"     "</f>
      </c>
      <c r="X521" s="113">
        <f>X514</f>
      </c>
      <c r="Y521" s="113" t="s">
        <v>300</v>
      </c>
    </row>
    <row r="522" ht="50.0" customHeight="true">
      <c r="A522" s="113" t="s">
        <v>22</v>
      </c>
      <c r="B522" s="113" t="s">
        <v>1863</v>
      </c>
      <c r="C522" s="113" t="s">
        <v>1871</v>
      </c>
      <c r="D522" s="113" t="s">
        <v>1871</v>
      </c>
      <c r="E522" s="114" t="s">
        <v>324</v>
      </c>
      <c r="F522" s="116">
        <f>"     "&amp;F514</f>
      </c>
      <c r="G522" s="113" t="s">
        <v>325</v>
      </c>
      <c r="H522" s="113" t="s">
        <v>103</v>
      </c>
      <c r="I522" s="113">
        <f>I514</f>
      </c>
      <c r="J522" s="113">
        <f>J514&amp;"     "</f>
      </c>
      <c r="K522" s="113" t="s">
        <v>81</v>
      </c>
      <c r="L522" s="113">
        <f>L514</f>
      </c>
      <c r="M522" s="113">
        <f>M514</f>
      </c>
      <c r="N522" s="113">
        <f>N514</f>
      </c>
      <c r="O522" s="113">
        <f>O514</f>
      </c>
      <c r="P522" s="113">
        <f>P514</f>
      </c>
      <c r="Q522" s="113">
        <f>Q514</f>
      </c>
      <c r="R522" s="113">
        <f>R514</f>
      </c>
      <c r="S522" s="113">
        <f>S514</f>
      </c>
      <c r="T522" s="113">
        <f>T514</f>
      </c>
      <c r="U522" s="113">
        <f>U514</f>
      </c>
      <c r="V522" s="113">
        <f>V514&amp;"     "</f>
      </c>
      <c r="W522" s="113">
        <f>W514&amp;"     "</f>
      </c>
      <c r="X522" s="113">
        <f>X514</f>
      </c>
      <c r="Y522" s="113" t="s">
        <v>300</v>
      </c>
    </row>
    <row r="523" ht="50.0" customHeight="true">
      <c r="A523" s="113" t="s">
        <v>22</v>
      </c>
      <c r="B523" s="113" t="s">
        <v>1863</v>
      </c>
      <c r="C523" s="113" t="s">
        <v>1872</v>
      </c>
      <c r="D523" s="113" t="s">
        <v>1872</v>
      </c>
      <c r="E523" s="114" t="s">
        <v>327</v>
      </c>
      <c r="F523" s="116">
        <f>"     "&amp;F514</f>
      </c>
      <c r="G523" s="113" t="s">
        <v>328</v>
      </c>
      <c r="H523" s="113" t="s">
        <v>103</v>
      </c>
      <c r="I523" s="113">
        <f>I514</f>
      </c>
      <c r="J523" s="113">
        <f>J514&amp;"     "</f>
      </c>
      <c r="K523" s="113" t="s">
        <v>81</v>
      </c>
      <c r="L523" s="113">
        <f>L514</f>
      </c>
      <c r="M523" s="113">
        <f>M514</f>
      </c>
      <c r="N523" s="113">
        <f>N514</f>
      </c>
      <c r="O523" s="113">
        <f>O514</f>
      </c>
      <c r="P523" s="113">
        <f>P514</f>
      </c>
      <c r="Q523" s="113">
        <f>Q514</f>
      </c>
      <c r="R523" s="113">
        <f>R514</f>
      </c>
      <c r="S523" s="113">
        <f>S514</f>
      </c>
      <c r="T523" s="113">
        <f>T514</f>
      </c>
      <c r="U523" s="113">
        <f>U514</f>
      </c>
      <c r="V523" s="113">
        <f>V514&amp;"     "</f>
      </c>
      <c r="W523" s="113">
        <f>W514&amp;"     "</f>
      </c>
      <c r="X523" s="113">
        <f>X514</f>
      </c>
      <c r="Y523" s="113" t="s">
        <v>300</v>
      </c>
    </row>
    <row r="524" ht="50.0" customHeight="true">
      <c r="A524" s="113" t="s">
        <v>22</v>
      </c>
      <c r="B524" s="113" t="s">
        <v>1863</v>
      </c>
      <c r="C524" s="113" t="s">
        <v>1873</v>
      </c>
      <c r="D524" s="113" t="s">
        <v>1873</v>
      </c>
      <c r="E524" s="114" t="s">
        <v>330</v>
      </c>
      <c r="F524" s="116">
        <f>"     "&amp;F514</f>
      </c>
      <c r="G524" s="113" t="s">
        <v>331</v>
      </c>
      <c r="H524" s="113" t="s">
        <v>103</v>
      </c>
      <c r="I524" s="113">
        <f>I514</f>
      </c>
      <c r="J524" s="113">
        <f>J514&amp;"     "</f>
      </c>
      <c r="K524" s="113" t="s">
        <v>81</v>
      </c>
      <c r="L524" s="113">
        <f>L514</f>
      </c>
      <c r="M524" s="113">
        <f>M514</f>
      </c>
      <c r="N524" s="113">
        <f>N514</f>
      </c>
      <c r="O524" s="113">
        <f>O514</f>
      </c>
      <c r="P524" s="113">
        <f>P514</f>
      </c>
      <c r="Q524" s="113">
        <f>Q514</f>
      </c>
      <c r="R524" s="113">
        <f>R514</f>
      </c>
      <c r="S524" s="113">
        <f>S514</f>
      </c>
      <c r="T524" s="113">
        <f>T514</f>
      </c>
      <c r="U524" s="113">
        <f>U514</f>
      </c>
      <c r="V524" s="113">
        <f>V514&amp;"     "</f>
      </c>
      <c r="W524" s="113">
        <f>W514&amp;"     "</f>
      </c>
      <c r="X524" s="113">
        <f>X514</f>
      </c>
      <c r="Y524" s="113" t="s">
        <v>300</v>
      </c>
    </row>
    <row r="525" ht="50.0" customHeight="true">
      <c r="A525" s="113" t="s">
        <v>22</v>
      </c>
      <c r="B525" s="113" t="s">
        <v>1863</v>
      </c>
      <c r="C525" s="113" t="s">
        <v>1874</v>
      </c>
      <c r="D525" s="113" t="s">
        <v>1874</v>
      </c>
      <c r="E525" s="114" t="s">
        <v>333</v>
      </c>
      <c r="F525" s="116">
        <f>"     "&amp;F514</f>
      </c>
      <c r="G525" s="113" t="s">
        <v>334</v>
      </c>
      <c r="H525" s="113" t="s">
        <v>103</v>
      </c>
      <c r="I525" s="113">
        <f>I514</f>
      </c>
      <c r="J525" s="113">
        <f>J514&amp;"     "</f>
      </c>
      <c r="K525" s="113" t="s">
        <v>81</v>
      </c>
      <c r="L525" s="113">
        <f>L514</f>
      </c>
      <c r="M525" s="113">
        <f>M514</f>
      </c>
      <c r="N525" s="113">
        <f>N514</f>
      </c>
      <c r="O525" s="113">
        <f>O514</f>
      </c>
      <c r="P525" s="113">
        <f>P514</f>
      </c>
      <c r="Q525" s="113">
        <f>Q514</f>
      </c>
      <c r="R525" s="113">
        <f>R514</f>
      </c>
      <c r="S525" s="113">
        <f>S514</f>
      </c>
      <c r="T525" s="113">
        <f>T514</f>
      </c>
      <c r="U525" s="113">
        <f>U514</f>
      </c>
      <c r="V525" s="113">
        <f>V514&amp;"     "</f>
      </c>
      <c r="W525" s="113">
        <f>W514&amp;"     "</f>
      </c>
      <c r="X525" s="113">
        <f>X514</f>
      </c>
      <c r="Y525" s="113" t="s">
        <v>300</v>
      </c>
    </row>
    <row r="526" ht="50.0" customHeight="true">
      <c r="A526" s="113" t="s">
        <v>22</v>
      </c>
      <c r="B526" s="113" t="s">
        <v>1863</v>
      </c>
      <c r="C526" s="113" t="s">
        <v>1875</v>
      </c>
      <c r="D526" s="113" t="s">
        <v>1875</v>
      </c>
      <c r="E526" s="114" t="s">
        <v>336</v>
      </c>
      <c r="F526" s="116">
        <f>"     "&amp;F514</f>
      </c>
      <c r="G526" s="113" t="s">
        <v>337</v>
      </c>
      <c r="H526" s="113" t="s">
        <v>103</v>
      </c>
      <c r="I526" s="113">
        <f>I514</f>
      </c>
      <c r="J526" s="113">
        <f>J514&amp;"     "</f>
      </c>
      <c r="K526" s="113" t="s">
        <v>81</v>
      </c>
      <c r="L526" s="113">
        <f>L514</f>
      </c>
      <c r="M526" s="113">
        <f>M514</f>
      </c>
      <c r="N526" s="113">
        <f>N514</f>
      </c>
      <c r="O526" s="113">
        <f>O514</f>
      </c>
      <c r="P526" s="113">
        <f>P514</f>
      </c>
      <c r="Q526" s="113">
        <f>Q514</f>
      </c>
      <c r="R526" s="113">
        <f>R514</f>
      </c>
      <c r="S526" s="113">
        <f>S514</f>
      </c>
      <c r="T526" s="113">
        <f>T514</f>
      </c>
      <c r="U526" s="113">
        <f>U514</f>
      </c>
      <c r="V526" s="113">
        <f>V514&amp;"     "</f>
      </c>
      <c r="W526" s="113">
        <f>W514&amp;"     "</f>
      </c>
      <c r="X526" s="113">
        <f>X514</f>
      </c>
      <c r="Y526" s="113" t="s">
        <v>300</v>
      </c>
    </row>
    <row r="527" ht="50.0" customHeight="true">
      <c r="A527" s="113" t="s">
        <v>1876</v>
      </c>
      <c r="B527" s="113" t="s">
        <v>1877</v>
      </c>
      <c r="C527" s="113" t="s">
        <v>1878</v>
      </c>
      <c r="D527" s="113"/>
      <c r="E527" s="114" t="s">
        <v>726</v>
      </c>
      <c r="F527" s="113" t="s">
        <v>1879</v>
      </c>
      <c r="G527" s="113" t="s">
        <v>1879</v>
      </c>
      <c r="H527" s="113" t="s">
        <v>103</v>
      </c>
      <c r="I527" s="115" t="n">
        <v>882.16</v>
      </c>
      <c r="J527" s="115" t="s">
        <v>80</v>
      </c>
      <c r="K527" s="115" t="s">
        <v>81</v>
      </c>
      <c r="L527" s="115" t="n">
        <v>850.58</v>
      </c>
      <c r="M527" s="115" t="n">
        <v>3.0</v>
      </c>
      <c r="N527" s="115"/>
      <c r="O527" s="115"/>
      <c r="P527" s="115"/>
      <c r="Q527" s="115"/>
      <c r="R527" s="115"/>
      <c r="S527" s="115"/>
      <c r="T527" s="115"/>
      <c r="U527" s="115"/>
      <c r="V527" s="115" t="s">
        <v>82</v>
      </c>
      <c r="W527" s="115" t="s">
        <v>83</v>
      </c>
      <c r="X527" s="113">
        <f>IF(INDIRECT("W527")="Clássico","12%",IF(INDIRECT("W527")="Premium","17%","-"))</f>
      </c>
      <c r="Y527" s="113" t="s">
        <v>1880</v>
      </c>
    </row>
    <row r="528" ht="50.0" customHeight="true">
      <c r="A528" s="113" t="s">
        <v>1881</v>
      </c>
      <c r="B528" s="113" t="s">
        <v>1882</v>
      </c>
      <c r="C528" s="113" t="s">
        <v>1883</v>
      </c>
      <c r="D528" s="113"/>
      <c r="E528" s="114" t="s">
        <v>1772</v>
      </c>
      <c r="F528" s="113" t="s">
        <v>1884</v>
      </c>
      <c r="G528" s="113" t="s">
        <v>1884</v>
      </c>
      <c r="H528" s="113" t="s">
        <v>103</v>
      </c>
      <c r="I528" s="115" t="n">
        <v>950.52</v>
      </c>
      <c r="J528" s="115" t="s">
        <v>80</v>
      </c>
      <c r="K528" s="115" t="s">
        <v>81</v>
      </c>
      <c r="L528" s="115" t="n">
        <v>761.97</v>
      </c>
      <c r="M528" s="115" t="n">
        <v>3.0</v>
      </c>
      <c r="N528" s="115"/>
      <c r="O528" s="115"/>
      <c r="P528" s="115"/>
      <c r="Q528" s="115"/>
      <c r="R528" s="115"/>
      <c r="S528" s="115"/>
      <c r="T528" s="115"/>
      <c r="U528" s="115"/>
      <c r="V528" s="115" t="s">
        <v>82</v>
      </c>
      <c r="W528" s="115" t="s">
        <v>83</v>
      </c>
      <c r="X528" s="113">
        <f>IF(INDIRECT("W528")="Clássico","12%",IF(INDIRECT("W528")="Premium","17%","-"))</f>
      </c>
      <c r="Y528" s="113" t="s">
        <v>1774</v>
      </c>
    </row>
    <row r="529" ht="50.0" customHeight="true">
      <c r="A529" s="113" t="s">
        <v>1885</v>
      </c>
      <c r="B529" s="113" t="s">
        <v>1886</v>
      </c>
      <c r="C529" s="113" t="s">
        <v>1887</v>
      </c>
      <c r="D529" s="113"/>
      <c r="E529" s="114" t="s">
        <v>1657</v>
      </c>
      <c r="F529" s="113" t="s">
        <v>1888</v>
      </c>
      <c r="G529" s="113" t="s">
        <v>1888</v>
      </c>
      <c r="H529" s="113" t="s">
        <v>103</v>
      </c>
      <c r="I529" s="115" t="n">
        <v>175.94</v>
      </c>
      <c r="J529" s="115" t="s">
        <v>80</v>
      </c>
      <c r="K529" s="115" t="s">
        <v>81</v>
      </c>
      <c r="L529" s="115" t="n">
        <v>170.94</v>
      </c>
      <c r="M529" s="115" t="n">
        <v>3.0</v>
      </c>
      <c r="N529" s="115"/>
      <c r="O529" s="115"/>
      <c r="P529" s="115"/>
      <c r="Q529" s="115"/>
      <c r="R529" s="115"/>
      <c r="S529" s="115"/>
      <c r="T529" s="115"/>
      <c r="U529" s="115"/>
      <c r="V529" s="115" t="s">
        <v>82</v>
      </c>
      <c r="W529" s="115" t="s">
        <v>83</v>
      </c>
      <c r="X529" s="113">
        <f>IF(INDIRECT("W529")="Clássico","12%",IF(INDIRECT("W529")="Premium","17%","-"))</f>
      </c>
      <c r="Y529" s="113" t="s">
        <v>1659</v>
      </c>
    </row>
    <row r="530" ht="50.0" customHeight="true">
      <c r="A530" s="113" t="s">
        <v>1033</v>
      </c>
      <c r="B530" s="113" t="s">
        <v>1889</v>
      </c>
      <c r="C530" s="113" t="s">
        <v>1035</v>
      </c>
      <c r="D530" s="113"/>
      <c r="E530" s="114" t="s">
        <v>588</v>
      </c>
      <c r="F530" s="113" t="s">
        <v>1890</v>
      </c>
      <c r="G530" s="113" t="s">
        <v>1890</v>
      </c>
      <c r="H530" s="113" t="s">
        <v>103</v>
      </c>
      <c r="I530" s="115" t="n">
        <v>88.48</v>
      </c>
      <c r="J530" s="115" t="s">
        <v>80</v>
      </c>
      <c r="K530" s="115" t="s">
        <v>81</v>
      </c>
      <c r="L530" s="115" t="n">
        <v>114.74</v>
      </c>
      <c r="M530" s="115" t="n">
        <v>3.0</v>
      </c>
      <c r="N530" s="115"/>
      <c r="O530" s="115"/>
      <c r="P530" s="115"/>
      <c r="Q530" s="115"/>
      <c r="R530" s="115"/>
      <c r="S530" s="115"/>
      <c r="T530" s="115"/>
      <c r="U530" s="115"/>
      <c r="V530" s="115" t="s">
        <v>91</v>
      </c>
      <c r="W530" s="115" t="s">
        <v>83</v>
      </c>
      <c r="X530" s="113">
        <f>IF(INDIRECT("W530")="Clássico","12%",IF(INDIRECT("W530")="Premium","17%","-"))</f>
      </c>
      <c r="Y530" s="113" t="s">
        <v>777</v>
      </c>
    </row>
    <row r="531" ht="50.0" customHeight="true">
      <c r="A531" s="113" t="s">
        <v>1891</v>
      </c>
      <c r="B531" s="113" t="s">
        <v>1892</v>
      </c>
      <c r="C531" s="113" t="s">
        <v>1893</v>
      </c>
      <c r="D531" s="113"/>
      <c r="E531" s="114" t="s">
        <v>983</v>
      </c>
      <c r="F531" s="113" t="s">
        <v>1894</v>
      </c>
      <c r="G531" s="113" t="s">
        <v>1894</v>
      </c>
      <c r="H531" s="113" t="s">
        <v>103</v>
      </c>
      <c r="I531" s="115" t="n">
        <v>70.9</v>
      </c>
      <c r="J531" s="115" t="s">
        <v>80</v>
      </c>
      <c r="K531" s="115" t="s">
        <v>81</v>
      </c>
      <c r="L531" s="115" t="n">
        <v>65.9</v>
      </c>
      <c r="M531" s="115" t="n">
        <v>3.0</v>
      </c>
      <c r="N531" s="115"/>
      <c r="O531" s="115"/>
      <c r="P531" s="115"/>
      <c r="Q531" s="115"/>
      <c r="R531" s="115"/>
      <c r="S531" s="115"/>
      <c r="T531" s="115"/>
      <c r="U531" s="115"/>
      <c r="V531" s="115" t="s">
        <v>91</v>
      </c>
      <c r="W531" s="115" t="s">
        <v>92</v>
      </c>
      <c r="X531" s="113">
        <f>IF(INDIRECT("W531")="Clássico","11.5%",IF(INDIRECT("W531")="Premium","16.5%","-"))</f>
      </c>
      <c r="Y531" s="113" t="s">
        <v>985</v>
      </c>
    </row>
    <row r="532" ht="50.0" customHeight="true">
      <c r="A532" s="113" t="s">
        <v>1895</v>
      </c>
      <c r="B532" s="113" t="s">
        <v>1896</v>
      </c>
      <c r="C532" s="113" t="s">
        <v>1897</v>
      </c>
      <c r="D532" s="113"/>
      <c r="E532" s="114" t="s">
        <v>1701</v>
      </c>
      <c r="F532" s="113" t="s">
        <v>1898</v>
      </c>
      <c r="G532" s="113" t="s">
        <v>1898</v>
      </c>
      <c r="H532" s="113" t="s">
        <v>103</v>
      </c>
      <c r="I532" s="115" t="n">
        <v>387.9</v>
      </c>
      <c r="J532" s="115" t="s">
        <v>80</v>
      </c>
      <c r="K532" s="115" t="s">
        <v>81</v>
      </c>
      <c r="L532" s="115" t="n">
        <v>180.9</v>
      </c>
      <c r="M532" s="115" t="n">
        <v>3.0</v>
      </c>
      <c r="N532" s="115"/>
      <c r="O532" s="115"/>
      <c r="P532" s="115"/>
      <c r="Q532" s="115"/>
      <c r="R532" s="115"/>
      <c r="S532" s="115"/>
      <c r="T532" s="115"/>
      <c r="U532" s="115"/>
      <c r="V532" s="115" t="s">
        <v>82</v>
      </c>
      <c r="W532" s="115" t="s">
        <v>83</v>
      </c>
      <c r="X532" s="113">
        <f>IF(INDIRECT("W532")="Clássico","12%",IF(INDIRECT("W532")="Premium","17%","-"))</f>
      </c>
      <c r="Y532" s="113" t="s">
        <v>1473</v>
      </c>
    </row>
    <row r="533" ht="50.0" customHeight="true">
      <c r="A533" s="113" t="s">
        <v>1899</v>
      </c>
      <c r="B533" s="113" t="s">
        <v>1900</v>
      </c>
      <c r="C533" s="113" t="s">
        <v>1901</v>
      </c>
      <c r="D533" s="113"/>
      <c r="E533" s="114" t="s">
        <v>1471</v>
      </c>
      <c r="F533" s="113" t="s">
        <v>1902</v>
      </c>
      <c r="G533" s="113" t="s">
        <v>1903</v>
      </c>
      <c r="H533" s="113" t="s">
        <v>103</v>
      </c>
      <c r="I533" s="115" t="n">
        <v>249.24</v>
      </c>
      <c r="J533" s="115" t="s">
        <v>80</v>
      </c>
      <c r="K533" s="115" t="s">
        <v>81</v>
      </c>
      <c r="L533" s="115" t="n">
        <v>244.24</v>
      </c>
      <c r="M533" s="115" t="n">
        <v>3.0</v>
      </c>
      <c r="N533" s="115"/>
      <c r="O533" s="115"/>
      <c r="P533" s="115"/>
      <c r="Q533" s="115"/>
      <c r="R533" s="115"/>
      <c r="S533" s="115"/>
      <c r="T533" s="115"/>
      <c r="U533" s="115"/>
      <c r="V533" s="115" t="s">
        <v>82</v>
      </c>
      <c r="W533" s="115" t="s">
        <v>92</v>
      </c>
      <c r="X533" s="113">
        <f>IF(INDIRECT("W533")="Clássico","12%",IF(INDIRECT("W533")="Premium","17%","-"))</f>
      </c>
      <c r="Y533" s="113" t="s">
        <v>1904</v>
      </c>
    </row>
    <row r="534" ht="50.0" customHeight="true">
      <c r="A534" s="113" t="s">
        <v>1905</v>
      </c>
      <c r="B534" s="113" t="s">
        <v>1906</v>
      </c>
      <c r="C534" s="113" t="s">
        <v>1907</v>
      </c>
      <c r="D534" s="113"/>
      <c r="E534" s="114" t="s">
        <v>1045</v>
      </c>
      <c r="F534" s="113" t="s">
        <v>1908</v>
      </c>
      <c r="G534" s="113" t="s">
        <v>1047</v>
      </c>
      <c r="H534" s="113" t="s">
        <v>103</v>
      </c>
      <c r="I534" s="115" t="n">
        <v>97.34</v>
      </c>
      <c r="J534" s="115" t="s">
        <v>80</v>
      </c>
      <c r="K534" s="115" t="s">
        <v>81</v>
      </c>
      <c r="L534" s="115" t="n">
        <v>78.5</v>
      </c>
      <c r="M534" s="115" t="n">
        <v>3.0</v>
      </c>
      <c r="N534" s="115"/>
      <c r="O534" s="115"/>
      <c r="P534" s="115"/>
      <c r="Q534" s="115"/>
      <c r="R534" s="115"/>
      <c r="S534" s="115"/>
      <c r="T534" s="115"/>
      <c r="U534" s="115"/>
      <c r="V534" s="115" t="s">
        <v>91</v>
      </c>
      <c r="W534" s="115" t="s">
        <v>83</v>
      </c>
      <c r="X534" s="113">
        <f>IF(INDIRECT("W534")="Clássico","12%",IF(INDIRECT("W534")="Premium","17%","-"))</f>
      </c>
      <c r="Y534" s="113" t="s">
        <v>1048</v>
      </c>
    </row>
    <row r="535" ht="50.0" customHeight="true">
      <c r="A535" s="113" t="s">
        <v>1909</v>
      </c>
      <c r="B535" s="113" t="s">
        <v>1910</v>
      </c>
      <c r="C535" s="113" t="s">
        <v>1911</v>
      </c>
      <c r="D535" s="113"/>
      <c r="E535" s="114" t="s">
        <v>1912</v>
      </c>
      <c r="F535" s="113" t="s">
        <v>1913</v>
      </c>
      <c r="G535" s="113" t="s">
        <v>1913</v>
      </c>
      <c r="H535" s="113" t="s">
        <v>103</v>
      </c>
      <c r="I535" s="115" t="n">
        <v>301.14</v>
      </c>
      <c r="J535" s="115" t="s">
        <v>80</v>
      </c>
      <c r="K535" s="115" t="s">
        <v>81</v>
      </c>
      <c r="L535" s="115" t="n">
        <v>299.94</v>
      </c>
      <c r="M535" s="115" t="n">
        <v>3.0</v>
      </c>
      <c r="N535" s="115"/>
      <c r="O535" s="115"/>
      <c r="P535" s="115"/>
      <c r="Q535" s="115"/>
      <c r="R535" s="115"/>
      <c r="S535" s="115"/>
      <c r="T535" s="115"/>
      <c r="U535" s="115"/>
      <c r="V535" s="115" t="s">
        <v>82</v>
      </c>
      <c r="W535" s="115" t="s">
        <v>92</v>
      </c>
      <c r="X535" s="113">
        <f>IF(INDIRECT("W535")="Clássico","13%",IF(INDIRECT("W535")="Premium","18%","-"))</f>
      </c>
      <c r="Y535" s="113" t="s">
        <v>1914</v>
      </c>
    </row>
    <row r="536" ht="50.0" customHeight="true">
      <c r="A536" s="113" t="s">
        <v>22</v>
      </c>
      <c r="B536" s="113" t="s">
        <v>1915</v>
      </c>
      <c r="C536" s="113"/>
      <c r="D536" s="113"/>
      <c r="E536" s="113" t="s">
        <v>1426</v>
      </c>
      <c r="F536" s="113" t="s">
        <v>1916</v>
      </c>
      <c r="G536" s="113" t="s">
        <v>103</v>
      </c>
      <c r="H536" s="113" t="s">
        <v>103</v>
      </c>
      <c r="I536" s="115" t="n">
        <v>120.13</v>
      </c>
      <c r="J536" s="115" t="s">
        <v>80</v>
      </c>
      <c r="K536" s="113" t="s">
        <v>81</v>
      </c>
      <c r="L536" s="115" t="n">
        <v>121.56</v>
      </c>
      <c r="M536" s="115" t="n">
        <v>3.0</v>
      </c>
      <c r="N536" s="115"/>
      <c r="O536" s="115"/>
      <c r="P536" s="115"/>
      <c r="Q536" s="115"/>
      <c r="R536" s="115"/>
      <c r="S536" s="115"/>
      <c r="T536" s="115"/>
      <c r="U536" s="115"/>
      <c r="V536" s="115" t="s">
        <v>82</v>
      </c>
      <c r="W536" s="115" t="s">
        <v>83</v>
      </c>
      <c r="X536" s="113">
        <f>IF(INDIRECT("W536")="Clássico","12%",IF(INDIRECT("W536")="Premium","17%","-"))</f>
      </c>
      <c r="Y536" s="113" t="s">
        <v>128</v>
      </c>
    </row>
    <row r="537" ht="50.0" customHeight="true">
      <c r="A537" s="113" t="s">
        <v>22</v>
      </c>
      <c r="B537" s="113" t="s">
        <v>1915</v>
      </c>
      <c r="C537" s="113" t="s">
        <v>1917</v>
      </c>
      <c r="D537" s="113" t="s">
        <v>1917</v>
      </c>
      <c r="E537" s="114" t="s">
        <v>1429</v>
      </c>
      <c r="F537" s="116">
        <f>"     "&amp;F536</f>
      </c>
      <c r="G537" s="113" t="s">
        <v>1430</v>
      </c>
      <c r="H537" s="113" t="s">
        <v>103</v>
      </c>
      <c r="I537" s="113">
        <f>I536</f>
      </c>
      <c r="J537" s="113">
        <f>J536&amp;"     "</f>
      </c>
      <c r="K537" s="113" t="s">
        <v>81</v>
      </c>
      <c r="L537" s="113">
        <f>L536</f>
      </c>
      <c r="M537" s="113">
        <f>M536</f>
      </c>
      <c r="N537" s="113">
        <f>N536</f>
      </c>
      <c r="O537" s="113">
        <f>O536</f>
      </c>
      <c r="P537" s="113">
        <f>P536</f>
      </c>
      <c r="Q537" s="113">
        <f>Q536</f>
      </c>
      <c r="R537" s="113">
        <f>R536</f>
      </c>
      <c r="S537" s="113">
        <f>S536</f>
      </c>
      <c r="T537" s="113">
        <f>T536</f>
      </c>
      <c r="U537" s="113">
        <f>U536</f>
      </c>
      <c r="V537" s="113">
        <f>V536&amp;"     "</f>
      </c>
      <c r="W537" s="113">
        <f>W536&amp;"     "</f>
      </c>
      <c r="X537" s="113">
        <f>X536</f>
      </c>
      <c r="Y537" s="113" t="s">
        <v>128</v>
      </c>
    </row>
    <row r="538" ht="50.0" customHeight="true">
      <c r="A538" s="113" t="s">
        <v>22</v>
      </c>
      <c r="B538" s="113" t="s">
        <v>1915</v>
      </c>
      <c r="C538" s="113" t="s">
        <v>1918</v>
      </c>
      <c r="D538" s="113" t="s">
        <v>1918</v>
      </c>
      <c r="E538" s="114" t="s">
        <v>1432</v>
      </c>
      <c r="F538" s="116">
        <f>"     "&amp;F536</f>
      </c>
      <c r="G538" s="113" t="s">
        <v>1433</v>
      </c>
      <c r="H538" s="113" t="s">
        <v>103</v>
      </c>
      <c r="I538" s="113">
        <f>I536</f>
      </c>
      <c r="J538" s="113">
        <f>J536&amp;"     "</f>
      </c>
      <c r="K538" s="113" t="s">
        <v>81</v>
      </c>
      <c r="L538" s="113">
        <f>L536</f>
      </c>
      <c r="M538" s="113">
        <f>M536</f>
      </c>
      <c r="N538" s="113">
        <f>N536</f>
      </c>
      <c r="O538" s="113">
        <f>O536</f>
      </c>
      <c r="P538" s="113">
        <f>P536</f>
      </c>
      <c r="Q538" s="113">
        <f>Q536</f>
      </c>
      <c r="R538" s="113">
        <f>R536</f>
      </c>
      <c r="S538" s="113">
        <f>S536</f>
      </c>
      <c r="T538" s="113">
        <f>T536</f>
      </c>
      <c r="U538" s="113">
        <f>U536</f>
      </c>
      <c r="V538" s="113">
        <f>V536&amp;"     "</f>
      </c>
      <c r="W538" s="113">
        <f>W536&amp;"     "</f>
      </c>
      <c r="X538" s="113">
        <f>X536</f>
      </c>
      <c r="Y538" s="113" t="s">
        <v>128</v>
      </c>
    </row>
    <row r="539" ht="50.0" customHeight="true">
      <c r="A539" s="113" t="s">
        <v>1919</v>
      </c>
      <c r="B539" s="113" t="s">
        <v>1920</v>
      </c>
      <c r="C539" s="113" t="s">
        <v>1921</v>
      </c>
      <c r="D539" s="113"/>
      <c r="E539" s="114" t="s">
        <v>1173</v>
      </c>
      <c r="F539" s="113" t="s">
        <v>1922</v>
      </c>
      <c r="G539" s="113" t="s">
        <v>1922</v>
      </c>
      <c r="H539" s="113" t="s">
        <v>103</v>
      </c>
      <c r="I539" s="115" t="n">
        <v>259.37</v>
      </c>
      <c r="J539" s="115" t="s">
        <v>80</v>
      </c>
      <c r="K539" s="115" t="s">
        <v>81</v>
      </c>
      <c r="L539" s="115" t="n">
        <v>229.81</v>
      </c>
      <c r="M539" s="115" t="n">
        <v>3.0</v>
      </c>
      <c r="N539" s="115"/>
      <c r="O539" s="115"/>
      <c r="P539" s="115"/>
      <c r="Q539" s="115"/>
      <c r="R539" s="115"/>
      <c r="S539" s="115"/>
      <c r="T539" s="115"/>
      <c r="U539" s="115"/>
      <c r="V539" s="115" t="s">
        <v>82</v>
      </c>
      <c r="W539" s="115" t="s">
        <v>83</v>
      </c>
      <c r="X539" s="113">
        <f>IF(INDIRECT("W539")="Clássico","12%",IF(INDIRECT("W539")="Premium","17%","-"))</f>
      </c>
      <c r="Y539" s="113" t="s">
        <v>482</v>
      </c>
    </row>
    <row r="540" ht="50.0" customHeight="true">
      <c r="A540" s="113" t="s">
        <v>1923</v>
      </c>
      <c r="B540" s="113" t="s">
        <v>1924</v>
      </c>
      <c r="C540" s="113" t="s">
        <v>1925</v>
      </c>
      <c r="D540" s="113"/>
      <c r="E540" s="114" t="s">
        <v>1926</v>
      </c>
      <c r="F540" s="113" t="s">
        <v>1927</v>
      </c>
      <c r="G540" s="113" t="s">
        <v>1927</v>
      </c>
      <c r="H540" s="113" t="s">
        <v>103</v>
      </c>
      <c r="I540" s="115" t="n">
        <v>61.9</v>
      </c>
      <c r="J540" s="115" t="s">
        <v>80</v>
      </c>
      <c r="K540" s="115" t="s">
        <v>81</v>
      </c>
      <c r="L540" s="115" t="n">
        <v>60.7</v>
      </c>
      <c r="M540" s="115" t="n">
        <v>3.0</v>
      </c>
      <c r="N540" s="115"/>
      <c r="O540" s="115"/>
      <c r="P540" s="115"/>
      <c r="Q540" s="115"/>
      <c r="R540" s="115"/>
      <c r="S540" s="115"/>
      <c r="T540" s="115"/>
      <c r="U540" s="115"/>
      <c r="V540" s="115" t="s">
        <v>91</v>
      </c>
      <c r="W540" s="115" t="s">
        <v>83</v>
      </c>
      <c r="X540" s="113">
        <f>IF(INDIRECT("W540")="Clássico","12%",IF(INDIRECT("W540")="Premium","17%","-"))</f>
      </c>
      <c r="Y540" s="113" t="s">
        <v>1928</v>
      </c>
    </row>
    <row r="541" ht="50.0" customHeight="true">
      <c r="A541" s="113" t="s">
        <v>1929</v>
      </c>
      <c r="B541" s="113" t="s">
        <v>1930</v>
      </c>
      <c r="C541" s="113" t="s">
        <v>1931</v>
      </c>
      <c r="D541" s="113"/>
      <c r="E541" s="114" t="s">
        <v>225</v>
      </c>
      <c r="F541" s="113" t="s">
        <v>1932</v>
      </c>
      <c r="G541" s="113" t="s">
        <v>493</v>
      </c>
      <c r="H541" s="113" t="s">
        <v>103</v>
      </c>
      <c r="I541" s="115" t="n">
        <v>273.29</v>
      </c>
      <c r="J541" s="115" t="s">
        <v>80</v>
      </c>
      <c r="K541" s="115" t="s">
        <v>81</v>
      </c>
      <c r="L541" s="115" t="n">
        <v>260.7</v>
      </c>
      <c r="M541" s="115" t="n">
        <v>3.0</v>
      </c>
      <c r="N541" s="115"/>
      <c r="O541" s="115"/>
      <c r="P541" s="115"/>
      <c r="Q541" s="115"/>
      <c r="R541" s="115"/>
      <c r="S541" s="115"/>
      <c r="T541" s="115"/>
      <c r="U541" s="115"/>
      <c r="V541" s="115" t="s">
        <v>82</v>
      </c>
      <c r="W541" s="115" t="s">
        <v>92</v>
      </c>
      <c r="X541" s="113">
        <f>IF(INDIRECT("W541")="Clássico","12%",IF(INDIRECT("W541")="Premium","17%","-"))</f>
      </c>
      <c r="Y541" s="113" t="s">
        <v>229</v>
      </c>
    </row>
    <row r="542" ht="50.0" customHeight="true">
      <c r="A542" s="113" t="s">
        <v>598</v>
      </c>
      <c r="B542" s="113" t="s">
        <v>1933</v>
      </c>
      <c r="C542" s="113" t="s">
        <v>1934</v>
      </c>
      <c r="D542" s="113"/>
      <c r="E542" s="114" t="s">
        <v>411</v>
      </c>
      <c r="F542" s="113" t="s">
        <v>601</v>
      </c>
      <c r="G542" s="113" t="s">
        <v>1935</v>
      </c>
      <c r="H542" s="113" t="s">
        <v>103</v>
      </c>
      <c r="I542" s="115" t="n">
        <v>440.39</v>
      </c>
      <c r="J542" s="115" t="s">
        <v>80</v>
      </c>
      <c r="K542" s="115" t="s">
        <v>81</v>
      </c>
      <c r="L542" s="115" t="n">
        <v>324.4</v>
      </c>
      <c r="M542" s="115" t="n">
        <v>3.0</v>
      </c>
      <c r="N542" s="115"/>
      <c r="O542" s="115"/>
      <c r="P542" s="115"/>
      <c r="Q542" s="115"/>
      <c r="R542" s="115"/>
      <c r="S542" s="115"/>
      <c r="T542" s="115"/>
      <c r="U542" s="115"/>
      <c r="V542" s="115" t="s">
        <v>82</v>
      </c>
      <c r="W542" s="115" t="s">
        <v>83</v>
      </c>
      <c r="X542" s="113">
        <f>IF(INDIRECT("W542")="Clássico","12%",IF(INDIRECT("W542")="Premium","17%","-"))</f>
      </c>
      <c r="Y542" s="113" t="s">
        <v>414</v>
      </c>
    </row>
    <row r="543" ht="50.0" customHeight="true">
      <c r="A543" s="113" t="s">
        <v>1936</v>
      </c>
      <c r="B543" s="113" t="s">
        <v>1937</v>
      </c>
      <c r="C543" s="113" t="s">
        <v>1938</v>
      </c>
      <c r="D543" s="113"/>
      <c r="E543" s="114" t="s">
        <v>1030</v>
      </c>
      <c r="F543" s="113" t="s">
        <v>1939</v>
      </c>
      <c r="G543" s="113" t="s">
        <v>1939</v>
      </c>
      <c r="H543" s="113" t="s">
        <v>103</v>
      </c>
      <c r="I543" s="115" t="n">
        <v>212.53</v>
      </c>
      <c r="J543" s="115" t="s">
        <v>80</v>
      </c>
      <c r="K543" s="115" t="s">
        <v>81</v>
      </c>
      <c r="L543" s="115" t="n">
        <v>207.53</v>
      </c>
      <c r="M543" s="115" t="n">
        <v>3.0</v>
      </c>
      <c r="N543" s="115"/>
      <c r="O543" s="115"/>
      <c r="P543" s="115"/>
      <c r="Q543" s="115"/>
      <c r="R543" s="115"/>
      <c r="S543" s="115"/>
      <c r="T543" s="115"/>
      <c r="U543" s="115"/>
      <c r="V543" s="115" t="s">
        <v>82</v>
      </c>
      <c r="W543" s="115" t="s">
        <v>83</v>
      </c>
      <c r="X543" s="113">
        <f>IF(INDIRECT("W543")="Clássico","12%",IF(INDIRECT("W543")="Premium","17%","-"))</f>
      </c>
      <c r="Y543" s="113" t="s">
        <v>1032</v>
      </c>
    </row>
    <row r="544" ht="50.0" customHeight="true">
      <c r="A544" s="113" t="s">
        <v>1940</v>
      </c>
      <c r="B544" s="113" t="s">
        <v>1941</v>
      </c>
      <c r="C544" s="113" t="s">
        <v>1942</v>
      </c>
      <c r="D544" s="113"/>
      <c r="E544" s="114" t="s">
        <v>1711</v>
      </c>
      <c r="F544" s="113" t="s">
        <v>1943</v>
      </c>
      <c r="G544" s="113" t="s">
        <v>1943</v>
      </c>
      <c r="H544" s="113" t="s">
        <v>103</v>
      </c>
      <c r="I544" s="115" t="n">
        <v>269.5</v>
      </c>
      <c r="J544" s="115" t="s">
        <v>80</v>
      </c>
      <c r="K544" s="115" t="s">
        <v>81</v>
      </c>
      <c r="L544" s="115" t="n">
        <v>315.13</v>
      </c>
      <c r="M544" s="115" t="n">
        <v>3.0</v>
      </c>
      <c r="N544" s="115"/>
      <c r="O544" s="115"/>
      <c r="P544" s="115"/>
      <c r="Q544" s="115"/>
      <c r="R544" s="115"/>
      <c r="S544" s="115"/>
      <c r="T544" s="115"/>
      <c r="U544" s="115"/>
      <c r="V544" s="115" t="s">
        <v>82</v>
      </c>
      <c r="W544" s="115" t="s">
        <v>83</v>
      </c>
      <c r="X544" s="113">
        <f>IF(INDIRECT("W544")="Clássico","12%",IF(INDIRECT("W544")="Premium","17%","-"))</f>
      </c>
      <c r="Y544" s="113" t="s">
        <v>221</v>
      </c>
    </row>
    <row r="545" ht="50.0" customHeight="true">
      <c r="A545" s="113" t="s">
        <v>1944</v>
      </c>
      <c r="B545" s="113" t="s">
        <v>1945</v>
      </c>
      <c r="C545" s="113" t="s">
        <v>1946</v>
      </c>
      <c r="D545" s="113"/>
      <c r="E545" s="114" t="s">
        <v>906</v>
      </c>
      <c r="F545" s="113" t="s">
        <v>907</v>
      </c>
      <c r="G545" s="113" t="s">
        <v>907</v>
      </c>
      <c r="H545" s="113" t="s">
        <v>103</v>
      </c>
      <c r="I545" s="115" t="n">
        <v>139.12</v>
      </c>
      <c r="J545" s="115" t="s">
        <v>80</v>
      </c>
      <c r="K545" s="115" t="s">
        <v>81</v>
      </c>
      <c r="L545" s="115" t="n">
        <v>202.57</v>
      </c>
      <c r="M545" s="115" t="n">
        <v>3.0</v>
      </c>
      <c r="N545" s="115"/>
      <c r="O545" s="115"/>
      <c r="P545" s="115"/>
      <c r="Q545" s="115"/>
      <c r="R545" s="115"/>
      <c r="S545" s="115"/>
      <c r="T545" s="115"/>
      <c r="U545" s="115"/>
      <c r="V545" s="115" t="s">
        <v>82</v>
      </c>
      <c r="W545" s="115" t="s">
        <v>83</v>
      </c>
      <c r="X545" s="113">
        <f>IF(INDIRECT("W545")="Clássico","12%",IF(INDIRECT("W545")="Premium","17%","-"))</f>
      </c>
      <c r="Y545" s="113" t="s">
        <v>93</v>
      </c>
    </row>
    <row r="546" ht="50.0" customHeight="true">
      <c r="A546" s="113" t="s">
        <v>1947</v>
      </c>
      <c r="B546" s="113" t="s">
        <v>1948</v>
      </c>
      <c r="C546" s="113" t="s">
        <v>1949</v>
      </c>
      <c r="D546" s="113"/>
      <c r="E546" s="114" t="s">
        <v>1950</v>
      </c>
      <c r="F546" s="113" t="s">
        <v>1951</v>
      </c>
      <c r="G546" s="113" t="s">
        <v>518</v>
      </c>
      <c r="H546" s="113" t="s">
        <v>103</v>
      </c>
      <c r="I546" s="115" t="n">
        <v>706.21</v>
      </c>
      <c r="J546" s="115" t="s">
        <v>80</v>
      </c>
      <c r="K546" s="115" t="s">
        <v>81</v>
      </c>
      <c r="L546" s="115" t="n">
        <v>528.26</v>
      </c>
      <c r="M546" s="115" t="n">
        <v>3.0</v>
      </c>
      <c r="N546" s="115"/>
      <c r="O546" s="115"/>
      <c r="P546" s="115"/>
      <c r="Q546" s="115"/>
      <c r="R546" s="115"/>
      <c r="S546" s="115"/>
      <c r="T546" s="115"/>
      <c r="U546" s="115"/>
      <c r="V546" s="115" t="s">
        <v>82</v>
      </c>
      <c r="W546" s="115" t="s">
        <v>83</v>
      </c>
      <c r="X546" s="113">
        <f>IF(INDIRECT("W546")="Clássico","12%",IF(INDIRECT("W546")="Premium","17%","-"))</f>
      </c>
      <c r="Y546" s="113" t="s">
        <v>1952</v>
      </c>
    </row>
    <row r="547" ht="50.0" customHeight="true">
      <c r="A547" s="113" t="s">
        <v>653</v>
      </c>
      <c r="B547" s="113" t="s">
        <v>1953</v>
      </c>
      <c r="C547" s="113" t="s">
        <v>1954</v>
      </c>
      <c r="D547" s="113"/>
      <c r="E547" s="114" t="s">
        <v>656</v>
      </c>
      <c r="F547" s="113" t="s">
        <v>657</v>
      </c>
      <c r="G547" s="113" t="s">
        <v>657</v>
      </c>
      <c r="H547" s="113" t="s">
        <v>103</v>
      </c>
      <c r="I547" s="115" t="n">
        <v>831.53</v>
      </c>
      <c r="J547" s="115" t="s">
        <v>80</v>
      </c>
      <c r="K547" s="115" t="s">
        <v>81</v>
      </c>
      <c r="L547" s="115" t="n">
        <v>912.61</v>
      </c>
      <c r="M547" s="115" t="n">
        <v>3.0</v>
      </c>
      <c r="N547" s="115"/>
      <c r="O547" s="115"/>
      <c r="P547" s="115"/>
      <c r="Q547" s="115"/>
      <c r="R547" s="115"/>
      <c r="S547" s="115"/>
      <c r="T547" s="115"/>
      <c r="U547" s="115"/>
      <c r="V547" s="115" t="s">
        <v>82</v>
      </c>
      <c r="W547" s="115" t="s">
        <v>92</v>
      </c>
      <c r="X547" s="113">
        <f>IF(INDIRECT("W547")="Clássico","12%",IF(INDIRECT("W547")="Premium","17%","-"))</f>
      </c>
      <c r="Y547" s="113" t="s">
        <v>164</v>
      </c>
    </row>
    <row r="548" ht="50.0" customHeight="true">
      <c r="A548" s="113" t="s">
        <v>1955</v>
      </c>
      <c r="B548" s="113" t="s">
        <v>1956</v>
      </c>
      <c r="C548" s="113" t="s">
        <v>1957</v>
      </c>
      <c r="D548" s="113"/>
      <c r="E548" s="114" t="s">
        <v>1958</v>
      </c>
      <c r="F548" s="113" t="s">
        <v>1959</v>
      </c>
      <c r="G548" s="113" t="s">
        <v>1959</v>
      </c>
      <c r="H548" s="113" t="s">
        <v>103</v>
      </c>
      <c r="I548" s="115" t="n">
        <v>173.29</v>
      </c>
      <c r="J548" s="115" t="s">
        <v>80</v>
      </c>
      <c r="K548" s="115" t="s">
        <v>81</v>
      </c>
      <c r="L548" s="115" t="n">
        <v>168.95</v>
      </c>
      <c r="M548" s="115" t="n">
        <v>3.0</v>
      </c>
      <c r="N548" s="115"/>
      <c r="O548" s="115"/>
      <c r="P548" s="115"/>
      <c r="Q548" s="115"/>
      <c r="R548" s="115"/>
      <c r="S548" s="115"/>
      <c r="T548" s="115"/>
      <c r="U548" s="115"/>
      <c r="V548" s="115" t="s">
        <v>82</v>
      </c>
      <c r="W548" s="115" t="s">
        <v>83</v>
      </c>
      <c r="X548" s="113">
        <f>IF(INDIRECT("W548")="Clássico","12%",IF(INDIRECT("W548")="Premium","17%","-"))</f>
      </c>
      <c r="Y548" s="113" t="s">
        <v>1960</v>
      </c>
    </row>
    <row r="549" ht="50.0" customHeight="true">
      <c r="A549" s="113" t="s">
        <v>1961</v>
      </c>
      <c r="B549" s="113" t="s">
        <v>1962</v>
      </c>
      <c r="C549" s="113" t="s">
        <v>1963</v>
      </c>
      <c r="D549" s="113"/>
      <c r="E549" s="114" t="s">
        <v>1964</v>
      </c>
      <c r="F549" s="113" t="s">
        <v>1965</v>
      </c>
      <c r="G549" s="113" t="s">
        <v>1512</v>
      </c>
      <c r="H549" s="113" t="s">
        <v>103</v>
      </c>
      <c r="I549" s="115" t="n">
        <v>378.36</v>
      </c>
      <c r="J549" s="115" t="s">
        <v>80</v>
      </c>
      <c r="K549" s="115" t="s">
        <v>81</v>
      </c>
      <c r="L549" s="115" t="n">
        <v>274.62</v>
      </c>
      <c r="M549" s="115" t="n">
        <v>3.0</v>
      </c>
      <c r="N549" s="115"/>
      <c r="O549" s="115"/>
      <c r="P549" s="115"/>
      <c r="Q549" s="115"/>
      <c r="R549" s="115"/>
      <c r="S549" s="115"/>
      <c r="T549" s="115"/>
      <c r="U549" s="115"/>
      <c r="V549" s="115" t="s">
        <v>82</v>
      </c>
      <c r="W549" s="115" t="s">
        <v>83</v>
      </c>
      <c r="X549" s="113">
        <f>IF(INDIRECT("W549")="Clássico","12%",IF(INDIRECT("W549")="Premium","17%","-"))</f>
      </c>
      <c r="Y549" s="113" t="s">
        <v>662</v>
      </c>
    </row>
    <row r="550" ht="50.0" customHeight="true">
      <c r="A550" s="113" t="s">
        <v>1966</v>
      </c>
      <c r="B550" s="113" t="s">
        <v>1967</v>
      </c>
      <c r="C550" s="113" t="s">
        <v>1968</v>
      </c>
      <c r="D550" s="113"/>
      <c r="E550" s="114" t="s">
        <v>1164</v>
      </c>
      <c r="F550" s="113" t="s">
        <v>1969</v>
      </c>
      <c r="G550" s="113" t="s">
        <v>1969</v>
      </c>
      <c r="H550" s="113" t="s">
        <v>103</v>
      </c>
      <c r="I550" s="115" t="n">
        <v>203.18</v>
      </c>
      <c r="J550" s="115" t="s">
        <v>80</v>
      </c>
      <c r="K550" s="115" t="s">
        <v>81</v>
      </c>
      <c r="L550" s="115" t="n">
        <v>198.18</v>
      </c>
      <c r="M550" s="115" t="n">
        <v>3.0</v>
      </c>
      <c r="N550" s="115"/>
      <c r="O550" s="115"/>
      <c r="P550" s="115"/>
      <c r="Q550" s="115"/>
      <c r="R550" s="115"/>
      <c r="S550" s="115"/>
      <c r="T550" s="115"/>
      <c r="U550" s="115"/>
      <c r="V550" s="115" t="s">
        <v>82</v>
      </c>
      <c r="W550" s="115" t="s">
        <v>92</v>
      </c>
      <c r="X550" s="113">
        <f>IF(INDIRECT("W550")="Clássico","12%",IF(INDIRECT("W550")="Premium","17%","-"))</f>
      </c>
      <c r="Y550" s="113" t="s">
        <v>221</v>
      </c>
    </row>
    <row r="551" ht="50.0" customHeight="true">
      <c r="A551" s="113" t="s">
        <v>1970</v>
      </c>
      <c r="B551" s="113" t="s">
        <v>1971</v>
      </c>
      <c r="C551" s="113" t="s">
        <v>1972</v>
      </c>
      <c r="D551" s="113"/>
      <c r="E551" s="114" t="s">
        <v>808</v>
      </c>
      <c r="F551" s="113" t="s">
        <v>1973</v>
      </c>
      <c r="G551" s="113" t="s">
        <v>1973</v>
      </c>
      <c r="H551" s="113" t="s">
        <v>103</v>
      </c>
      <c r="I551" s="115" t="n">
        <v>161.9</v>
      </c>
      <c r="J551" s="115" t="s">
        <v>80</v>
      </c>
      <c r="K551" s="115" t="s">
        <v>81</v>
      </c>
      <c r="L551" s="115" t="n">
        <v>188.66</v>
      </c>
      <c r="M551" s="115" t="n">
        <v>3.0</v>
      </c>
      <c r="N551" s="115"/>
      <c r="O551" s="115"/>
      <c r="P551" s="115"/>
      <c r="Q551" s="115"/>
      <c r="R551" s="115"/>
      <c r="S551" s="115"/>
      <c r="T551" s="115"/>
      <c r="U551" s="115"/>
      <c r="V551" s="115" t="s">
        <v>82</v>
      </c>
      <c r="W551" s="115" t="s">
        <v>83</v>
      </c>
      <c r="X551" s="113">
        <f>IF(INDIRECT("W551")="Clássico","12%",IF(INDIRECT("W551")="Premium","17%","-"))</f>
      </c>
      <c r="Y551" s="113" t="s">
        <v>482</v>
      </c>
    </row>
    <row r="552" ht="50.0" customHeight="true">
      <c r="A552" s="113" t="s">
        <v>1974</v>
      </c>
      <c r="B552" s="113" t="s">
        <v>1975</v>
      </c>
      <c r="C552" s="113" t="s">
        <v>1976</v>
      </c>
      <c r="D552" s="113"/>
      <c r="E552" s="114" t="s">
        <v>1977</v>
      </c>
      <c r="F552" s="113" t="s">
        <v>1978</v>
      </c>
      <c r="G552" s="113" t="s">
        <v>1978</v>
      </c>
      <c r="H552" s="113" t="s">
        <v>103</v>
      </c>
      <c r="I552" s="115" t="n">
        <v>52.91</v>
      </c>
      <c r="J552" s="115" t="s">
        <v>80</v>
      </c>
      <c r="K552" s="115" t="s">
        <v>81</v>
      </c>
      <c r="L552" s="115" t="n">
        <v>47.91</v>
      </c>
      <c r="M552" s="115" t="n">
        <v>3.0</v>
      </c>
      <c r="N552" s="115"/>
      <c r="O552" s="115"/>
      <c r="P552" s="115"/>
      <c r="Q552" s="115"/>
      <c r="R552" s="115"/>
      <c r="S552" s="115"/>
      <c r="T552" s="115"/>
      <c r="U552" s="115"/>
      <c r="V552" s="115" t="s">
        <v>91</v>
      </c>
      <c r="W552" s="115" t="s">
        <v>92</v>
      </c>
      <c r="X552" s="113">
        <f>IF(INDIRECT("W552")="Clássico","12%",IF(INDIRECT("W552")="Premium","17%","-"))</f>
      </c>
      <c r="Y552" s="113" t="s">
        <v>1979</v>
      </c>
    </row>
    <row r="553" ht="50.0" customHeight="true">
      <c r="A553" s="113" t="s">
        <v>1980</v>
      </c>
      <c r="B553" s="113" t="s">
        <v>1981</v>
      </c>
      <c r="C553" s="113" t="s">
        <v>1982</v>
      </c>
      <c r="D553" s="113"/>
      <c r="E553" s="114" t="s">
        <v>1716</v>
      </c>
      <c r="F553" s="113" t="s">
        <v>1983</v>
      </c>
      <c r="G553" s="113" t="s">
        <v>127</v>
      </c>
      <c r="H553" s="113" t="s">
        <v>103</v>
      </c>
      <c r="I553" s="115" t="n">
        <v>516.98</v>
      </c>
      <c r="J553" s="115" t="s">
        <v>80</v>
      </c>
      <c r="K553" s="115" t="s">
        <v>81</v>
      </c>
      <c r="L553" s="115" t="n">
        <v>511.98</v>
      </c>
      <c r="M553" s="115" t="n">
        <v>3.0</v>
      </c>
      <c r="N553" s="115"/>
      <c r="O553" s="115"/>
      <c r="P553" s="115"/>
      <c r="Q553" s="115"/>
      <c r="R553" s="115"/>
      <c r="S553" s="115"/>
      <c r="T553" s="115"/>
      <c r="U553" s="115"/>
      <c r="V553" s="115" t="s">
        <v>82</v>
      </c>
      <c r="W553" s="115" t="s">
        <v>92</v>
      </c>
      <c r="X553" s="113">
        <f>IF(INDIRECT("W553")="Clássico","12%",IF(INDIRECT("W553")="Premium","17%","-"))</f>
      </c>
      <c r="Y553" s="113" t="s">
        <v>1984</v>
      </c>
    </row>
    <row r="554" ht="50.0" customHeight="true">
      <c r="A554" s="113" t="s">
        <v>1985</v>
      </c>
      <c r="B554" s="113" t="s">
        <v>1986</v>
      </c>
      <c r="C554" s="113" t="s">
        <v>1987</v>
      </c>
      <c r="D554" s="113"/>
      <c r="E554" s="114" t="s">
        <v>1402</v>
      </c>
      <c r="F554" s="113" t="s">
        <v>1988</v>
      </c>
      <c r="G554" s="113" t="s">
        <v>1988</v>
      </c>
      <c r="H554" s="113" t="s">
        <v>132</v>
      </c>
      <c r="I554" s="115" t="n">
        <v>827.73</v>
      </c>
      <c r="J554" s="115" t="s">
        <v>80</v>
      </c>
      <c r="K554" s="115" t="s">
        <v>81</v>
      </c>
      <c r="L554" s="115" t="n">
        <v>920.2</v>
      </c>
      <c r="M554" s="115" t="n">
        <v>3.0</v>
      </c>
      <c r="N554" s="115"/>
      <c r="O554" s="115"/>
      <c r="P554" s="115"/>
      <c r="Q554" s="115"/>
      <c r="R554" s="115"/>
      <c r="S554" s="115"/>
      <c r="T554" s="115"/>
      <c r="U554" s="115"/>
      <c r="V554" s="115" t="s">
        <v>82</v>
      </c>
      <c r="W554" s="115" t="s">
        <v>92</v>
      </c>
      <c r="X554" s="113">
        <f>IF(INDIRECT("W554")="Clássico","12%",IF(INDIRECT("W554")="Premium","17%","-"))</f>
      </c>
      <c r="Y554" s="113" t="s">
        <v>1404</v>
      </c>
    </row>
    <row r="555" ht="50.0" customHeight="true">
      <c r="A555" s="113" t="s">
        <v>1989</v>
      </c>
      <c r="B555" s="113" t="s">
        <v>1990</v>
      </c>
      <c r="C555" s="113" t="s">
        <v>1991</v>
      </c>
      <c r="D555" s="113"/>
      <c r="E555" s="114" t="s">
        <v>1992</v>
      </c>
      <c r="F555" s="113" t="s">
        <v>1993</v>
      </c>
      <c r="G555" s="113" t="s">
        <v>1993</v>
      </c>
      <c r="H555" s="113" t="s">
        <v>103</v>
      </c>
      <c r="I555" s="115" t="n">
        <v>882.16</v>
      </c>
      <c r="J555" s="115" t="s">
        <v>80</v>
      </c>
      <c r="K555" s="115" t="s">
        <v>81</v>
      </c>
      <c r="L555" s="115" t="n">
        <v>436.76</v>
      </c>
      <c r="M555" s="115" t="n">
        <v>3.0</v>
      </c>
      <c r="N555" s="115"/>
      <c r="O555" s="115"/>
      <c r="P555" s="115"/>
      <c r="Q555" s="115"/>
      <c r="R555" s="115"/>
      <c r="S555" s="115"/>
      <c r="T555" s="115"/>
      <c r="U555" s="115"/>
      <c r="V555" s="115" t="s">
        <v>82</v>
      </c>
      <c r="W555" s="115" t="s">
        <v>83</v>
      </c>
      <c r="X555" s="113">
        <f>IF(INDIRECT("W555")="Clássico","12%",IF(INDIRECT("W555")="Premium","17%","-"))</f>
      </c>
      <c r="Y555" s="113" t="s">
        <v>1444</v>
      </c>
    </row>
    <row r="556" ht="50.0" customHeight="true">
      <c r="A556" s="113" t="s">
        <v>22</v>
      </c>
      <c r="B556" s="113" t="s">
        <v>1994</v>
      </c>
      <c r="C556" s="113"/>
      <c r="D556" s="113"/>
      <c r="E556" s="113" t="s">
        <v>22</v>
      </c>
      <c r="F556" s="113" t="s">
        <v>1995</v>
      </c>
      <c r="G556" s="113" t="s">
        <v>103</v>
      </c>
      <c r="H556" s="113" t="s">
        <v>103</v>
      </c>
      <c r="I556" s="115" t="n">
        <v>185.95</v>
      </c>
      <c r="J556" s="115" t="s">
        <v>80</v>
      </c>
      <c r="K556" s="113" t="s">
        <v>81</v>
      </c>
      <c r="L556" s="115" t="n">
        <v>174.62</v>
      </c>
      <c r="M556" s="115" t="n">
        <v>3.0</v>
      </c>
      <c r="N556" s="115"/>
      <c r="O556" s="115"/>
      <c r="P556" s="115"/>
      <c r="Q556" s="115"/>
      <c r="R556" s="115"/>
      <c r="S556" s="115"/>
      <c r="T556" s="115"/>
      <c r="U556" s="115"/>
      <c r="V556" s="115" t="s">
        <v>82</v>
      </c>
      <c r="W556" s="115" t="s">
        <v>92</v>
      </c>
      <c r="X556" s="113">
        <f>IF(INDIRECT("W556")="Clássico","12%",IF(INDIRECT("W556")="Premium","17%","-"))</f>
      </c>
      <c r="Y556" s="113" t="s">
        <v>181</v>
      </c>
    </row>
    <row r="557" ht="50.0" customHeight="true">
      <c r="A557" s="113" t="s">
        <v>22</v>
      </c>
      <c r="B557" s="113" t="s">
        <v>1994</v>
      </c>
      <c r="C557" s="113" t="s">
        <v>1996</v>
      </c>
      <c r="D557" s="113" t="s">
        <v>1996</v>
      </c>
      <c r="E557" s="114" t="s">
        <v>1243</v>
      </c>
      <c r="F557" s="116">
        <f>"     "&amp;F556</f>
      </c>
      <c r="G557" s="113" t="s">
        <v>184</v>
      </c>
      <c r="H557" s="113" t="s">
        <v>103</v>
      </c>
      <c r="I557" s="113">
        <f>I556</f>
      </c>
      <c r="J557" s="113">
        <f>J556&amp;"     "</f>
      </c>
      <c r="K557" s="113" t="s">
        <v>81</v>
      </c>
      <c r="L557" s="113">
        <f>L556</f>
      </c>
      <c r="M557" s="113">
        <f>M556</f>
      </c>
      <c r="N557" s="113">
        <f>N556</f>
      </c>
      <c r="O557" s="113">
        <f>O556</f>
      </c>
      <c r="P557" s="113">
        <f>P556</f>
      </c>
      <c r="Q557" s="113">
        <f>Q556</f>
      </c>
      <c r="R557" s="113">
        <f>R556</f>
      </c>
      <c r="S557" s="113">
        <f>S556</f>
      </c>
      <c r="T557" s="113">
        <f>T556</f>
      </c>
      <c r="U557" s="113">
        <f>U556</f>
      </c>
      <c r="V557" s="113">
        <f>V556&amp;"     "</f>
      </c>
      <c r="W557" s="113">
        <f>W556&amp;"     "</f>
      </c>
      <c r="X557" s="113">
        <f>X556</f>
      </c>
      <c r="Y557" s="113" t="s">
        <v>181</v>
      </c>
    </row>
    <row r="558" ht="50.0" customHeight="true">
      <c r="A558" s="113" t="s">
        <v>22</v>
      </c>
      <c r="B558" s="113" t="s">
        <v>1994</v>
      </c>
      <c r="C558" s="113" t="s">
        <v>1997</v>
      </c>
      <c r="D558" s="113" t="s">
        <v>1997</v>
      </c>
      <c r="E558" s="114" t="s">
        <v>1245</v>
      </c>
      <c r="F558" s="116">
        <f>"     "&amp;F556</f>
      </c>
      <c r="G558" s="113" t="s">
        <v>187</v>
      </c>
      <c r="H558" s="113" t="s">
        <v>103</v>
      </c>
      <c r="I558" s="113">
        <f>I556</f>
      </c>
      <c r="J558" s="113">
        <f>J556&amp;"     "</f>
      </c>
      <c r="K558" s="113" t="s">
        <v>81</v>
      </c>
      <c r="L558" s="113">
        <f>L556</f>
      </c>
      <c r="M558" s="113">
        <f>M556</f>
      </c>
      <c r="N558" s="113">
        <f>N556</f>
      </c>
      <c r="O558" s="113">
        <f>O556</f>
      </c>
      <c r="P558" s="113">
        <f>P556</f>
      </c>
      <c r="Q558" s="113">
        <f>Q556</f>
      </c>
      <c r="R558" s="113">
        <f>R556</f>
      </c>
      <c r="S558" s="113">
        <f>S556</f>
      </c>
      <c r="T558" s="113">
        <f>T556</f>
      </c>
      <c r="U558" s="113">
        <f>U556</f>
      </c>
      <c r="V558" s="113">
        <f>V556&amp;"     "</f>
      </c>
      <c r="W558" s="113">
        <f>W556&amp;"     "</f>
      </c>
      <c r="X558" s="113">
        <f>X556</f>
      </c>
      <c r="Y558" s="113" t="s">
        <v>181</v>
      </c>
    </row>
    <row r="559" ht="50.0" customHeight="true">
      <c r="A559" s="113" t="s">
        <v>1998</v>
      </c>
      <c r="B559" s="113" t="s">
        <v>1999</v>
      </c>
      <c r="C559" s="113" t="s">
        <v>2000</v>
      </c>
      <c r="D559" s="113"/>
      <c r="E559" s="114" t="s">
        <v>225</v>
      </c>
      <c r="F559" s="113" t="s">
        <v>2001</v>
      </c>
      <c r="G559" s="113" t="s">
        <v>2001</v>
      </c>
      <c r="H559" s="113" t="s">
        <v>103</v>
      </c>
      <c r="I559" s="115" t="n">
        <v>336.59</v>
      </c>
      <c r="J559" s="115" t="s">
        <v>80</v>
      </c>
      <c r="K559" s="115" t="s">
        <v>81</v>
      </c>
      <c r="L559" s="115" t="n">
        <v>425.32</v>
      </c>
      <c r="M559" s="115" t="n">
        <v>3.0</v>
      </c>
      <c r="N559" s="115"/>
      <c r="O559" s="115"/>
      <c r="P559" s="115"/>
      <c r="Q559" s="115"/>
      <c r="R559" s="115"/>
      <c r="S559" s="115"/>
      <c r="T559" s="115"/>
      <c r="U559" s="115"/>
      <c r="V559" s="115" t="s">
        <v>82</v>
      </c>
      <c r="W559" s="115" t="s">
        <v>83</v>
      </c>
      <c r="X559" s="113">
        <f>IF(INDIRECT("W559")="Clássico","12%",IF(INDIRECT("W559")="Premium","17%","-"))</f>
      </c>
      <c r="Y559" s="113" t="s">
        <v>287</v>
      </c>
    </row>
    <row r="560" ht="50.0" customHeight="true">
      <c r="A560" s="113" t="s">
        <v>2002</v>
      </c>
      <c r="B560" s="113" t="s">
        <v>2003</v>
      </c>
      <c r="C560" s="113" t="s">
        <v>2004</v>
      </c>
      <c r="D560" s="113"/>
      <c r="E560" s="114" t="s">
        <v>523</v>
      </c>
      <c r="F560" s="113" t="s">
        <v>2005</v>
      </c>
      <c r="G560" s="113" t="s">
        <v>518</v>
      </c>
      <c r="H560" s="113" t="s">
        <v>103</v>
      </c>
      <c r="I560" s="115" t="n">
        <v>34.05</v>
      </c>
      <c r="J560" s="115" t="s">
        <v>80</v>
      </c>
      <c r="K560" s="115" t="s">
        <v>81</v>
      </c>
      <c r="L560" s="115" t="n">
        <v>28.54</v>
      </c>
      <c r="M560" s="115" t="n">
        <v>3.0</v>
      </c>
      <c r="N560" s="115"/>
      <c r="O560" s="115"/>
      <c r="P560" s="115"/>
      <c r="Q560" s="115"/>
      <c r="R560" s="115"/>
      <c r="S560" s="115"/>
      <c r="T560" s="115"/>
      <c r="U560" s="115"/>
      <c r="V560" s="115" t="s">
        <v>91</v>
      </c>
      <c r="W560" s="115" t="s">
        <v>92</v>
      </c>
      <c r="X560" s="113">
        <f>IF(INDIRECT("W560")="Clássico","11.5%",IF(INDIRECT("W560")="Premium","16.5%","-"))</f>
      </c>
      <c r="Y560" s="113" t="s">
        <v>519</v>
      </c>
    </row>
    <row r="561" ht="50.0" customHeight="true">
      <c r="A561" s="113" t="s">
        <v>2006</v>
      </c>
      <c r="B561" s="113" t="s">
        <v>2007</v>
      </c>
      <c r="C561" s="113" t="s">
        <v>2008</v>
      </c>
      <c r="D561" s="113"/>
      <c r="E561" s="114" t="s">
        <v>956</v>
      </c>
      <c r="F561" s="113" t="s">
        <v>2009</v>
      </c>
      <c r="G561" s="113" t="s">
        <v>2009</v>
      </c>
      <c r="H561" s="113" t="s">
        <v>103</v>
      </c>
      <c r="I561" s="115" t="n">
        <v>66.96</v>
      </c>
      <c r="J561" s="115" t="s">
        <v>80</v>
      </c>
      <c r="K561" s="115" t="s">
        <v>81</v>
      </c>
      <c r="L561" s="115" t="n">
        <v>70.82</v>
      </c>
      <c r="M561" s="115" t="n">
        <v>3.0</v>
      </c>
      <c r="N561" s="115"/>
      <c r="O561" s="115"/>
      <c r="P561" s="115"/>
      <c r="Q561" s="115"/>
      <c r="R561" s="115"/>
      <c r="S561" s="115"/>
      <c r="T561" s="115"/>
      <c r="U561" s="115"/>
      <c r="V561" s="115" t="s">
        <v>91</v>
      </c>
      <c r="W561" s="115" t="s">
        <v>92</v>
      </c>
      <c r="X561" s="113">
        <f>IF(INDIRECT("W561")="Clássico","12%",IF(INDIRECT("W561")="Premium","17%","-"))</f>
      </c>
      <c r="Y561" s="113" t="s">
        <v>958</v>
      </c>
    </row>
    <row r="562" ht="50.0" customHeight="true">
      <c r="A562" s="113" t="s">
        <v>2010</v>
      </c>
      <c r="B562" s="113" t="s">
        <v>2011</v>
      </c>
      <c r="C562" s="113" t="s">
        <v>2012</v>
      </c>
      <c r="D562" s="113"/>
      <c r="E562" s="114" t="s">
        <v>155</v>
      </c>
      <c r="F562" s="113" t="s">
        <v>2013</v>
      </c>
      <c r="G562" s="113" t="s">
        <v>127</v>
      </c>
      <c r="H562" s="113" t="s">
        <v>103</v>
      </c>
      <c r="I562" s="115" t="n">
        <v>392.28</v>
      </c>
      <c r="J562" s="115" t="s">
        <v>80</v>
      </c>
      <c r="K562" s="115" t="s">
        <v>81</v>
      </c>
      <c r="L562" s="115" t="n">
        <v>387.28</v>
      </c>
      <c r="M562" s="115" t="n">
        <v>3.0</v>
      </c>
      <c r="N562" s="115"/>
      <c r="O562" s="115"/>
      <c r="P562" s="115"/>
      <c r="Q562" s="115"/>
      <c r="R562" s="115"/>
      <c r="S562" s="115"/>
      <c r="T562" s="115"/>
      <c r="U562" s="115"/>
      <c r="V562" s="115" t="s">
        <v>82</v>
      </c>
      <c r="W562" s="115" t="s">
        <v>83</v>
      </c>
      <c r="X562" s="113">
        <f>IF(INDIRECT("W562")="Clássico","12%",IF(INDIRECT("W562")="Premium","17%","-"))</f>
      </c>
      <c r="Y562" s="113" t="s">
        <v>158</v>
      </c>
    </row>
    <row r="563" ht="50.0" customHeight="true">
      <c r="A563" s="113" t="s">
        <v>2014</v>
      </c>
      <c r="B563" s="113" t="s">
        <v>2015</v>
      </c>
      <c r="C563" s="113" t="s">
        <v>2016</v>
      </c>
      <c r="D563" s="113"/>
      <c r="E563" s="114" t="s">
        <v>1291</v>
      </c>
      <c r="F563" s="113" t="s">
        <v>2017</v>
      </c>
      <c r="G563" s="113" t="s">
        <v>2017</v>
      </c>
      <c r="H563" s="113" t="s">
        <v>103</v>
      </c>
      <c r="I563" s="115" t="n">
        <v>294.81</v>
      </c>
      <c r="J563" s="115" t="s">
        <v>80</v>
      </c>
      <c r="K563" s="115" t="s">
        <v>81</v>
      </c>
      <c r="L563" s="115" t="n">
        <v>289.93</v>
      </c>
      <c r="M563" s="115" t="n">
        <v>3.0</v>
      </c>
      <c r="N563" s="115"/>
      <c r="O563" s="115"/>
      <c r="P563" s="115"/>
      <c r="Q563" s="115"/>
      <c r="R563" s="115"/>
      <c r="S563" s="115"/>
      <c r="T563" s="115"/>
      <c r="U563" s="115"/>
      <c r="V563" s="115" t="s">
        <v>82</v>
      </c>
      <c r="W563" s="115" t="s">
        <v>83</v>
      </c>
      <c r="X563" s="113">
        <f>IF(INDIRECT("W563")="Clássico","12%",IF(INDIRECT("W563")="Premium","17%","-"))</f>
      </c>
      <c r="Y563" s="113" t="s">
        <v>2018</v>
      </c>
    </row>
    <row r="564" ht="50.0" customHeight="true">
      <c r="A564" s="113" t="s">
        <v>22</v>
      </c>
      <c r="B564" s="113" t="s">
        <v>2019</v>
      </c>
      <c r="C564" s="113"/>
      <c r="D564" s="113"/>
      <c r="E564" s="113" t="s">
        <v>22</v>
      </c>
      <c r="F564" s="113" t="s">
        <v>2020</v>
      </c>
      <c r="G564" s="113" t="s">
        <v>103</v>
      </c>
      <c r="H564" s="113" t="s">
        <v>103</v>
      </c>
      <c r="I564" s="115" t="n">
        <v>274.67</v>
      </c>
      <c r="J564" s="115" t="s">
        <v>80</v>
      </c>
      <c r="K564" s="113" t="s">
        <v>81</v>
      </c>
      <c r="L564" s="115" t="n">
        <v>269.67</v>
      </c>
      <c r="M564" s="115" t="n">
        <v>3.0</v>
      </c>
      <c r="N564" s="115"/>
      <c r="O564" s="115"/>
      <c r="P564" s="115"/>
      <c r="Q564" s="115"/>
      <c r="R564" s="115"/>
      <c r="S564" s="115"/>
      <c r="T564" s="115"/>
      <c r="U564" s="115"/>
      <c r="V564" s="115" t="s">
        <v>82</v>
      </c>
      <c r="W564" s="115" t="s">
        <v>83</v>
      </c>
      <c r="X564" s="113">
        <f>IF(INDIRECT("W564")="Clássico","12%",IF(INDIRECT("W564")="Premium","17%","-"))</f>
      </c>
      <c r="Y564" s="113" t="s">
        <v>450</v>
      </c>
    </row>
    <row r="565" ht="50.0" customHeight="true">
      <c r="A565" s="113" t="s">
        <v>22</v>
      </c>
      <c r="B565" s="113" t="s">
        <v>2019</v>
      </c>
      <c r="C565" s="113" t="s">
        <v>2021</v>
      </c>
      <c r="D565" s="113" t="s">
        <v>2021</v>
      </c>
      <c r="E565" s="114" t="s">
        <v>452</v>
      </c>
      <c r="F565" s="116">
        <f>"     "&amp;F564</f>
      </c>
      <c r="G565" s="113" t="s">
        <v>606</v>
      </c>
      <c r="H565" s="113" t="s">
        <v>103</v>
      </c>
      <c r="I565" s="113">
        <f>I564</f>
      </c>
      <c r="J565" s="113">
        <f>J564&amp;"     "</f>
      </c>
      <c r="K565" s="113" t="s">
        <v>81</v>
      </c>
      <c r="L565" s="113">
        <f>L564</f>
      </c>
      <c r="M565" s="113">
        <f>M564</f>
      </c>
      <c r="N565" s="113">
        <f>N564</f>
      </c>
      <c r="O565" s="113">
        <f>O564</f>
      </c>
      <c r="P565" s="113">
        <f>P564</f>
      </c>
      <c r="Q565" s="113">
        <f>Q564</f>
      </c>
      <c r="R565" s="113">
        <f>R564</f>
      </c>
      <c r="S565" s="113">
        <f>S564</f>
      </c>
      <c r="T565" s="113">
        <f>T564</f>
      </c>
      <c r="U565" s="113">
        <f>U564</f>
      </c>
      <c r="V565" s="113">
        <f>V564&amp;"     "</f>
      </c>
      <c r="W565" s="113">
        <f>W564&amp;"     "</f>
      </c>
      <c r="X565" s="113">
        <f>X564</f>
      </c>
      <c r="Y565" s="113" t="s">
        <v>450</v>
      </c>
    </row>
    <row r="566" ht="50.0" customHeight="true">
      <c r="A566" s="113" t="s">
        <v>22</v>
      </c>
      <c r="B566" s="113" t="s">
        <v>2019</v>
      </c>
      <c r="C566" s="113" t="s">
        <v>2022</v>
      </c>
      <c r="D566" s="113" t="s">
        <v>2022</v>
      </c>
      <c r="E566" s="114" t="s">
        <v>455</v>
      </c>
      <c r="F566" s="116">
        <f>"     "&amp;F564</f>
      </c>
      <c r="G566" s="113" t="s">
        <v>608</v>
      </c>
      <c r="H566" s="113" t="s">
        <v>103</v>
      </c>
      <c r="I566" s="113">
        <f>I564</f>
      </c>
      <c r="J566" s="113">
        <f>J564&amp;"     "</f>
      </c>
      <c r="K566" s="113" t="s">
        <v>81</v>
      </c>
      <c r="L566" s="113">
        <f>L564</f>
      </c>
      <c r="M566" s="113">
        <f>M564</f>
      </c>
      <c r="N566" s="113">
        <f>N564</f>
      </c>
      <c r="O566" s="113">
        <f>O564</f>
      </c>
      <c r="P566" s="113">
        <f>P564</f>
      </c>
      <c r="Q566" s="113">
        <f>Q564</f>
      </c>
      <c r="R566" s="113">
        <f>R564</f>
      </c>
      <c r="S566" s="113">
        <f>S564</f>
      </c>
      <c r="T566" s="113">
        <f>T564</f>
      </c>
      <c r="U566" s="113">
        <f>U564</f>
      </c>
      <c r="V566" s="113">
        <f>V564&amp;"     "</f>
      </c>
      <c r="W566" s="113">
        <f>W564&amp;"     "</f>
      </c>
      <c r="X566" s="113">
        <f>X564</f>
      </c>
      <c r="Y566" s="113" t="s">
        <v>450</v>
      </c>
    </row>
    <row r="567" ht="50.0" customHeight="true">
      <c r="A567" s="113" t="s">
        <v>2023</v>
      </c>
      <c r="B567" s="113" t="s">
        <v>2024</v>
      </c>
      <c r="C567" s="113" t="s">
        <v>2025</v>
      </c>
      <c r="D567" s="113"/>
      <c r="E567" s="114" t="s">
        <v>1188</v>
      </c>
      <c r="F567" s="113" t="s">
        <v>2026</v>
      </c>
      <c r="G567" s="113" t="s">
        <v>2026</v>
      </c>
      <c r="H567" s="113" t="s">
        <v>103</v>
      </c>
      <c r="I567" s="115" t="n">
        <v>331.52</v>
      </c>
      <c r="J567" s="115" t="s">
        <v>80</v>
      </c>
      <c r="K567" s="115" t="s">
        <v>81</v>
      </c>
      <c r="L567" s="115" t="n">
        <v>324.75</v>
      </c>
      <c r="M567" s="115" t="n">
        <v>3.0</v>
      </c>
      <c r="N567" s="115"/>
      <c r="O567" s="115"/>
      <c r="P567" s="115"/>
      <c r="Q567" s="115"/>
      <c r="R567" s="115"/>
      <c r="S567" s="115"/>
      <c r="T567" s="115"/>
      <c r="U567" s="115"/>
      <c r="V567" s="115" t="s">
        <v>82</v>
      </c>
      <c r="W567" s="115" t="s">
        <v>83</v>
      </c>
      <c r="X567" s="113">
        <f>IF(INDIRECT("W567")="Clássico","12%",IF(INDIRECT("W567")="Premium","17%","-"))</f>
      </c>
      <c r="Y567" s="113" t="s">
        <v>221</v>
      </c>
    </row>
    <row r="568" ht="50.0" customHeight="true">
      <c r="A568" s="113" t="s">
        <v>2027</v>
      </c>
      <c r="B568" s="113" t="s">
        <v>2028</v>
      </c>
      <c r="C568" s="113" t="s">
        <v>2029</v>
      </c>
      <c r="D568" s="113"/>
      <c r="E568" s="114" t="s">
        <v>110</v>
      </c>
      <c r="F568" s="113" t="s">
        <v>2030</v>
      </c>
      <c r="G568" s="113" t="s">
        <v>2030</v>
      </c>
      <c r="H568" s="113" t="s">
        <v>103</v>
      </c>
      <c r="I568" s="115" t="n">
        <v>225.99</v>
      </c>
      <c r="J568" s="115" t="s">
        <v>80</v>
      </c>
      <c r="K568" s="115" t="s">
        <v>81</v>
      </c>
      <c r="L568" s="115" t="n">
        <v>221.0</v>
      </c>
      <c r="M568" s="115" t="n">
        <v>3.0</v>
      </c>
      <c r="N568" s="115"/>
      <c r="O568" s="115"/>
      <c r="P568" s="115"/>
      <c r="Q568" s="115"/>
      <c r="R568" s="115"/>
      <c r="S568" s="115"/>
      <c r="T568" s="115"/>
      <c r="U568" s="115"/>
      <c r="V568" s="115" t="s">
        <v>82</v>
      </c>
      <c r="W568" s="115" t="s">
        <v>92</v>
      </c>
      <c r="X568" s="113">
        <f>IF(INDIRECT("W568")="Clássico","12%",IF(INDIRECT("W568")="Premium","17%","-"))</f>
      </c>
      <c r="Y568" s="113" t="s">
        <v>121</v>
      </c>
    </row>
    <row r="569" ht="50.0" customHeight="true">
      <c r="A569" s="113" t="s">
        <v>2031</v>
      </c>
      <c r="B569" s="113" t="s">
        <v>2032</v>
      </c>
      <c r="C569" s="113" t="s">
        <v>2033</v>
      </c>
      <c r="D569" s="113"/>
      <c r="E569" s="114" t="s">
        <v>1706</v>
      </c>
      <c r="F569" s="113" t="s">
        <v>2034</v>
      </c>
      <c r="G569" s="113" t="s">
        <v>2034</v>
      </c>
      <c r="H569" s="113" t="s">
        <v>103</v>
      </c>
      <c r="I569" s="115" t="n">
        <v>298.61</v>
      </c>
      <c r="J569" s="115" t="s">
        <v>80</v>
      </c>
      <c r="K569" s="115" t="s">
        <v>81</v>
      </c>
      <c r="L569" s="115" t="n">
        <v>265.88</v>
      </c>
      <c r="M569" s="115" t="n">
        <v>3.0</v>
      </c>
      <c r="N569" s="115"/>
      <c r="O569" s="115"/>
      <c r="P569" s="115"/>
      <c r="Q569" s="115"/>
      <c r="R569" s="115"/>
      <c r="S569" s="115"/>
      <c r="T569" s="115"/>
      <c r="U569" s="115"/>
      <c r="V569" s="115" t="s">
        <v>82</v>
      </c>
      <c r="W569" s="115" t="s">
        <v>92</v>
      </c>
      <c r="X569" s="113">
        <f>IF(INDIRECT("W569")="Clássico","12%",IF(INDIRECT("W569")="Premium","17%","-"))</f>
      </c>
      <c r="Y569" s="113" t="s">
        <v>1293</v>
      </c>
    </row>
    <row r="570" ht="50.0" customHeight="true">
      <c r="A570" s="113" t="s">
        <v>2035</v>
      </c>
      <c r="B570" s="113" t="s">
        <v>2036</v>
      </c>
      <c r="C570" s="113" t="s">
        <v>2037</v>
      </c>
      <c r="D570" s="113"/>
      <c r="E570" s="114" t="s">
        <v>651</v>
      </c>
      <c r="F570" s="113" t="s">
        <v>2038</v>
      </c>
      <c r="G570" s="113" t="s">
        <v>2038</v>
      </c>
      <c r="H570" s="113" t="s">
        <v>103</v>
      </c>
      <c r="I570" s="115" t="n">
        <v>242.91</v>
      </c>
      <c r="J570" s="115" t="s">
        <v>80</v>
      </c>
      <c r="K570" s="115" t="s">
        <v>81</v>
      </c>
      <c r="L570" s="115" t="n">
        <v>235.38</v>
      </c>
      <c r="M570" s="115" t="n">
        <v>3.0</v>
      </c>
      <c r="N570" s="115"/>
      <c r="O570" s="115"/>
      <c r="P570" s="115"/>
      <c r="Q570" s="115"/>
      <c r="R570" s="115"/>
      <c r="S570" s="115"/>
      <c r="T570" s="115"/>
      <c r="U570" s="115"/>
      <c r="V570" s="115" t="s">
        <v>82</v>
      </c>
      <c r="W570" s="115" t="s">
        <v>92</v>
      </c>
      <c r="X570" s="113">
        <f>IF(INDIRECT("W570")="Clássico","12%",IF(INDIRECT("W570")="Premium","17%","-"))</f>
      </c>
      <c r="Y570" s="113" t="s">
        <v>200</v>
      </c>
    </row>
    <row r="571" ht="50.0" customHeight="true">
      <c r="A571" s="113" t="s">
        <v>2039</v>
      </c>
      <c r="B571" s="113" t="s">
        <v>2040</v>
      </c>
      <c r="C571" s="113" t="s">
        <v>2041</v>
      </c>
      <c r="D571" s="113"/>
      <c r="E571" s="114" t="s">
        <v>2042</v>
      </c>
      <c r="F571" s="113" t="s">
        <v>2043</v>
      </c>
      <c r="G571" s="113" t="s">
        <v>2043</v>
      </c>
      <c r="H571" s="113" t="s">
        <v>103</v>
      </c>
      <c r="I571" s="115" t="n">
        <v>373.3</v>
      </c>
      <c r="J571" s="115" t="s">
        <v>80</v>
      </c>
      <c r="K571" s="115" t="s">
        <v>81</v>
      </c>
      <c r="L571" s="115" t="n">
        <v>349.38</v>
      </c>
      <c r="M571" s="115" t="n">
        <v>3.0</v>
      </c>
      <c r="N571" s="115"/>
      <c r="O571" s="115"/>
      <c r="P571" s="115"/>
      <c r="Q571" s="115"/>
      <c r="R571" s="115"/>
      <c r="S571" s="115"/>
      <c r="T571" s="115"/>
      <c r="U571" s="115"/>
      <c r="V571" s="115" t="s">
        <v>82</v>
      </c>
      <c r="W571" s="115" t="s">
        <v>92</v>
      </c>
      <c r="X571" s="113">
        <f>IF(INDIRECT("W571")="Clássico","12%",IF(INDIRECT("W571")="Premium","17%","-"))</f>
      </c>
      <c r="Y571" s="113" t="s">
        <v>512</v>
      </c>
    </row>
    <row r="572" ht="50.0" customHeight="true">
      <c r="A572" s="113" t="s">
        <v>2044</v>
      </c>
      <c r="B572" s="113" t="s">
        <v>2045</v>
      </c>
      <c r="C572" s="113" t="s">
        <v>2046</v>
      </c>
      <c r="D572" s="113"/>
      <c r="E572" s="114" t="s">
        <v>2047</v>
      </c>
      <c r="F572" s="113" t="s">
        <v>2048</v>
      </c>
      <c r="G572" s="113" t="s">
        <v>2048</v>
      </c>
      <c r="H572" s="113" t="s">
        <v>103</v>
      </c>
      <c r="I572" s="115" t="n">
        <v>97.34</v>
      </c>
      <c r="J572" s="115" t="s">
        <v>80</v>
      </c>
      <c r="K572" s="115" t="s">
        <v>81</v>
      </c>
      <c r="L572" s="115" t="n">
        <v>92.47</v>
      </c>
      <c r="M572" s="115" t="n">
        <v>3.0</v>
      </c>
      <c r="N572" s="115"/>
      <c r="O572" s="115"/>
      <c r="P572" s="115"/>
      <c r="Q572" s="115"/>
      <c r="R572" s="115"/>
      <c r="S572" s="115"/>
      <c r="T572" s="115"/>
      <c r="U572" s="115"/>
      <c r="V572" s="115" t="s">
        <v>91</v>
      </c>
      <c r="W572" s="115" t="s">
        <v>92</v>
      </c>
      <c r="X572" s="113">
        <f>IF(INDIRECT("W572")="Clássico","12%",IF(INDIRECT("W572")="Premium","17%","-"))</f>
      </c>
      <c r="Y572" s="113" t="s">
        <v>297</v>
      </c>
    </row>
    <row r="573" ht="50.0" customHeight="true">
      <c r="A573" s="113" t="s">
        <v>2049</v>
      </c>
      <c r="B573" s="113" t="s">
        <v>2050</v>
      </c>
      <c r="C573" s="113" t="s">
        <v>2051</v>
      </c>
      <c r="D573" s="113"/>
      <c r="E573" s="114" t="s">
        <v>2052</v>
      </c>
      <c r="F573" s="113" t="s">
        <v>2053</v>
      </c>
      <c r="G573" s="113" t="s">
        <v>2053</v>
      </c>
      <c r="H573" s="113" t="s">
        <v>103</v>
      </c>
      <c r="I573" s="115" t="n">
        <v>41.65</v>
      </c>
      <c r="J573" s="115" t="s">
        <v>80</v>
      </c>
      <c r="K573" s="115" t="s">
        <v>81</v>
      </c>
      <c r="L573" s="115" t="n">
        <v>36.65</v>
      </c>
      <c r="M573" s="115" t="n">
        <v>3.0</v>
      </c>
      <c r="N573" s="115"/>
      <c r="O573" s="115"/>
      <c r="P573" s="115"/>
      <c r="Q573" s="115"/>
      <c r="R573" s="115"/>
      <c r="S573" s="115"/>
      <c r="T573" s="115"/>
      <c r="U573" s="115"/>
      <c r="V573" s="115" t="s">
        <v>91</v>
      </c>
      <c r="W573" s="115" t="s">
        <v>92</v>
      </c>
      <c r="X573" s="113">
        <f>IF(INDIRECT("W573")="Clássico","12%",IF(INDIRECT("W573")="Premium","17%","-"))</f>
      </c>
      <c r="Y573" s="113" t="s">
        <v>1979</v>
      </c>
    </row>
    <row r="574" ht="50.0" customHeight="true">
      <c r="A574" s="113" t="s">
        <v>2054</v>
      </c>
      <c r="B574" s="113" t="s">
        <v>2055</v>
      </c>
      <c r="C574" s="113" t="s">
        <v>2056</v>
      </c>
      <c r="D574" s="113"/>
      <c r="E574" s="114" t="s">
        <v>1039</v>
      </c>
      <c r="F574" s="113" t="s">
        <v>2057</v>
      </c>
      <c r="G574" s="113" t="s">
        <v>2057</v>
      </c>
      <c r="H574" s="113" t="s">
        <v>103</v>
      </c>
      <c r="I574" s="115" t="n">
        <v>673.3</v>
      </c>
      <c r="J574" s="115" t="s">
        <v>80</v>
      </c>
      <c r="K574" s="115" t="s">
        <v>81</v>
      </c>
      <c r="L574" s="115" t="n">
        <v>598.68</v>
      </c>
      <c r="M574" s="115" t="n">
        <v>3.0</v>
      </c>
      <c r="N574" s="115"/>
      <c r="O574" s="115"/>
      <c r="P574" s="115"/>
      <c r="Q574" s="115"/>
      <c r="R574" s="115"/>
      <c r="S574" s="115"/>
      <c r="T574" s="115"/>
      <c r="U574" s="115"/>
      <c r="V574" s="115" t="s">
        <v>82</v>
      </c>
      <c r="W574" s="115" t="s">
        <v>83</v>
      </c>
      <c r="X574" s="113">
        <f>IF(INDIRECT("W574")="Clássico","12%",IF(INDIRECT("W574")="Premium","17%","-"))</f>
      </c>
      <c r="Y574" s="113" t="s">
        <v>1041</v>
      </c>
    </row>
    <row r="575" ht="50.0" customHeight="true">
      <c r="A575" s="113" t="s">
        <v>1629</v>
      </c>
      <c r="B575" s="113" t="s">
        <v>2058</v>
      </c>
      <c r="C575" s="113" t="s">
        <v>2059</v>
      </c>
      <c r="D575" s="113"/>
      <c r="E575" s="114" t="s">
        <v>249</v>
      </c>
      <c r="F575" s="113" t="s">
        <v>1632</v>
      </c>
      <c r="G575" s="113" t="s">
        <v>1632</v>
      </c>
      <c r="H575" s="113" t="s">
        <v>103</v>
      </c>
      <c r="I575" s="115" t="n">
        <v>159.37</v>
      </c>
      <c r="J575" s="115" t="s">
        <v>80</v>
      </c>
      <c r="K575" s="115" t="s">
        <v>81</v>
      </c>
      <c r="L575" s="115" t="n">
        <v>144.24</v>
      </c>
      <c r="M575" s="115" t="n">
        <v>3.0</v>
      </c>
      <c r="N575" s="115"/>
      <c r="O575" s="115"/>
      <c r="P575" s="115"/>
      <c r="Q575" s="115"/>
      <c r="R575" s="115"/>
      <c r="S575" s="115"/>
      <c r="T575" s="115"/>
      <c r="U575" s="115"/>
      <c r="V575" s="115" t="s">
        <v>82</v>
      </c>
      <c r="W575" s="115" t="s">
        <v>92</v>
      </c>
      <c r="X575" s="113">
        <f>IF(INDIRECT("W575")="Clássico","12%",IF(INDIRECT("W575")="Premium","17%","-"))</f>
      </c>
      <c r="Y575" s="113" t="s">
        <v>251</v>
      </c>
    </row>
    <row r="576" ht="50.0" customHeight="true">
      <c r="A576" s="113" t="s">
        <v>22</v>
      </c>
      <c r="B576" s="113" t="s">
        <v>2060</v>
      </c>
      <c r="C576" s="113"/>
      <c r="D576" s="113"/>
      <c r="E576" s="113" t="s">
        <v>22</v>
      </c>
      <c r="F576" s="113" t="s">
        <v>1241</v>
      </c>
      <c r="G576" s="113" t="s">
        <v>103</v>
      </c>
      <c r="H576" s="113" t="s">
        <v>103</v>
      </c>
      <c r="I576" s="115" t="n">
        <v>186.71</v>
      </c>
      <c r="J576" s="115" t="s">
        <v>80</v>
      </c>
      <c r="K576" s="113" t="s">
        <v>81</v>
      </c>
      <c r="L576" s="115" t="n">
        <v>181.71</v>
      </c>
      <c r="M576" s="115" t="n">
        <v>3.0</v>
      </c>
      <c r="N576" s="115"/>
      <c r="O576" s="115"/>
      <c r="P576" s="115"/>
      <c r="Q576" s="115"/>
      <c r="R576" s="115"/>
      <c r="S576" s="115"/>
      <c r="T576" s="115"/>
      <c r="U576" s="115"/>
      <c r="V576" s="115" t="s">
        <v>82</v>
      </c>
      <c r="W576" s="115" t="s">
        <v>92</v>
      </c>
      <c r="X576" s="113">
        <f>IF(INDIRECT("W576")="Clássico","12%",IF(INDIRECT("W576")="Premium","17%","-"))</f>
      </c>
      <c r="Y576" s="113" t="s">
        <v>2061</v>
      </c>
    </row>
    <row r="577" ht="50.0" customHeight="true">
      <c r="A577" s="113" t="s">
        <v>22</v>
      </c>
      <c r="B577" s="113" t="s">
        <v>2060</v>
      </c>
      <c r="C577" s="113" t="s">
        <v>2062</v>
      </c>
      <c r="D577" s="113" t="s">
        <v>2062</v>
      </c>
      <c r="E577" s="114" t="s">
        <v>1243</v>
      </c>
      <c r="F577" s="116">
        <f>"     "&amp;F576</f>
      </c>
      <c r="G577" s="113" t="s">
        <v>1648</v>
      </c>
      <c r="H577" s="113" t="s">
        <v>103</v>
      </c>
      <c r="I577" s="113">
        <f>I576</f>
      </c>
      <c r="J577" s="113">
        <f>J576&amp;"     "</f>
      </c>
      <c r="K577" s="113" t="s">
        <v>81</v>
      </c>
      <c r="L577" s="113">
        <f>L576</f>
      </c>
      <c r="M577" s="113">
        <f>M576</f>
      </c>
      <c r="N577" s="113">
        <f>N576</f>
      </c>
      <c r="O577" s="113">
        <f>O576</f>
      </c>
      <c r="P577" s="113">
        <f>P576</f>
      </c>
      <c r="Q577" s="113">
        <f>Q576</f>
      </c>
      <c r="R577" s="113">
        <f>R576</f>
      </c>
      <c r="S577" s="113">
        <f>S576</f>
      </c>
      <c r="T577" s="113">
        <f>T576</f>
      </c>
      <c r="U577" s="113">
        <f>U576</f>
      </c>
      <c r="V577" s="113">
        <f>V576&amp;"     "</f>
      </c>
      <c r="W577" s="113">
        <f>W576&amp;"     "</f>
      </c>
      <c r="X577" s="113">
        <f>X576</f>
      </c>
      <c r="Y577" s="113" t="s">
        <v>2061</v>
      </c>
    </row>
    <row r="578" ht="50.0" customHeight="true">
      <c r="A578" s="113" t="s">
        <v>22</v>
      </c>
      <c r="B578" s="113" t="s">
        <v>2060</v>
      </c>
      <c r="C578" s="113" t="s">
        <v>2063</v>
      </c>
      <c r="D578" s="113" t="s">
        <v>2063</v>
      </c>
      <c r="E578" s="114" t="s">
        <v>1245</v>
      </c>
      <c r="F578" s="116">
        <f>"     "&amp;F576</f>
      </c>
      <c r="G578" s="113" t="s">
        <v>187</v>
      </c>
      <c r="H578" s="113" t="s">
        <v>103</v>
      </c>
      <c r="I578" s="113">
        <f>I576</f>
      </c>
      <c r="J578" s="113">
        <f>J576&amp;"     "</f>
      </c>
      <c r="K578" s="113" t="s">
        <v>81</v>
      </c>
      <c r="L578" s="113">
        <f>L576</f>
      </c>
      <c r="M578" s="113">
        <f>M576</f>
      </c>
      <c r="N578" s="113">
        <f>N576</f>
      </c>
      <c r="O578" s="113">
        <f>O576</f>
      </c>
      <c r="P578" s="113">
        <f>P576</f>
      </c>
      <c r="Q578" s="113">
        <f>Q576</f>
      </c>
      <c r="R578" s="113">
        <f>R576</f>
      </c>
      <c r="S578" s="113">
        <f>S576</f>
      </c>
      <c r="T578" s="113">
        <f>T576</f>
      </c>
      <c r="U578" s="113">
        <f>U576</f>
      </c>
      <c r="V578" s="113">
        <f>V576&amp;"     "</f>
      </c>
      <c r="W578" s="113">
        <f>W576&amp;"     "</f>
      </c>
      <c r="X578" s="113">
        <f>X576</f>
      </c>
      <c r="Y578" s="113" t="s">
        <v>2061</v>
      </c>
    </row>
    <row r="579" ht="50.0" customHeight="true">
      <c r="A579" s="113" t="s">
        <v>22</v>
      </c>
      <c r="B579" s="113" t="s">
        <v>2064</v>
      </c>
      <c r="C579" s="113"/>
      <c r="D579" s="113"/>
      <c r="E579" s="113" t="s">
        <v>22</v>
      </c>
      <c r="F579" s="113" t="s">
        <v>2065</v>
      </c>
      <c r="G579" s="113" t="s">
        <v>103</v>
      </c>
      <c r="H579" s="113" t="s">
        <v>103</v>
      </c>
      <c r="I579" s="115" t="n">
        <v>312.54</v>
      </c>
      <c r="J579" s="115" t="s">
        <v>80</v>
      </c>
      <c r="K579" s="113" t="s">
        <v>81</v>
      </c>
      <c r="L579" s="115" t="n">
        <v>216.4</v>
      </c>
      <c r="M579" s="115" t="n">
        <v>3.0</v>
      </c>
      <c r="N579" s="115"/>
      <c r="O579" s="115"/>
      <c r="P579" s="115"/>
      <c r="Q579" s="115"/>
      <c r="R579" s="115"/>
      <c r="S579" s="115"/>
      <c r="T579" s="115"/>
      <c r="U579" s="115"/>
      <c r="V579" s="115" t="s">
        <v>82</v>
      </c>
      <c r="W579" s="115" t="s">
        <v>92</v>
      </c>
      <c r="X579" s="113">
        <f>IF(INDIRECT("W579")="Clássico","12%",IF(INDIRECT("W579")="Premium","17%","-"))</f>
      </c>
      <c r="Y579" s="113" t="s">
        <v>22</v>
      </c>
    </row>
    <row r="580" ht="50.0" customHeight="true">
      <c r="A580" s="113" t="s">
        <v>22</v>
      </c>
      <c r="B580" s="113" t="s">
        <v>2064</v>
      </c>
      <c r="C580" s="113" t="s">
        <v>2066</v>
      </c>
      <c r="D580" s="113" t="s">
        <v>2066</v>
      </c>
      <c r="E580" s="114" t="s">
        <v>466</v>
      </c>
      <c r="F580" s="116">
        <f>"     "&amp;F579</f>
      </c>
      <c r="G580" s="113" t="s">
        <v>467</v>
      </c>
      <c r="H580" s="113" t="s">
        <v>103</v>
      </c>
      <c r="I580" s="113">
        <f>I579</f>
      </c>
      <c r="J580" s="113">
        <f>J579&amp;"     "</f>
      </c>
      <c r="K580" s="113" t="s">
        <v>81</v>
      </c>
      <c r="L580" s="113">
        <f>L579</f>
      </c>
      <c r="M580" s="113">
        <f>M579</f>
      </c>
      <c r="N580" s="113">
        <f>N579</f>
      </c>
      <c r="O580" s="113">
        <f>O579</f>
      </c>
      <c r="P580" s="113">
        <f>P579</f>
      </c>
      <c r="Q580" s="113">
        <f>Q579</f>
      </c>
      <c r="R580" s="113">
        <f>R579</f>
      </c>
      <c r="S580" s="113">
        <f>S579</f>
      </c>
      <c r="T580" s="113">
        <f>T579</f>
      </c>
      <c r="U580" s="113">
        <f>U579</f>
      </c>
      <c r="V580" s="113">
        <f>V579&amp;"     "</f>
      </c>
      <c r="W580" s="113">
        <f>W579&amp;"     "</f>
      </c>
      <c r="X580" s="113">
        <f>X579</f>
      </c>
      <c r="Y580" s="113" t="s">
        <v>22</v>
      </c>
    </row>
    <row r="581" ht="50.0" customHeight="true">
      <c r="A581" s="113" t="s">
        <v>22</v>
      </c>
      <c r="B581" s="113" t="s">
        <v>2064</v>
      </c>
      <c r="C581" s="113" t="s">
        <v>2067</v>
      </c>
      <c r="D581" s="113" t="s">
        <v>2067</v>
      </c>
      <c r="E581" s="114" t="s">
        <v>464</v>
      </c>
      <c r="F581" s="116">
        <f>"     "&amp;F579</f>
      </c>
      <c r="G581" s="113" t="s">
        <v>127</v>
      </c>
      <c r="H581" s="113" t="s">
        <v>103</v>
      </c>
      <c r="I581" s="113">
        <f>I579</f>
      </c>
      <c r="J581" s="113">
        <f>J579&amp;"     "</f>
      </c>
      <c r="K581" s="113" t="s">
        <v>81</v>
      </c>
      <c r="L581" s="113">
        <f>L579</f>
      </c>
      <c r="M581" s="113">
        <f>M579</f>
      </c>
      <c r="N581" s="113">
        <f>N579</f>
      </c>
      <c r="O581" s="113">
        <f>O579</f>
      </c>
      <c r="P581" s="113">
        <f>P579</f>
      </c>
      <c r="Q581" s="113">
        <f>Q579</f>
      </c>
      <c r="R581" s="113">
        <f>R579</f>
      </c>
      <c r="S581" s="113">
        <f>S579</f>
      </c>
      <c r="T581" s="113">
        <f>T579</f>
      </c>
      <c r="U581" s="113">
        <f>U579</f>
      </c>
      <c r="V581" s="113">
        <f>V579&amp;"     "</f>
      </c>
      <c r="W581" s="113">
        <f>W579&amp;"     "</f>
      </c>
      <c r="X581" s="113">
        <f>X579</f>
      </c>
      <c r="Y581" s="113" t="s">
        <v>22</v>
      </c>
    </row>
    <row r="582" ht="50.0" customHeight="true">
      <c r="A582" s="113" t="s">
        <v>2068</v>
      </c>
      <c r="B582" s="113" t="s">
        <v>2069</v>
      </c>
      <c r="C582" s="113" t="s">
        <v>2070</v>
      </c>
      <c r="D582" s="113"/>
      <c r="E582" s="114" t="s">
        <v>198</v>
      </c>
      <c r="F582" s="113" t="s">
        <v>2071</v>
      </c>
      <c r="G582" s="113" t="s">
        <v>2071</v>
      </c>
      <c r="H582" s="113" t="s">
        <v>103</v>
      </c>
      <c r="I582" s="115" t="n">
        <v>231.52</v>
      </c>
      <c r="J582" s="115" t="s">
        <v>80</v>
      </c>
      <c r="K582" s="115" t="s">
        <v>81</v>
      </c>
      <c r="L582" s="115" t="n">
        <v>135.38</v>
      </c>
      <c r="M582" s="115" t="n">
        <v>3.0</v>
      </c>
      <c r="N582" s="115"/>
      <c r="O582" s="115"/>
      <c r="P582" s="115"/>
      <c r="Q582" s="115"/>
      <c r="R582" s="115"/>
      <c r="S582" s="115"/>
      <c r="T582" s="115"/>
      <c r="U582" s="115"/>
      <c r="V582" s="115" t="s">
        <v>82</v>
      </c>
      <c r="W582" s="115" t="s">
        <v>83</v>
      </c>
      <c r="X582" s="113">
        <f>IF(INDIRECT("W582")="Clássico","12%",IF(INDIRECT("W582")="Premium","17%","-"))</f>
      </c>
      <c r="Y582" s="113" t="s">
        <v>200</v>
      </c>
    </row>
    <row r="583" ht="50.0" customHeight="true">
      <c r="A583" s="113" t="s">
        <v>2072</v>
      </c>
      <c r="B583" s="113" t="s">
        <v>2073</v>
      </c>
      <c r="C583" s="113" t="s">
        <v>2074</v>
      </c>
      <c r="D583" s="113"/>
      <c r="E583" s="114" t="s">
        <v>1739</v>
      </c>
      <c r="F583" s="113" t="s">
        <v>2075</v>
      </c>
      <c r="G583" s="113" t="s">
        <v>2075</v>
      </c>
      <c r="H583" s="113" t="s">
        <v>103</v>
      </c>
      <c r="I583" s="115" t="n">
        <v>165.7</v>
      </c>
      <c r="J583" s="115" t="s">
        <v>80</v>
      </c>
      <c r="K583" s="115" t="s">
        <v>81</v>
      </c>
      <c r="L583" s="115" t="n">
        <v>165.76</v>
      </c>
      <c r="M583" s="115" t="n">
        <v>3.0</v>
      </c>
      <c r="N583" s="115"/>
      <c r="O583" s="115"/>
      <c r="P583" s="115"/>
      <c r="Q583" s="115"/>
      <c r="R583" s="115"/>
      <c r="S583" s="115"/>
      <c r="T583" s="115"/>
      <c r="U583" s="115"/>
      <c r="V583" s="115" t="s">
        <v>82</v>
      </c>
      <c r="W583" s="115" t="s">
        <v>92</v>
      </c>
      <c r="X583" s="113">
        <f>IF(INDIRECT("W583")="Clássico","12%",IF(INDIRECT("W583")="Premium","17%","-"))</f>
      </c>
      <c r="Y583" s="113" t="s">
        <v>1741</v>
      </c>
    </row>
    <row r="584" ht="50.0" customHeight="true">
      <c r="A584" s="113" t="s">
        <v>2076</v>
      </c>
      <c r="B584" s="113" t="s">
        <v>2077</v>
      </c>
      <c r="C584" s="113" t="s">
        <v>2078</v>
      </c>
      <c r="D584" s="113"/>
      <c r="E584" s="114" t="s">
        <v>1739</v>
      </c>
      <c r="F584" s="113" t="s">
        <v>2079</v>
      </c>
      <c r="G584" s="113" t="s">
        <v>2079</v>
      </c>
      <c r="H584" s="113" t="s">
        <v>103</v>
      </c>
      <c r="I584" s="115" t="n">
        <v>228.99</v>
      </c>
      <c r="J584" s="115" t="s">
        <v>80</v>
      </c>
      <c r="K584" s="115" t="s">
        <v>81</v>
      </c>
      <c r="L584" s="115" t="n">
        <v>282.22</v>
      </c>
      <c r="M584" s="115" t="n">
        <v>3.0</v>
      </c>
      <c r="N584" s="115"/>
      <c r="O584" s="115"/>
      <c r="P584" s="115"/>
      <c r="Q584" s="115"/>
      <c r="R584" s="115"/>
      <c r="S584" s="115"/>
      <c r="T584" s="115"/>
      <c r="U584" s="115"/>
      <c r="V584" s="115" t="s">
        <v>82</v>
      </c>
      <c r="W584" s="115" t="s">
        <v>83</v>
      </c>
      <c r="X584" s="113">
        <f>IF(INDIRECT("W584")="Clássico","12%",IF(INDIRECT("W584")="Premium","17%","-"))</f>
      </c>
      <c r="Y584" s="113" t="s">
        <v>1741</v>
      </c>
    </row>
    <row r="585" ht="50.0" customHeight="true">
      <c r="A585" s="113" t="s">
        <v>22</v>
      </c>
      <c r="B585" s="113" t="s">
        <v>2080</v>
      </c>
      <c r="C585" s="113"/>
      <c r="D585" s="113"/>
      <c r="E585" s="113" t="s">
        <v>1426</v>
      </c>
      <c r="F585" s="113" t="s">
        <v>2081</v>
      </c>
      <c r="G585" s="113" t="s">
        <v>103</v>
      </c>
      <c r="H585" s="113" t="s">
        <v>103</v>
      </c>
      <c r="I585" s="115" t="n">
        <v>121.51</v>
      </c>
      <c r="J585" s="115" t="s">
        <v>80</v>
      </c>
      <c r="K585" s="113" t="s">
        <v>81</v>
      </c>
      <c r="L585" s="115" t="n">
        <v>134.22</v>
      </c>
      <c r="M585" s="115" t="n">
        <v>3.0</v>
      </c>
      <c r="N585" s="115"/>
      <c r="O585" s="115"/>
      <c r="P585" s="115"/>
      <c r="Q585" s="115"/>
      <c r="R585" s="115"/>
      <c r="S585" s="115"/>
      <c r="T585" s="115"/>
      <c r="U585" s="115"/>
      <c r="V585" s="115" t="s">
        <v>82</v>
      </c>
      <c r="W585" s="115" t="s">
        <v>83</v>
      </c>
      <c r="X585" s="113">
        <f>IF(INDIRECT("W585")="Clássico","12%",IF(INDIRECT("W585")="Premium","17%","-"))</f>
      </c>
      <c r="Y585" s="113" t="s">
        <v>128</v>
      </c>
    </row>
    <row r="586" ht="50.0" customHeight="true">
      <c r="A586" s="113" t="s">
        <v>22</v>
      </c>
      <c r="B586" s="113" t="s">
        <v>2080</v>
      </c>
      <c r="C586" s="113" t="s">
        <v>2082</v>
      </c>
      <c r="D586" s="113" t="s">
        <v>2082</v>
      </c>
      <c r="E586" s="114" t="s">
        <v>1429</v>
      </c>
      <c r="F586" s="116">
        <f>"     "&amp;F585</f>
      </c>
      <c r="G586" s="113" t="s">
        <v>1430</v>
      </c>
      <c r="H586" s="113" t="s">
        <v>103</v>
      </c>
      <c r="I586" s="113">
        <f>I585</f>
      </c>
      <c r="J586" s="113">
        <f>J585&amp;"     "</f>
      </c>
      <c r="K586" s="113" t="s">
        <v>81</v>
      </c>
      <c r="L586" s="113">
        <f>L585</f>
      </c>
      <c r="M586" s="113">
        <f>M585</f>
      </c>
      <c r="N586" s="113">
        <f>N585</f>
      </c>
      <c r="O586" s="113">
        <f>O585</f>
      </c>
      <c r="P586" s="113">
        <f>P585</f>
      </c>
      <c r="Q586" s="113">
        <f>Q585</f>
      </c>
      <c r="R586" s="113">
        <f>R585</f>
      </c>
      <c r="S586" s="113">
        <f>S585</f>
      </c>
      <c r="T586" s="113">
        <f>T585</f>
      </c>
      <c r="U586" s="113">
        <f>U585</f>
      </c>
      <c r="V586" s="113">
        <f>V585&amp;"     "</f>
      </c>
      <c r="W586" s="113">
        <f>W585&amp;"     "</f>
      </c>
      <c r="X586" s="113">
        <f>X585</f>
      </c>
      <c r="Y586" s="113" t="s">
        <v>128</v>
      </c>
    </row>
    <row r="587" ht="50.0" customHeight="true">
      <c r="A587" s="113" t="s">
        <v>22</v>
      </c>
      <c r="B587" s="113" t="s">
        <v>2080</v>
      </c>
      <c r="C587" s="113" t="s">
        <v>2083</v>
      </c>
      <c r="D587" s="113" t="s">
        <v>2083</v>
      </c>
      <c r="E587" s="114" t="s">
        <v>1432</v>
      </c>
      <c r="F587" s="116">
        <f>"     "&amp;F585</f>
      </c>
      <c r="G587" s="113" t="s">
        <v>1433</v>
      </c>
      <c r="H587" s="113" t="s">
        <v>103</v>
      </c>
      <c r="I587" s="113">
        <f>I585</f>
      </c>
      <c r="J587" s="113">
        <f>J585&amp;"     "</f>
      </c>
      <c r="K587" s="113" t="s">
        <v>81</v>
      </c>
      <c r="L587" s="113">
        <f>L585</f>
      </c>
      <c r="M587" s="113">
        <f>M585</f>
      </c>
      <c r="N587" s="113">
        <f>N585</f>
      </c>
      <c r="O587" s="113">
        <f>O585</f>
      </c>
      <c r="P587" s="113">
        <f>P585</f>
      </c>
      <c r="Q587" s="113">
        <f>Q585</f>
      </c>
      <c r="R587" s="113">
        <f>R585</f>
      </c>
      <c r="S587" s="113">
        <f>S585</f>
      </c>
      <c r="T587" s="113">
        <f>T585</f>
      </c>
      <c r="U587" s="113">
        <f>U585</f>
      </c>
      <c r="V587" s="113">
        <f>V585&amp;"     "</f>
      </c>
      <c r="W587" s="113">
        <f>W585&amp;"     "</f>
      </c>
      <c r="X587" s="113">
        <f>X585</f>
      </c>
      <c r="Y587" s="113" t="s">
        <v>128</v>
      </c>
    </row>
    <row r="588" ht="50.0" customHeight="true">
      <c r="A588" s="113" t="s">
        <v>2084</v>
      </c>
      <c r="B588" s="113" t="s">
        <v>2085</v>
      </c>
      <c r="C588" s="113" t="s">
        <v>2086</v>
      </c>
      <c r="D588" s="113"/>
      <c r="E588" s="114" t="s">
        <v>799</v>
      </c>
      <c r="F588" s="113" t="s">
        <v>1369</v>
      </c>
      <c r="G588" s="113" t="s">
        <v>1369</v>
      </c>
      <c r="H588" s="113" t="s">
        <v>103</v>
      </c>
      <c r="I588" s="115" t="n">
        <v>302.41</v>
      </c>
      <c r="J588" s="115" t="s">
        <v>80</v>
      </c>
      <c r="K588" s="115" t="s">
        <v>81</v>
      </c>
      <c r="L588" s="115" t="n">
        <v>336.76</v>
      </c>
      <c r="M588" s="115" t="n">
        <v>3.0</v>
      </c>
      <c r="N588" s="115"/>
      <c r="O588" s="115"/>
      <c r="P588" s="115"/>
      <c r="Q588" s="115"/>
      <c r="R588" s="115"/>
      <c r="S588" s="115"/>
      <c r="T588" s="115"/>
      <c r="U588" s="115"/>
      <c r="V588" s="115" t="s">
        <v>82</v>
      </c>
      <c r="W588" s="115" t="s">
        <v>92</v>
      </c>
      <c r="X588" s="113">
        <f>IF(INDIRECT("W588")="Clássico","12%",IF(INDIRECT("W588")="Premium","17%","-"))</f>
      </c>
      <c r="Y588" s="113" t="s">
        <v>93</v>
      </c>
    </row>
    <row r="589" ht="50.0" customHeight="true">
      <c r="A589" s="113" t="s">
        <v>2087</v>
      </c>
      <c r="B589" s="113" t="s">
        <v>2088</v>
      </c>
      <c r="C589" s="113" t="s">
        <v>2089</v>
      </c>
      <c r="D589" s="113"/>
      <c r="E589" s="114" t="s">
        <v>249</v>
      </c>
      <c r="F589" s="113" t="s">
        <v>2090</v>
      </c>
      <c r="G589" s="113" t="s">
        <v>2090</v>
      </c>
      <c r="H589" s="113" t="s">
        <v>103</v>
      </c>
      <c r="I589" s="115" t="n">
        <v>160.13</v>
      </c>
      <c r="J589" s="115" t="s">
        <v>80</v>
      </c>
      <c r="K589" s="115" t="s">
        <v>81</v>
      </c>
      <c r="L589" s="115" t="n">
        <v>189.81</v>
      </c>
      <c r="M589" s="115" t="n">
        <v>3.0</v>
      </c>
      <c r="N589" s="115"/>
      <c r="O589" s="115"/>
      <c r="P589" s="115"/>
      <c r="Q589" s="115"/>
      <c r="R589" s="115"/>
      <c r="S589" s="115"/>
      <c r="T589" s="115"/>
      <c r="U589" s="115"/>
      <c r="V589" s="115" t="s">
        <v>82</v>
      </c>
      <c r="W589" s="115" t="s">
        <v>83</v>
      </c>
      <c r="X589" s="113">
        <f>IF(INDIRECT("W589")="Clássico","12%",IF(INDIRECT("W589")="Premium","17%","-"))</f>
      </c>
      <c r="Y589" s="113" t="s">
        <v>251</v>
      </c>
    </row>
    <row r="590" ht="50.0" customHeight="true">
      <c r="A590" s="113" t="s">
        <v>2091</v>
      </c>
      <c r="B590" s="113" t="s">
        <v>2092</v>
      </c>
      <c r="C590" s="113" t="s">
        <v>2093</v>
      </c>
      <c r="D590" s="113"/>
      <c r="E590" s="114" t="s">
        <v>404</v>
      </c>
      <c r="F590" s="113" t="s">
        <v>2094</v>
      </c>
      <c r="G590" s="113" t="s">
        <v>127</v>
      </c>
      <c r="H590" s="113" t="s">
        <v>103</v>
      </c>
      <c r="I590" s="115" t="n">
        <v>139.9</v>
      </c>
      <c r="J590" s="115" t="s">
        <v>80</v>
      </c>
      <c r="K590" s="115" t="s">
        <v>81</v>
      </c>
      <c r="L590" s="115" t="n">
        <v>145.43</v>
      </c>
      <c r="M590" s="115" t="n">
        <v>3.0</v>
      </c>
      <c r="N590" s="115"/>
      <c r="O590" s="115"/>
      <c r="P590" s="115"/>
      <c r="Q590" s="115"/>
      <c r="R590" s="115"/>
      <c r="S590" s="115"/>
      <c r="T590" s="115"/>
      <c r="U590" s="115"/>
      <c r="V590" s="115" t="s">
        <v>82</v>
      </c>
      <c r="W590" s="115" t="s">
        <v>83</v>
      </c>
      <c r="X590" s="113">
        <f>IF(INDIRECT("W590")="Clássico","12%",IF(INDIRECT("W590")="Premium","17%","-"))</f>
      </c>
      <c r="Y590" s="113" t="s">
        <v>128</v>
      </c>
    </row>
    <row r="591" ht="50.0" customHeight="true">
      <c r="A591" s="113" t="s">
        <v>2095</v>
      </c>
      <c r="B591" s="113" t="s">
        <v>2096</v>
      </c>
      <c r="C591" s="113" t="s">
        <v>2097</v>
      </c>
      <c r="D591" s="113"/>
      <c r="E591" s="114" t="s">
        <v>2098</v>
      </c>
      <c r="F591" s="113" t="s">
        <v>2099</v>
      </c>
      <c r="G591" s="113" t="s">
        <v>2099</v>
      </c>
      <c r="H591" s="113" t="s">
        <v>103</v>
      </c>
      <c r="I591" s="115" t="n">
        <v>339.12</v>
      </c>
      <c r="J591" s="115" t="s">
        <v>80</v>
      </c>
      <c r="K591" s="115" t="s">
        <v>81</v>
      </c>
      <c r="L591" s="115" t="n">
        <v>359.55</v>
      </c>
      <c r="M591" s="115" t="n">
        <v>3.0</v>
      </c>
      <c r="N591" s="115"/>
      <c r="O591" s="115"/>
      <c r="P591" s="115"/>
      <c r="Q591" s="115"/>
      <c r="R591" s="115"/>
      <c r="S591" s="115"/>
      <c r="T591" s="115"/>
      <c r="U591" s="115"/>
      <c r="V591" s="115" t="s">
        <v>82</v>
      </c>
      <c r="W591" s="115" t="s">
        <v>92</v>
      </c>
      <c r="X591" s="113">
        <f>IF(INDIRECT("W591")="Clássico","12%",IF(INDIRECT("W591")="Premium","17%","-"))</f>
      </c>
      <c r="Y591" s="113" t="s">
        <v>2100</v>
      </c>
    </row>
    <row r="592" ht="50.0" customHeight="true">
      <c r="A592" s="113" t="s">
        <v>2101</v>
      </c>
      <c r="B592" s="113" t="s">
        <v>2102</v>
      </c>
      <c r="C592" s="113" t="s">
        <v>2103</v>
      </c>
      <c r="D592" s="113"/>
      <c r="E592" s="114" t="s">
        <v>2104</v>
      </c>
      <c r="F592" s="113" t="s">
        <v>2105</v>
      </c>
      <c r="G592" s="113" t="s">
        <v>2105</v>
      </c>
      <c r="H592" s="113" t="s">
        <v>103</v>
      </c>
      <c r="I592" s="115" t="n">
        <v>96.08</v>
      </c>
      <c r="J592" s="115" t="s">
        <v>80</v>
      </c>
      <c r="K592" s="115" t="s">
        <v>81</v>
      </c>
      <c r="L592" s="115" t="n">
        <v>87.28</v>
      </c>
      <c r="M592" s="115" t="n">
        <v>3.0</v>
      </c>
      <c r="N592" s="115"/>
      <c r="O592" s="115"/>
      <c r="P592" s="115"/>
      <c r="Q592" s="115"/>
      <c r="R592" s="115"/>
      <c r="S592" s="115"/>
      <c r="T592" s="115"/>
      <c r="U592" s="115"/>
      <c r="V592" s="115" t="s">
        <v>91</v>
      </c>
      <c r="W592" s="115" t="s">
        <v>92</v>
      </c>
      <c r="X592" s="113">
        <f>IF(INDIRECT("W592")="Clássico","12%",IF(INDIRECT("W592")="Premium","17%","-"))</f>
      </c>
      <c r="Y592" s="113" t="s">
        <v>93</v>
      </c>
    </row>
    <row r="593" ht="50.0" customHeight="true">
      <c r="A593" s="113" t="s">
        <v>1517</v>
      </c>
      <c r="B593" s="113" t="s">
        <v>2106</v>
      </c>
      <c r="C593" s="113" t="s">
        <v>2107</v>
      </c>
      <c r="D593" s="113"/>
      <c r="E593" s="114" t="s">
        <v>1520</v>
      </c>
      <c r="F593" s="113" t="s">
        <v>1521</v>
      </c>
      <c r="G593" s="113" t="s">
        <v>1521</v>
      </c>
      <c r="H593" s="113" t="s">
        <v>103</v>
      </c>
      <c r="I593" s="115" t="n">
        <v>949.37</v>
      </c>
      <c r="J593" s="115" t="s">
        <v>80</v>
      </c>
      <c r="K593" s="115" t="s">
        <v>81</v>
      </c>
      <c r="L593" s="115" t="n">
        <v>944.37</v>
      </c>
      <c r="M593" s="115" t="n">
        <v>3.0</v>
      </c>
      <c r="N593" s="115"/>
      <c r="O593" s="115"/>
      <c r="P593" s="115"/>
      <c r="Q593" s="115"/>
      <c r="R593" s="115"/>
      <c r="S593" s="115"/>
      <c r="T593" s="115"/>
      <c r="U593" s="115"/>
      <c r="V593" s="115" t="s">
        <v>82</v>
      </c>
      <c r="W593" s="115" t="s">
        <v>83</v>
      </c>
      <c r="X593" s="113">
        <f>IF(INDIRECT("W593")="Clássico","12%",IF(INDIRECT("W593")="Premium","17%","-"))</f>
      </c>
      <c r="Y593" s="113" t="s">
        <v>482</v>
      </c>
    </row>
    <row r="594" ht="50.0" customHeight="true">
      <c r="A594" s="113" t="s">
        <v>2108</v>
      </c>
      <c r="B594" s="113" t="s">
        <v>2109</v>
      </c>
      <c r="C594" s="113" t="s">
        <v>2110</v>
      </c>
      <c r="D594" s="113"/>
      <c r="E594" s="114" t="s">
        <v>781</v>
      </c>
      <c r="F594" s="113" t="s">
        <v>2111</v>
      </c>
      <c r="G594" s="113" t="s">
        <v>2111</v>
      </c>
      <c r="H594" s="113" t="s">
        <v>103</v>
      </c>
      <c r="I594" s="115" t="n">
        <v>446.71</v>
      </c>
      <c r="J594" s="115" t="s">
        <v>80</v>
      </c>
      <c r="K594" s="115" t="s">
        <v>81</v>
      </c>
      <c r="L594" s="115" t="n">
        <v>411.33</v>
      </c>
      <c r="M594" s="115" t="n">
        <v>3.0</v>
      </c>
      <c r="N594" s="115"/>
      <c r="O594" s="115"/>
      <c r="P594" s="115"/>
      <c r="Q594" s="115"/>
      <c r="R594" s="115"/>
      <c r="S594" s="115"/>
      <c r="T594" s="115"/>
      <c r="U594" s="115"/>
      <c r="V594" s="115" t="s">
        <v>82</v>
      </c>
      <c r="W594" s="115" t="s">
        <v>83</v>
      </c>
      <c r="X594" s="113">
        <f>IF(INDIRECT("W594")="Clássico","12%",IF(INDIRECT("W594")="Premium","17%","-"))</f>
      </c>
      <c r="Y594" s="113" t="s">
        <v>783</v>
      </c>
    </row>
    <row r="595" ht="50.0" customHeight="true">
      <c r="A595" s="113" t="s">
        <v>2112</v>
      </c>
      <c r="B595" s="113" t="s">
        <v>2113</v>
      </c>
      <c r="C595" s="113" t="s">
        <v>2114</v>
      </c>
      <c r="D595" s="113"/>
      <c r="E595" s="114" t="s">
        <v>1291</v>
      </c>
      <c r="F595" s="113" t="s">
        <v>2115</v>
      </c>
      <c r="G595" s="113" t="s">
        <v>2115</v>
      </c>
      <c r="H595" s="113" t="s">
        <v>103</v>
      </c>
      <c r="I595" s="115" t="n">
        <v>374.56</v>
      </c>
      <c r="J595" s="115" t="s">
        <v>80</v>
      </c>
      <c r="K595" s="115" t="s">
        <v>81</v>
      </c>
      <c r="L595" s="115" t="n">
        <v>368.3</v>
      </c>
      <c r="M595" s="115" t="n">
        <v>3.0</v>
      </c>
      <c r="N595" s="115"/>
      <c r="O595" s="115"/>
      <c r="P595" s="115"/>
      <c r="Q595" s="115"/>
      <c r="R595" s="115"/>
      <c r="S595" s="115"/>
      <c r="T595" s="115"/>
      <c r="U595" s="115"/>
      <c r="V595" s="115" t="s">
        <v>82</v>
      </c>
      <c r="W595" s="115" t="s">
        <v>83</v>
      </c>
      <c r="X595" s="113">
        <f>IF(INDIRECT("W595")="Clássico","12%",IF(INDIRECT("W595")="Premium","17%","-"))</f>
      </c>
      <c r="Y595" s="113" t="s">
        <v>932</v>
      </c>
    </row>
    <row r="596" ht="50.0" customHeight="true">
      <c r="A596" s="113" t="s">
        <v>22</v>
      </c>
      <c r="B596" s="113" t="s">
        <v>2116</v>
      </c>
      <c r="C596" s="113"/>
      <c r="D596" s="113"/>
      <c r="E596" s="113" t="s">
        <v>22</v>
      </c>
      <c r="F596" s="113" t="s">
        <v>1858</v>
      </c>
      <c r="G596" s="113" t="s">
        <v>103</v>
      </c>
      <c r="H596" s="113" t="s">
        <v>103</v>
      </c>
      <c r="I596" s="115" t="n">
        <v>234.9</v>
      </c>
      <c r="J596" s="115" t="s">
        <v>80</v>
      </c>
      <c r="K596" s="113" t="s">
        <v>81</v>
      </c>
      <c r="L596" s="115" t="n">
        <v>205.0</v>
      </c>
      <c r="M596" s="115" t="n">
        <v>3.0</v>
      </c>
      <c r="N596" s="115"/>
      <c r="O596" s="115"/>
      <c r="P596" s="115"/>
      <c r="Q596" s="115"/>
      <c r="R596" s="115"/>
      <c r="S596" s="115"/>
      <c r="T596" s="115"/>
      <c r="U596" s="115"/>
      <c r="V596" s="115" t="s">
        <v>82</v>
      </c>
      <c r="W596" s="115" t="s">
        <v>83</v>
      </c>
      <c r="X596" s="113">
        <f>IF(INDIRECT("W596")="Clássico","12%",IF(INDIRECT("W596")="Premium","17%","-"))</f>
      </c>
      <c r="Y596" s="113" t="s">
        <v>662</v>
      </c>
    </row>
    <row r="597" ht="50.0" customHeight="true">
      <c r="A597" s="113" t="s">
        <v>22</v>
      </c>
      <c r="B597" s="113" t="s">
        <v>2116</v>
      </c>
      <c r="C597" s="113" t="s">
        <v>2117</v>
      </c>
      <c r="D597" s="113" t="s">
        <v>2117</v>
      </c>
      <c r="E597" s="114" t="s">
        <v>1860</v>
      </c>
      <c r="F597" s="116">
        <f>"     "&amp;F596</f>
      </c>
      <c r="G597" s="113" t="s">
        <v>687</v>
      </c>
      <c r="H597" s="113" t="s">
        <v>103</v>
      </c>
      <c r="I597" s="113">
        <f>I596</f>
      </c>
      <c r="J597" s="113">
        <f>J596&amp;"     "</f>
      </c>
      <c r="K597" s="113" t="s">
        <v>81</v>
      </c>
      <c r="L597" s="113">
        <f>L596</f>
      </c>
      <c r="M597" s="113">
        <f>M596</f>
      </c>
      <c r="N597" s="113">
        <f>N596</f>
      </c>
      <c r="O597" s="113">
        <f>O596</f>
      </c>
      <c r="P597" s="113">
        <f>P596</f>
      </c>
      <c r="Q597" s="113">
        <f>Q596</f>
      </c>
      <c r="R597" s="113">
        <f>R596</f>
      </c>
      <c r="S597" s="113">
        <f>S596</f>
      </c>
      <c r="T597" s="113">
        <f>T596</f>
      </c>
      <c r="U597" s="113">
        <f>U596</f>
      </c>
      <c r="V597" s="113">
        <f>V596&amp;"     "</f>
      </c>
      <c r="W597" s="113">
        <f>W596&amp;"     "</f>
      </c>
      <c r="X597" s="113">
        <f>X596</f>
      </c>
      <c r="Y597" s="113" t="s">
        <v>662</v>
      </c>
    </row>
    <row r="598" ht="50.0" customHeight="true">
      <c r="A598" s="113" t="s">
        <v>22</v>
      </c>
      <c r="B598" s="113" t="s">
        <v>2116</v>
      </c>
      <c r="C598" s="113" t="s">
        <v>2118</v>
      </c>
      <c r="D598" s="113" t="s">
        <v>2118</v>
      </c>
      <c r="E598" s="114" t="s">
        <v>1862</v>
      </c>
      <c r="F598" s="116">
        <f>"     "&amp;F596</f>
      </c>
      <c r="G598" s="113" t="s">
        <v>690</v>
      </c>
      <c r="H598" s="113" t="s">
        <v>103</v>
      </c>
      <c r="I598" s="113">
        <f>I596</f>
      </c>
      <c r="J598" s="113">
        <f>J596&amp;"     "</f>
      </c>
      <c r="K598" s="113" t="s">
        <v>81</v>
      </c>
      <c r="L598" s="113">
        <f>L596</f>
      </c>
      <c r="M598" s="113">
        <f>M596</f>
      </c>
      <c r="N598" s="113">
        <f>N596</f>
      </c>
      <c r="O598" s="113">
        <f>O596</f>
      </c>
      <c r="P598" s="113">
        <f>P596</f>
      </c>
      <c r="Q598" s="113">
        <f>Q596</f>
      </c>
      <c r="R598" s="113">
        <f>R596</f>
      </c>
      <c r="S598" s="113">
        <f>S596</f>
      </c>
      <c r="T598" s="113">
        <f>T596</f>
      </c>
      <c r="U598" s="113">
        <f>U596</f>
      </c>
      <c r="V598" s="113">
        <f>V596&amp;"     "</f>
      </c>
      <c r="W598" s="113">
        <f>W596&amp;"     "</f>
      </c>
      <c r="X598" s="113">
        <f>X596</f>
      </c>
      <c r="Y598" s="113" t="s">
        <v>662</v>
      </c>
    </row>
    <row r="599" ht="50.0" customHeight="true">
      <c r="A599" s="113" t="s">
        <v>2119</v>
      </c>
      <c r="B599" s="113" t="s">
        <v>2120</v>
      </c>
      <c r="C599" s="113" t="s">
        <v>2121</v>
      </c>
      <c r="D599" s="113"/>
      <c r="E599" s="114" t="s">
        <v>1749</v>
      </c>
      <c r="F599" s="113" t="s">
        <v>2122</v>
      </c>
      <c r="G599" s="113" t="s">
        <v>2122</v>
      </c>
      <c r="H599" s="113" t="s">
        <v>103</v>
      </c>
      <c r="I599" s="115" t="n">
        <v>65.7</v>
      </c>
      <c r="J599" s="115" t="s">
        <v>80</v>
      </c>
      <c r="K599" s="115" t="s">
        <v>81</v>
      </c>
      <c r="L599" s="115" t="n">
        <v>59.98</v>
      </c>
      <c r="M599" s="115" t="n">
        <v>3.0</v>
      </c>
      <c r="N599" s="115"/>
      <c r="O599" s="115"/>
      <c r="P599" s="115"/>
      <c r="Q599" s="115"/>
      <c r="R599" s="115"/>
      <c r="S599" s="115"/>
      <c r="T599" s="115"/>
      <c r="U599" s="115"/>
      <c r="V599" s="115" t="s">
        <v>91</v>
      </c>
      <c r="W599" s="115" t="s">
        <v>92</v>
      </c>
      <c r="X599" s="113">
        <f>IF(INDIRECT("W599")="Clássico","12%",IF(INDIRECT("W599")="Premium","17%","-"))</f>
      </c>
      <c r="Y599" s="113" t="s">
        <v>1751</v>
      </c>
    </row>
    <row r="600" ht="50.0" customHeight="true">
      <c r="A600" s="113" t="s">
        <v>2123</v>
      </c>
      <c r="B600" s="113" t="s">
        <v>2124</v>
      </c>
      <c r="C600" s="113" t="s">
        <v>2125</v>
      </c>
      <c r="D600" s="113"/>
      <c r="E600" s="114" t="s">
        <v>1072</v>
      </c>
      <c r="F600" s="113" t="s">
        <v>1073</v>
      </c>
      <c r="G600" s="113" t="s">
        <v>1073</v>
      </c>
      <c r="H600" s="113" t="s">
        <v>103</v>
      </c>
      <c r="I600" s="115" t="n">
        <v>147.98</v>
      </c>
      <c r="J600" s="115" t="s">
        <v>80</v>
      </c>
      <c r="K600" s="115" t="s">
        <v>81</v>
      </c>
      <c r="L600" s="115" t="n">
        <v>132.85</v>
      </c>
      <c r="M600" s="115" t="n">
        <v>3.0</v>
      </c>
      <c r="N600" s="115"/>
      <c r="O600" s="115"/>
      <c r="P600" s="115"/>
      <c r="Q600" s="115"/>
      <c r="R600" s="115"/>
      <c r="S600" s="115"/>
      <c r="T600" s="115"/>
      <c r="U600" s="115"/>
      <c r="V600" s="115" t="s">
        <v>82</v>
      </c>
      <c r="W600" s="115" t="s">
        <v>83</v>
      </c>
      <c r="X600" s="113">
        <f>IF(INDIRECT("W600")="Clássico","12%",IF(INDIRECT("W600")="Premium","17%","-"))</f>
      </c>
      <c r="Y600" s="113" t="s">
        <v>2126</v>
      </c>
    </row>
    <row r="601" ht="50.0" customHeight="true">
      <c r="A601" s="113" t="s">
        <v>1170</v>
      </c>
      <c r="B601" s="113" t="s">
        <v>2127</v>
      </c>
      <c r="C601" s="113" t="s">
        <v>2128</v>
      </c>
      <c r="D601" s="113"/>
      <c r="E601" s="114" t="s">
        <v>1173</v>
      </c>
      <c r="F601" s="113" t="s">
        <v>1174</v>
      </c>
      <c r="G601" s="113" t="s">
        <v>1174</v>
      </c>
      <c r="H601" s="113" t="s">
        <v>103</v>
      </c>
      <c r="I601" s="115" t="n">
        <v>236.59</v>
      </c>
      <c r="J601" s="115" t="s">
        <v>80</v>
      </c>
      <c r="K601" s="115" t="s">
        <v>81</v>
      </c>
      <c r="L601" s="115" t="n">
        <v>184.69</v>
      </c>
      <c r="M601" s="115" t="n">
        <v>3.0</v>
      </c>
      <c r="N601" s="115"/>
      <c r="O601" s="115"/>
      <c r="P601" s="115"/>
      <c r="Q601" s="115"/>
      <c r="R601" s="115"/>
      <c r="S601" s="115"/>
      <c r="T601" s="115"/>
      <c r="U601" s="115"/>
      <c r="V601" s="115" t="s">
        <v>82</v>
      </c>
      <c r="W601" s="115" t="s">
        <v>92</v>
      </c>
      <c r="X601" s="113">
        <f>IF(INDIRECT("W601")="Clássico","12%",IF(INDIRECT("W601")="Premium","17%","-"))</f>
      </c>
      <c r="Y601" s="113" t="s">
        <v>482</v>
      </c>
    </row>
    <row r="602" ht="50.0" customHeight="true">
      <c r="A602" s="113" t="s">
        <v>2129</v>
      </c>
      <c r="B602" s="113" t="s">
        <v>2130</v>
      </c>
      <c r="C602" s="113" t="s">
        <v>2131</v>
      </c>
      <c r="D602" s="113"/>
      <c r="E602" s="114" t="s">
        <v>1810</v>
      </c>
      <c r="F602" s="113" t="s">
        <v>2132</v>
      </c>
      <c r="G602" s="113" t="s">
        <v>2132</v>
      </c>
      <c r="H602" s="113" t="s">
        <v>103</v>
      </c>
      <c r="I602" s="115" t="n">
        <v>249.24</v>
      </c>
      <c r="J602" s="115" t="s">
        <v>80</v>
      </c>
      <c r="K602" s="115" t="s">
        <v>81</v>
      </c>
      <c r="L602" s="115" t="n">
        <v>243.09</v>
      </c>
      <c r="M602" s="115" t="n">
        <v>3.0</v>
      </c>
      <c r="N602" s="115"/>
      <c r="O602" s="115"/>
      <c r="P602" s="115"/>
      <c r="Q602" s="115"/>
      <c r="R602" s="115"/>
      <c r="S602" s="115"/>
      <c r="T602" s="115"/>
      <c r="U602" s="115"/>
      <c r="V602" s="115" t="s">
        <v>82</v>
      </c>
      <c r="W602" s="115" t="s">
        <v>83</v>
      </c>
      <c r="X602" s="113">
        <f>IF(INDIRECT("W602")="Clássico","12%",IF(INDIRECT("W602")="Premium","17%","-"))</f>
      </c>
      <c r="Y602" s="113" t="s">
        <v>1473</v>
      </c>
    </row>
    <row r="603" ht="50.0" customHeight="true">
      <c r="A603" s="113" t="s">
        <v>2133</v>
      </c>
      <c r="B603" s="113" t="s">
        <v>2134</v>
      </c>
      <c r="C603" s="113" t="s">
        <v>2135</v>
      </c>
      <c r="D603" s="113"/>
      <c r="E603" s="114" t="s">
        <v>920</v>
      </c>
      <c r="F603" s="113" t="s">
        <v>2136</v>
      </c>
      <c r="G603" s="113" t="s">
        <v>2136</v>
      </c>
      <c r="H603" s="113" t="s">
        <v>103</v>
      </c>
      <c r="I603" s="115" t="n">
        <v>193.55</v>
      </c>
      <c r="J603" s="115" t="s">
        <v>80</v>
      </c>
      <c r="K603" s="115" t="s">
        <v>81</v>
      </c>
      <c r="L603" s="115" t="n">
        <v>210.94</v>
      </c>
      <c r="M603" s="115" t="n">
        <v>3.0</v>
      </c>
      <c r="N603" s="115"/>
      <c r="O603" s="115"/>
      <c r="P603" s="115"/>
      <c r="Q603" s="115"/>
      <c r="R603" s="115"/>
      <c r="S603" s="115"/>
      <c r="T603" s="115"/>
      <c r="U603" s="115"/>
      <c r="V603" s="115" t="s">
        <v>82</v>
      </c>
      <c r="W603" s="115" t="s">
        <v>92</v>
      </c>
      <c r="X603" s="113">
        <f>IF(INDIRECT("W603")="Clássico","12%",IF(INDIRECT("W603")="Premium","17%","-"))</f>
      </c>
      <c r="Y603" s="113" t="s">
        <v>482</v>
      </c>
    </row>
    <row r="604" ht="50.0" customHeight="true">
      <c r="A604" s="113" t="s">
        <v>2137</v>
      </c>
      <c r="B604" s="113" t="s">
        <v>2138</v>
      </c>
      <c r="C604" s="113" t="s">
        <v>2139</v>
      </c>
      <c r="D604" s="113"/>
      <c r="E604" s="114" t="s">
        <v>532</v>
      </c>
      <c r="F604" s="113" t="s">
        <v>2140</v>
      </c>
      <c r="G604" s="113" t="s">
        <v>2140</v>
      </c>
      <c r="H604" s="113" t="s">
        <v>103</v>
      </c>
      <c r="I604" s="115" t="n">
        <v>242.91</v>
      </c>
      <c r="J604" s="115" t="s">
        <v>80</v>
      </c>
      <c r="K604" s="115" t="s">
        <v>81</v>
      </c>
      <c r="L604" s="115" t="n">
        <v>237.91</v>
      </c>
      <c r="M604" s="115" t="n">
        <v>3.0</v>
      </c>
      <c r="N604" s="115"/>
      <c r="O604" s="115"/>
      <c r="P604" s="115"/>
      <c r="Q604" s="115"/>
      <c r="R604" s="115"/>
      <c r="S604" s="115"/>
      <c r="T604" s="115"/>
      <c r="U604" s="115"/>
      <c r="V604" s="115" t="s">
        <v>82</v>
      </c>
      <c r="W604" s="115" t="s">
        <v>92</v>
      </c>
      <c r="X604" s="113">
        <f>IF(INDIRECT("W604")="Clássico","13%",IF(INDIRECT("W604")="Premium","18%","-"))</f>
      </c>
      <c r="Y604" s="113" t="s">
        <v>2141</v>
      </c>
    </row>
    <row r="605" ht="50.0" customHeight="true">
      <c r="A605" s="113" t="s">
        <v>2142</v>
      </c>
      <c r="B605" s="113" t="s">
        <v>2143</v>
      </c>
      <c r="C605" s="113" t="s">
        <v>2144</v>
      </c>
      <c r="D605" s="113"/>
      <c r="E605" s="114" t="s">
        <v>1402</v>
      </c>
      <c r="F605" s="113" t="s">
        <v>2145</v>
      </c>
      <c r="G605" s="113" t="s">
        <v>2145</v>
      </c>
      <c r="H605" s="113" t="s">
        <v>234</v>
      </c>
      <c r="I605" s="115" t="n">
        <v>988.49</v>
      </c>
      <c r="J605" s="115" t="s">
        <v>80</v>
      </c>
      <c r="K605" s="115" t="s">
        <v>81</v>
      </c>
      <c r="L605" s="115" t="n">
        <v>641.72</v>
      </c>
      <c r="M605" s="115" t="n">
        <v>3.0</v>
      </c>
      <c r="N605" s="115"/>
      <c r="O605" s="115"/>
      <c r="P605" s="115"/>
      <c r="Q605" s="115"/>
      <c r="R605" s="115"/>
      <c r="S605" s="115"/>
      <c r="T605" s="115"/>
      <c r="U605" s="115"/>
      <c r="V605" s="115" t="s">
        <v>82</v>
      </c>
      <c r="W605" s="115" t="s">
        <v>83</v>
      </c>
      <c r="X605" s="113">
        <f>IF(INDIRECT("W605")="Clássico","12%",IF(INDIRECT("W605")="Premium","17%","-"))</f>
      </c>
      <c r="Y605" s="113" t="s">
        <v>1404</v>
      </c>
    </row>
    <row r="606" ht="50.0" customHeight="true">
      <c r="A606" s="113" t="s">
        <v>2146</v>
      </c>
      <c r="B606" s="113" t="s">
        <v>2147</v>
      </c>
      <c r="C606" s="113" t="s">
        <v>2148</v>
      </c>
      <c r="D606" s="113"/>
      <c r="E606" s="114" t="s">
        <v>2149</v>
      </c>
      <c r="F606" s="113" t="s">
        <v>2150</v>
      </c>
      <c r="G606" s="113" t="s">
        <v>2151</v>
      </c>
      <c r="H606" s="113" t="s">
        <v>103</v>
      </c>
      <c r="I606" s="115" t="n">
        <v>487.22</v>
      </c>
      <c r="J606" s="115" t="s">
        <v>80</v>
      </c>
      <c r="K606" s="115" t="s">
        <v>81</v>
      </c>
      <c r="L606" s="115" t="n">
        <v>489.82</v>
      </c>
      <c r="M606" s="115" t="n">
        <v>3.0</v>
      </c>
      <c r="N606" s="115"/>
      <c r="O606" s="115"/>
      <c r="P606" s="115"/>
      <c r="Q606" s="115"/>
      <c r="R606" s="115"/>
      <c r="S606" s="115"/>
      <c r="T606" s="115"/>
      <c r="U606" s="115"/>
      <c r="V606" s="115" t="s">
        <v>82</v>
      </c>
      <c r="W606" s="115" t="s">
        <v>83</v>
      </c>
      <c r="X606" s="113">
        <f>IF(INDIRECT("W606")="Clássico","12%",IF(INDIRECT("W606")="Premium","17%","-"))</f>
      </c>
      <c r="Y606" s="113" t="s">
        <v>2152</v>
      </c>
    </row>
    <row r="607" ht="50.0" customHeight="true">
      <c r="A607" s="113" t="s">
        <v>2153</v>
      </c>
      <c r="B607" s="113" t="s">
        <v>2154</v>
      </c>
      <c r="C607" s="113" t="s">
        <v>2155</v>
      </c>
      <c r="D607" s="113"/>
      <c r="E607" s="114" t="s">
        <v>1739</v>
      </c>
      <c r="F607" s="113" t="s">
        <v>2156</v>
      </c>
      <c r="G607" s="113" t="s">
        <v>2156</v>
      </c>
      <c r="H607" s="113" t="s">
        <v>103</v>
      </c>
      <c r="I607" s="115" t="n">
        <v>159.37</v>
      </c>
      <c r="J607" s="115" t="s">
        <v>80</v>
      </c>
      <c r="K607" s="115" t="s">
        <v>81</v>
      </c>
      <c r="L607" s="115" t="n">
        <v>143.09</v>
      </c>
      <c r="M607" s="115" t="n">
        <v>3.0</v>
      </c>
      <c r="N607" s="115"/>
      <c r="O607" s="115"/>
      <c r="P607" s="115"/>
      <c r="Q607" s="115"/>
      <c r="R607" s="115"/>
      <c r="S607" s="115"/>
      <c r="T607" s="115"/>
      <c r="U607" s="115"/>
      <c r="V607" s="115" t="s">
        <v>82</v>
      </c>
      <c r="W607" s="115" t="s">
        <v>92</v>
      </c>
      <c r="X607" s="113">
        <f>IF(INDIRECT("W607")="Clássico","12%",IF(INDIRECT("W607")="Premium","17%","-"))</f>
      </c>
      <c r="Y607" s="113" t="s">
        <v>1741</v>
      </c>
    </row>
    <row r="608" ht="50.0" customHeight="true">
      <c r="A608" s="113" t="s">
        <v>2157</v>
      </c>
      <c r="B608" s="113" t="s">
        <v>2158</v>
      </c>
      <c r="C608" s="113" t="s">
        <v>2159</v>
      </c>
      <c r="D608" s="113"/>
      <c r="E608" s="114" t="s">
        <v>2160</v>
      </c>
      <c r="F608" s="113" t="s">
        <v>2161</v>
      </c>
      <c r="G608" s="113" t="s">
        <v>2161</v>
      </c>
      <c r="H608" s="113" t="s">
        <v>103</v>
      </c>
      <c r="I608" s="115" t="n">
        <v>53.17</v>
      </c>
      <c r="J608" s="115" t="s">
        <v>80</v>
      </c>
      <c r="K608" s="115" t="s">
        <v>81</v>
      </c>
      <c r="L608" s="115" t="n">
        <v>48.17</v>
      </c>
      <c r="M608" s="115" t="n">
        <v>3.0</v>
      </c>
      <c r="N608" s="115"/>
      <c r="O608" s="115"/>
      <c r="P608" s="115"/>
      <c r="Q608" s="115"/>
      <c r="R608" s="115"/>
      <c r="S608" s="115"/>
      <c r="T608" s="115"/>
      <c r="U608" s="115"/>
      <c r="V608" s="115" t="s">
        <v>91</v>
      </c>
      <c r="W608" s="115" t="s">
        <v>83</v>
      </c>
      <c r="X608" s="113">
        <f>IF(INDIRECT("W608")="Clássico","11.5%",IF(INDIRECT("W608")="Premium","16.5%","-"))</f>
      </c>
      <c r="Y608" s="113" t="s">
        <v>2162</v>
      </c>
    </row>
    <row r="609" ht="50.0" customHeight="true">
      <c r="A609" s="113" t="s">
        <v>2163</v>
      </c>
      <c r="B609" s="113" t="s">
        <v>2164</v>
      </c>
      <c r="C609" s="113" t="s">
        <v>2165</v>
      </c>
      <c r="D609" s="113"/>
      <c r="E609" s="114" t="s">
        <v>2166</v>
      </c>
      <c r="F609" s="113" t="s">
        <v>2167</v>
      </c>
      <c r="G609" s="113" t="s">
        <v>2167</v>
      </c>
      <c r="H609" s="113" t="s">
        <v>103</v>
      </c>
      <c r="I609" s="115" t="n">
        <v>297.35</v>
      </c>
      <c r="J609" s="115" t="s">
        <v>80</v>
      </c>
      <c r="K609" s="115" t="s">
        <v>81</v>
      </c>
      <c r="L609" s="115" t="n">
        <v>292.46</v>
      </c>
      <c r="M609" s="115" t="n">
        <v>3.0</v>
      </c>
      <c r="N609" s="115"/>
      <c r="O609" s="115"/>
      <c r="P609" s="115"/>
      <c r="Q609" s="115"/>
      <c r="R609" s="115"/>
      <c r="S609" s="115"/>
      <c r="T609" s="115"/>
      <c r="U609" s="115"/>
      <c r="V609" s="115" t="s">
        <v>82</v>
      </c>
      <c r="W609" s="115" t="s">
        <v>83</v>
      </c>
      <c r="X609" s="113">
        <f>IF(INDIRECT("W609")="Clássico","12%",IF(INDIRECT("W609")="Premium","17%","-"))</f>
      </c>
      <c r="Y609" s="113" t="s">
        <v>1098</v>
      </c>
    </row>
    <row r="610" ht="50.0" customHeight="true">
      <c r="A610" s="113" t="s">
        <v>2168</v>
      </c>
      <c r="B610" s="113" t="s">
        <v>2169</v>
      </c>
      <c r="C610" s="113" t="s">
        <v>2170</v>
      </c>
      <c r="D610" s="113"/>
      <c r="E610" s="114" t="s">
        <v>1912</v>
      </c>
      <c r="F610" s="113" t="s">
        <v>2171</v>
      </c>
      <c r="G610" s="113" t="s">
        <v>2171</v>
      </c>
      <c r="H610" s="113" t="s">
        <v>103</v>
      </c>
      <c r="I610" s="115" t="n">
        <v>341.42</v>
      </c>
      <c r="J610" s="115" t="s">
        <v>80</v>
      </c>
      <c r="K610" s="115" t="s">
        <v>81</v>
      </c>
      <c r="L610" s="115" t="n">
        <v>336.42</v>
      </c>
      <c r="M610" s="115" t="n">
        <v>3.0</v>
      </c>
      <c r="N610" s="115"/>
      <c r="O610" s="115"/>
      <c r="P610" s="115"/>
      <c r="Q610" s="115"/>
      <c r="R610" s="115"/>
      <c r="S610" s="115"/>
      <c r="T610" s="115"/>
      <c r="U610" s="115"/>
      <c r="V610" s="115" t="s">
        <v>82</v>
      </c>
      <c r="W610" s="115" t="s">
        <v>83</v>
      </c>
      <c r="X610" s="113">
        <f>IF(INDIRECT("W610")="Clássico","13%",IF(INDIRECT("W610")="Premium","18%","-"))</f>
      </c>
      <c r="Y610" s="113" t="s">
        <v>1914</v>
      </c>
    </row>
    <row r="611" ht="50.0" customHeight="true">
      <c r="A611" s="113" t="s">
        <v>2172</v>
      </c>
      <c r="B611" s="113" t="s">
        <v>2173</v>
      </c>
      <c r="C611" s="113" t="s">
        <v>2174</v>
      </c>
      <c r="D611" s="113"/>
      <c r="E611" s="114" t="s">
        <v>238</v>
      </c>
      <c r="F611" s="113" t="s">
        <v>2175</v>
      </c>
      <c r="G611" s="113" t="s">
        <v>127</v>
      </c>
      <c r="H611" s="113" t="s">
        <v>103</v>
      </c>
      <c r="I611" s="115" t="n">
        <v>173.29</v>
      </c>
      <c r="J611" s="115" t="s">
        <v>80</v>
      </c>
      <c r="K611" s="115" t="s">
        <v>81</v>
      </c>
      <c r="L611" s="115" t="n">
        <v>152.91</v>
      </c>
      <c r="M611" s="115" t="n">
        <v>3.0</v>
      </c>
      <c r="N611" s="115"/>
      <c r="O611" s="115"/>
      <c r="P611" s="115"/>
      <c r="Q611" s="115"/>
      <c r="R611" s="115"/>
      <c r="S611" s="115"/>
      <c r="T611" s="115"/>
      <c r="U611" s="115"/>
      <c r="V611" s="115" t="s">
        <v>82</v>
      </c>
      <c r="W611" s="115" t="s">
        <v>83</v>
      </c>
      <c r="X611" s="113">
        <f>IF(INDIRECT("W611")="Clássico","12%",IF(INDIRECT("W611")="Premium","17%","-"))</f>
      </c>
      <c r="Y611" s="113" t="s">
        <v>128</v>
      </c>
    </row>
    <row r="612" ht="50.0" customHeight="true">
      <c r="A612" s="113" t="s">
        <v>2176</v>
      </c>
      <c r="B612" s="113" t="s">
        <v>2177</v>
      </c>
      <c r="C612" s="113" t="s">
        <v>2178</v>
      </c>
      <c r="D612" s="113"/>
      <c r="E612" s="114" t="s">
        <v>549</v>
      </c>
      <c r="F612" s="113" t="s">
        <v>2179</v>
      </c>
      <c r="G612" s="113" t="s">
        <v>2179</v>
      </c>
      <c r="H612" s="113" t="s">
        <v>103</v>
      </c>
      <c r="I612" s="115" t="n">
        <v>345.45</v>
      </c>
      <c r="J612" s="115" t="s">
        <v>80</v>
      </c>
      <c r="K612" s="115" t="s">
        <v>81</v>
      </c>
      <c r="L612" s="115" t="n">
        <v>339.3</v>
      </c>
      <c r="M612" s="115" t="n">
        <v>3.0</v>
      </c>
      <c r="N612" s="115"/>
      <c r="O612" s="115"/>
      <c r="P612" s="115"/>
      <c r="Q612" s="115"/>
      <c r="R612" s="115"/>
      <c r="S612" s="115"/>
      <c r="T612" s="115"/>
      <c r="U612" s="115"/>
      <c r="V612" s="115" t="s">
        <v>82</v>
      </c>
      <c r="W612" s="115" t="s">
        <v>92</v>
      </c>
      <c r="X612" s="113">
        <f>IF(INDIRECT("W612")="Clássico","12%",IF(INDIRECT("W612")="Premium","17%","-"))</f>
      </c>
      <c r="Y612" s="113" t="s">
        <v>551</v>
      </c>
    </row>
    <row r="613" ht="50.0" customHeight="true">
      <c r="A613" s="113" t="s">
        <v>2180</v>
      </c>
      <c r="B613" s="113" t="s">
        <v>2181</v>
      </c>
      <c r="C613" s="113" t="s">
        <v>2182</v>
      </c>
      <c r="D613" s="113"/>
      <c r="E613" s="114" t="s">
        <v>1368</v>
      </c>
      <c r="F613" s="113" t="s">
        <v>800</v>
      </c>
      <c r="G613" s="113" t="s">
        <v>800</v>
      </c>
      <c r="H613" s="113" t="s">
        <v>103</v>
      </c>
      <c r="I613" s="115" t="n">
        <v>321.4</v>
      </c>
      <c r="J613" s="115" t="s">
        <v>80</v>
      </c>
      <c r="K613" s="115" t="s">
        <v>81</v>
      </c>
      <c r="L613" s="115" t="n">
        <v>316.4</v>
      </c>
      <c r="M613" s="115" t="n">
        <v>3.0</v>
      </c>
      <c r="N613" s="115"/>
      <c r="O613" s="115"/>
      <c r="P613" s="115"/>
      <c r="Q613" s="115"/>
      <c r="R613" s="115"/>
      <c r="S613" s="115"/>
      <c r="T613" s="115"/>
      <c r="U613" s="115"/>
      <c r="V613" s="115" t="s">
        <v>82</v>
      </c>
      <c r="W613" s="115" t="s">
        <v>92</v>
      </c>
      <c r="X613" s="113">
        <f>IF(INDIRECT("W613")="Clássico","12%",IF(INDIRECT("W613")="Premium","17%","-"))</f>
      </c>
      <c r="Y613" s="113" t="s">
        <v>93</v>
      </c>
    </row>
    <row r="614" ht="50.0" customHeight="true">
      <c r="A614" s="113" t="s">
        <v>2183</v>
      </c>
      <c r="B614" s="113" t="s">
        <v>2184</v>
      </c>
      <c r="C614" s="113" t="s">
        <v>2185</v>
      </c>
      <c r="D614" s="113"/>
      <c r="E614" s="114" t="s">
        <v>341</v>
      </c>
      <c r="F614" s="113" t="s">
        <v>2186</v>
      </c>
      <c r="G614" s="113" t="s">
        <v>2186</v>
      </c>
      <c r="H614" s="113" t="s">
        <v>103</v>
      </c>
      <c r="I614" s="115" t="n">
        <v>113.8</v>
      </c>
      <c r="J614" s="115" t="s">
        <v>80</v>
      </c>
      <c r="K614" s="115" t="s">
        <v>81</v>
      </c>
      <c r="L614" s="115" t="n">
        <v>76.99</v>
      </c>
      <c r="M614" s="115" t="n">
        <v>3.0</v>
      </c>
      <c r="N614" s="115"/>
      <c r="O614" s="115"/>
      <c r="P614" s="115"/>
      <c r="Q614" s="115"/>
      <c r="R614" s="115"/>
      <c r="S614" s="115"/>
      <c r="T614" s="115"/>
      <c r="U614" s="115"/>
      <c r="V614" s="115" t="s">
        <v>82</v>
      </c>
      <c r="W614" s="115" t="s">
        <v>83</v>
      </c>
      <c r="X614" s="113">
        <f>IF(INDIRECT("W614")="Clássico","12%",IF(INDIRECT("W614")="Premium","17%","-"))</f>
      </c>
      <c r="Y614" s="113" t="s">
        <v>1063</v>
      </c>
    </row>
    <row r="615" ht="50.0" customHeight="true">
      <c r="A615" s="113" t="s">
        <v>1298</v>
      </c>
      <c r="B615" s="113" t="s">
        <v>2187</v>
      </c>
      <c r="C615" s="113" t="s">
        <v>2188</v>
      </c>
      <c r="D615" s="113"/>
      <c r="E615" s="114" t="s">
        <v>925</v>
      </c>
      <c r="F615" s="113" t="s">
        <v>1301</v>
      </c>
      <c r="G615" s="113" t="s">
        <v>566</v>
      </c>
      <c r="H615" s="113" t="s">
        <v>103</v>
      </c>
      <c r="I615" s="115" t="n">
        <v>377.09</v>
      </c>
      <c r="J615" s="115" t="s">
        <v>80</v>
      </c>
      <c r="K615" s="115" t="s">
        <v>81</v>
      </c>
      <c r="L615" s="115" t="n">
        <v>327.79</v>
      </c>
      <c r="M615" s="115" t="n">
        <v>3.0</v>
      </c>
      <c r="N615" s="115"/>
      <c r="O615" s="115"/>
      <c r="P615" s="115"/>
      <c r="Q615" s="115"/>
      <c r="R615" s="115"/>
      <c r="S615" s="115"/>
      <c r="T615" s="115"/>
      <c r="U615" s="115"/>
      <c r="V615" s="115" t="s">
        <v>82</v>
      </c>
      <c r="W615" s="115" t="s">
        <v>92</v>
      </c>
      <c r="X615" s="113">
        <f>IF(INDIRECT("W615")="Clássico","12%",IF(INDIRECT("W615")="Premium","17%","-"))</f>
      </c>
      <c r="Y615" s="113" t="s">
        <v>414</v>
      </c>
    </row>
    <row r="616" ht="50.0" customHeight="true">
      <c r="A616" s="113" t="s">
        <v>2189</v>
      </c>
      <c r="B616" s="113" t="s">
        <v>2190</v>
      </c>
      <c r="C616" s="113" t="s">
        <v>2191</v>
      </c>
      <c r="D616" s="113"/>
      <c r="E616" s="114" t="s">
        <v>915</v>
      </c>
      <c r="F616" s="113" t="s">
        <v>2192</v>
      </c>
      <c r="G616" s="113" t="s">
        <v>2192</v>
      </c>
      <c r="H616" s="113" t="s">
        <v>103</v>
      </c>
      <c r="I616" s="115" t="n">
        <v>163.67</v>
      </c>
      <c r="J616" s="115" t="s">
        <v>80</v>
      </c>
      <c r="K616" s="115" t="s">
        <v>81</v>
      </c>
      <c r="L616" s="115" t="n">
        <v>158.67</v>
      </c>
      <c r="M616" s="115" t="n">
        <v>3.0</v>
      </c>
      <c r="N616" s="115"/>
      <c r="O616" s="115"/>
      <c r="P616" s="115"/>
      <c r="Q616" s="115"/>
      <c r="R616" s="115"/>
      <c r="S616" s="115"/>
      <c r="T616" s="115"/>
      <c r="U616" s="115"/>
      <c r="V616" s="115" t="s">
        <v>82</v>
      </c>
      <c r="W616" s="115" t="s">
        <v>83</v>
      </c>
      <c r="X616" s="113">
        <f>IF(INDIRECT("W616")="Clássico","12%",IF(INDIRECT("W616")="Premium","17%","-"))</f>
      </c>
      <c r="Y616" s="113" t="s">
        <v>2193</v>
      </c>
    </row>
    <row r="617" ht="50.0" customHeight="true">
      <c r="A617" s="113" t="s">
        <v>22</v>
      </c>
      <c r="B617" s="113" t="s">
        <v>2194</v>
      </c>
      <c r="C617" s="113"/>
      <c r="D617" s="113"/>
      <c r="E617" s="113" t="s">
        <v>22</v>
      </c>
      <c r="F617" s="113" t="s">
        <v>2195</v>
      </c>
      <c r="G617" s="113" t="s">
        <v>103</v>
      </c>
      <c r="H617" s="113" t="s">
        <v>103</v>
      </c>
      <c r="I617" s="115" t="n">
        <v>241.65</v>
      </c>
      <c r="J617" s="115" t="s">
        <v>80</v>
      </c>
      <c r="K617" s="113" t="s">
        <v>81</v>
      </c>
      <c r="L617" s="115" t="n">
        <v>217.66</v>
      </c>
      <c r="M617" s="115" t="n">
        <v>3.0</v>
      </c>
      <c r="N617" s="115"/>
      <c r="O617" s="115"/>
      <c r="P617" s="115"/>
      <c r="Q617" s="115"/>
      <c r="R617" s="115"/>
      <c r="S617" s="115"/>
      <c r="T617" s="115"/>
      <c r="U617" s="115"/>
      <c r="V617" s="115" t="s">
        <v>82</v>
      </c>
      <c r="W617" s="115" t="s">
        <v>83</v>
      </c>
      <c r="X617" s="113">
        <f>IF(INDIRECT("W617")="Clássico","12%",IF(INDIRECT("W617")="Premium","17%","-"))</f>
      </c>
      <c r="Y617" s="113" t="s">
        <v>22</v>
      </c>
    </row>
    <row r="618" ht="50.0" customHeight="true">
      <c r="A618" s="113" t="s">
        <v>22</v>
      </c>
      <c r="B618" s="113" t="s">
        <v>2194</v>
      </c>
      <c r="C618" s="113" t="s">
        <v>2196</v>
      </c>
      <c r="D618" s="113" t="s">
        <v>2196</v>
      </c>
      <c r="E618" s="114" t="s">
        <v>464</v>
      </c>
      <c r="F618" s="116">
        <f>"     "&amp;F617</f>
      </c>
      <c r="G618" s="113" t="s">
        <v>127</v>
      </c>
      <c r="H618" s="113" t="s">
        <v>103</v>
      </c>
      <c r="I618" s="113">
        <f>I617</f>
      </c>
      <c r="J618" s="113">
        <f>J617&amp;"     "</f>
      </c>
      <c r="K618" s="113" t="s">
        <v>81</v>
      </c>
      <c r="L618" s="113">
        <f>L617</f>
      </c>
      <c r="M618" s="113">
        <f>M617</f>
      </c>
      <c r="N618" s="113">
        <f>N617</f>
      </c>
      <c r="O618" s="113">
        <f>O617</f>
      </c>
      <c r="P618" s="113">
        <f>P617</f>
      </c>
      <c r="Q618" s="113">
        <f>Q617</f>
      </c>
      <c r="R618" s="113">
        <f>R617</f>
      </c>
      <c r="S618" s="113">
        <f>S617</f>
      </c>
      <c r="T618" s="113">
        <f>T617</f>
      </c>
      <c r="U618" s="113">
        <f>U617</f>
      </c>
      <c r="V618" s="113">
        <f>V617&amp;"     "</f>
      </c>
      <c r="W618" s="113">
        <f>W617&amp;"     "</f>
      </c>
      <c r="X618" s="113">
        <f>X617</f>
      </c>
      <c r="Y618" s="113" t="s">
        <v>22</v>
      </c>
    </row>
    <row r="619" ht="50.0" customHeight="true">
      <c r="A619" s="113" t="s">
        <v>22</v>
      </c>
      <c r="B619" s="113" t="s">
        <v>2194</v>
      </c>
      <c r="C619" s="113" t="s">
        <v>2197</v>
      </c>
      <c r="D619" s="113" t="s">
        <v>2197</v>
      </c>
      <c r="E619" s="114" t="s">
        <v>466</v>
      </c>
      <c r="F619" s="116">
        <f>"     "&amp;F617</f>
      </c>
      <c r="G619" s="113" t="s">
        <v>467</v>
      </c>
      <c r="H619" s="113" t="s">
        <v>103</v>
      </c>
      <c r="I619" s="113">
        <f>I617</f>
      </c>
      <c r="J619" s="113">
        <f>J617&amp;"     "</f>
      </c>
      <c r="K619" s="113" t="s">
        <v>81</v>
      </c>
      <c r="L619" s="113">
        <f>L617</f>
      </c>
      <c r="M619" s="113">
        <f>M617</f>
      </c>
      <c r="N619" s="113">
        <f>N617</f>
      </c>
      <c r="O619" s="113">
        <f>O617</f>
      </c>
      <c r="P619" s="113">
        <f>P617</f>
      </c>
      <c r="Q619" s="113">
        <f>Q617</f>
      </c>
      <c r="R619" s="113">
        <f>R617</f>
      </c>
      <c r="S619" s="113">
        <f>S617</f>
      </c>
      <c r="T619" s="113">
        <f>T617</f>
      </c>
      <c r="U619" s="113">
        <f>U617</f>
      </c>
      <c r="V619" s="113">
        <f>V617&amp;"     "</f>
      </c>
      <c r="W619" s="113">
        <f>W617&amp;"     "</f>
      </c>
      <c r="X619" s="113">
        <f>X617</f>
      </c>
      <c r="Y619" s="113" t="s">
        <v>22</v>
      </c>
    </row>
    <row r="620" ht="50.0" customHeight="true">
      <c r="A620" s="113" t="s">
        <v>2198</v>
      </c>
      <c r="B620" s="113" t="s">
        <v>2199</v>
      </c>
      <c r="C620" s="113" t="s">
        <v>2200</v>
      </c>
      <c r="D620" s="113"/>
      <c r="E620" s="114" t="s">
        <v>1964</v>
      </c>
      <c r="F620" s="113" t="s">
        <v>2201</v>
      </c>
      <c r="G620" s="113" t="s">
        <v>1512</v>
      </c>
      <c r="H620" s="113" t="s">
        <v>103</v>
      </c>
      <c r="I620" s="115" t="n">
        <v>313.8</v>
      </c>
      <c r="J620" s="115" t="s">
        <v>80</v>
      </c>
      <c r="K620" s="115" t="s">
        <v>81</v>
      </c>
      <c r="L620" s="115" t="n">
        <v>230.32</v>
      </c>
      <c r="M620" s="115" t="n">
        <v>3.0</v>
      </c>
      <c r="N620" s="115"/>
      <c r="O620" s="115"/>
      <c r="P620" s="115"/>
      <c r="Q620" s="115"/>
      <c r="R620" s="115"/>
      <c r="S620" s="115"/>
      <c r="T620" s="115"/>
      <c r="U620" s="115"/>
      <c r="V620" s="115" t="s">
        <v>82</v>
      </c>
      <c r="W620" s="115" t="s">
        <v>83</v>
      </c>
      <c r="X620" s="113">
        <f>IF(INDIRECT("W620")="Clássico","12%",IF(INDIRECT("W620")="Premium","17%","-"))</f>
      </c>
      <c r="Y620" s="113" t="s">
        <v>662</v>
      </c>
    </row>
    <row r="621" ht="50.0" customHeight="true">
      <c r="A621" s="113" t="s">
        <v>2202</v>
      </c>
      <c r="B621" s="113" t="s">
        <v>2203</v>
      </c>
      <c r="C621" s="113" t="s">
        <v>2204</v>
      </c>
      <c r="D621" s="113"/>
      <c r="E621" s="114" t="s">
        <v>2205</v>
      </c>
      <c r="F621" s="113" t="s">
        <v>2206</v>
      </c>
      <c r="G621" s="113" t="s">
        <v>518</v>
      </c>
      <c r="H621" s="113" t="s">
        <v>103</v>
      </c>
      <c r="I621" s="115" t="n">
        <v>41.65</v>
      </c>
      <c r="J621" s="115" t="s">
        <v>80</v>
      </c>
      <c r="K621" s="113" t="s">
        <v>81</v>
      </c>
      <c r="L621" s="115" t="n">
        <v>36.65</v>
      </c>
      <c r="M621" s="115" t="n">
        <v>3.0</v>
      </c>
      <c r="N621" s="115"/>
      <c r="O621" s="115"/>
      <c r="P621" s="115"/>
      <c r="Q621" s="115"/>
      <c r="R621" s="115"/>
      <c r="S621" s="115"/>
      <c r="T621" s="115"/>
      <c r="U621" s="115"/>
      <c r="V621" s="115" t="s">
        <v>91</v>
      </c>
      <c r="W621" s="115" t="s">
        <v>92</v>
      </c>
      <c r="X621" s="113">
        <f>IF(INDIRECT("W621")="Clássico","11.5%",IF(INDIRECT("W621")="Premium","16.5%","-"))</f>
      </c>
      <c r="Y621" s="113" t="s">
        <v>519</v>
      </c>
    </row>
    <row r="622" ht="50.0" customHeight="true">
      <c r="A622" s="113" t="s">
        <v>2207</v>
      </c>
      <c r="B622" s="113" t="s">
        <v>2208</v>
      </c>
      <c r="C622" s="113" t="s">
        <v>2209</v>
      </c>
      <c r="D622" s="113"/>
      <c r="E622" s="114" t="s">
        <v>2210</v>
      </c>
      <c r="F622" s="113" t="s">
        <v>2211</v>
      </c>
      <c r="G622" s="113" t="s">
        <v>2211</v>
      </c>
      <c r="H622" s="113" t="s">
        <v>103</v>
      </c>
      <c r="I622" s="115" t="n">
        <v>853.05</v>
      </c>
      <c r="J622" s="115" t="s">
        <v>80</v>
      </c>
      <c r="K622" s="115" t="s">
        <v>81</v>
      </c>
      <c r="L622" s="115" t="n">
        <v>848.05</v>
      </c>
      <c r="M622" s="115" t="n">
        <v>3.0</v>
      </c>
      <c r="N622" s="115"/>
      <c r="O622" s="115"/>
      <c r="P622" s="115"/>
      <c r="Q622" s="115"/>
      <c r="R622" s="115"/>
      <c r="S622" s="115"/>
      <c r="T622" s="115"/>
      <c r="U622" s="115"/>
      <c r="V622" s="115" t="s">
        <v>82</v>
      </c>
      <c r="W622" s="115" t="s">
        <v>83</v>
      </c>
      <c r="X622" s="113">
        <f>IF(INDIRECT("W622")="Clássico","12%",IF(INDIRECT("W622")="Premium","17%","-"))</f>
      </c>
      <c r="Y622" s="113" t="s">
        <v>712</v>
      </c>
    </row>
    <row r="623" ht="50.0" customHeight="true">
      <c r="A623" s="113" t="s">
        <v>2212</v>
      </c>
      <c r="B623" s="113" t="s">
        <v>2213</v>
      </c>
      <c r="C623" s="113" t="s">
        <v>2214</v>
      </c>
      <c r="D623" s="113"/>
      <c r="E623" s="114" t="s">
        <v>1270</v>
      </c>
      <c r="F623" s="113" t="s">
        <v>2215</v>
      </c>
      <c r="G623" s="113" t="s">
        <v>2215</v>
      </c>
      <c r="H623" s="113" t="s">
        <v>103</v>
      </c>
      <c r="I623" s="115" t="n">
        <v>149.36</v>
      </c>
      <c r="J623" s="115" t="s">
        <v>80</v>
      </c>
      <c r="K623" s="113" t="s">
        <v>81</v>
      </c>
      <c r="L623" s="115" t="n">
        <v>144.36</v>
      </c>
      <c r="M623" s="115" t="n">
        <v>3.0</v>
      </c>
      <c r="N623" s="115"/>
      <c r="O623" s="115"/>
      <c r="P623" s="115"/>
      <c r="Q623" s="115"/>
      <c r="R623" s="115"/>
      <c r="S623" s="115"/>
      <c r="T623" s="115"/>
      <c r="U623" s="115"/>
      <c r="V623" s="115" t="s">
        <v>82</v>
      </c>
      <c r="W623" s="115" t="s">
        <v>92</v>
      </c>
      <c r="X623" s="113">
        <f>IF(INDIRECT("W623")="Clássico","12%",IF(INDIRECT("W623")="Premium","17%","-"))</f>
      </c>
      <c r="Y623" s="113" t="s">
        <v>1098</v>
      </c>
    </row>
    <row r="624" ht="50.0" customHeight="true">
      <c r="A624" s="113" t="s">
        <v>2216</v>
      </c>
      <c r="B624" s="113" t="s">
        <v>2217</v>
      </c>
      <c r="C624" s="113" t="s">
        <v>2218</v>
      </c>
      <c r="D624" s="113"/>
      <c r="E624" s="114" t="s">
        <v>2219</v>
      </c>
      <c r="F624" s="113" t="s">
        <v>2220</v>
      </c>
      <c r="G624" s="113" t="s">
        <v>2220</v>
      </c>
      <c r="H624" s="113" t="s">
        <v>103</v>
      </c>
      <c r="I624" s="115" t="n">
        <v>179.62</v>
      </c>
      <c r="J624" s="115" t="s">
        <v>80</v>
      </c>
      <c r="K624" s="115" t="s">
        <v>81</v>
      </c>
      <c r="L624" s="115" t="n">
        <v>176.0</v>
      </c>
      <c r="M624" s="115" t="n">
        <v>3.0</v>
      </c>
      <c r="N624" s="115"/>
      <c r="O624" s="115"/>
      <c r="P624" s="115"/>
      <c r="Q624" s="115"/>
      <c r="R624" s="115"/>
      <c r="S624" s="115"/>
      <c r="T624" s="115"/>
      <c r="U624" s="115"/>
      <c r="V624" s="115" t="s">
        <v>82</v>
      </c>
      <c r="W624" s="115" t="s">
        <v>83</v>
      </c>
      <c r="X624" s="113">
        <f>IF(INDIRECT("W624")="Clássico","12%",IF(INDIRECT("W624")="Premium","17%","-"))</f>
      </c>
      <c r="Y624" s="113" t="s">
        <v>397</v>
      </c>
    </row>
    <row r="625" ht="50.0" customHeight="true">
      <c r="A625" s="113" t="s">
        <v>2221</v>
      </c>
      <c r="B625" s="113" t="s">
        <v>2222</v>
      </c>
      <c r="C625" s="113" t="s">
        <v>2223</v>
      </c>
      <c r="D625" s="113"/>
      <c r="E625" s="114" t="s">
        <v>2224</v>
      </c>
      <c r="F625" s="113" t="s">
        <v>2225</v>
      </c>
      <c r="G625" s="113" t="s">
        <v>467</v>
      </c>
      <c r="H625" s="113" t="s">
        <v>103</v>
      </c>
      <c r="I625" s="115" t="n">
        <v>303.67</v>
      </c>
      <c r="J625" s="115" t="s">
        <v>80</v>
      </c>
      <c r="K625" s="115" t="s">
        <v>81</v>
      </c>
      <c r="L625" s="115" t="n">
        <v>236.47</v>
      </c>
      <c r="M625" s="115" t="n">
        <v>3.0</v>
      </c>
      <c r="N625" s="115"/>
      <c r="O625" s="115"/>
      <c r="P625" s="115"/>
      <c r="Q625" s="115"/>
      <c r="R625" s="115"/>
      <c r="S625" s="115"/>
      <c r="T625" s="115"/>
      <c r="U625" s="115"/>
      <c r="V625" s="115" t="s">
        <v>82</v>
      </c>
      <c r="W625" s="115" t="s">
        <v>92</v>
      </c>
      <c r="X625" s="113">
        <f>IF(INDIRECT("W625")="Clássico","12%",IF(INDIRECT("W625")="Premium","17%","-"))</f>
      </c>
      <c r="Y625" s="113" t="s">
        <v>367</v>
      </c>
    </row>
    <row r="626" ht="50.0" customHeight="true">
      <c r="A626" s="113" t="s">
        <v>2226</v>
      </c>
      <c r="B626" s="113" t="s">
        <v>2227</v>
      </c>
      <c r="C626" s="113" t="s">
        <v>2228</v>
      </c>
      <c r="D626" s="113"/>
      <c r="E626" s="114" t="s">
        <v>295</v>
      </c>
      <c r="F626" s="113" t="s">
        <v>2229</v>
      </c>
      <c r="G626" s="113" t="s">
        <v>2229</v>
      </c>
      <c r="H626" s="113" t="s">
        <v>103</v>
      </c>
      <c r="I626" s="115" t="n">
        <v>79.62</v>
      </c>
      <c r="J626" s="115" t="s">
        <v>80</v>
      </c>
      <c r="K626" s="115" t="s">
        <v>81</v>
      </c>
      <c r="L626" s="115" t="n">
        <v>74.62</v>
      </c>
      <c r="M626" s="115" t="n">
        <v>3.0</v>
      </c>
      <c r="N626" s="115"/>
      <c r="O626" s="115"/>
      <c r="P626" s="115"/>
      <c r="Q626" s="115"/>
      <c r="R626" s="115"/>
      <c r="S626" s="115"/>
      <c r="T626" s="115"/>
      <c r="U626" s="115"/>
      <c r="V626" s="115" t="s">
        <v>91</v>
      </c>
      <c r="W626" s="115" t="s">
        <v>83</v>
      </c>
      <c r="X626" s="113">
        <f>IF(INDIRECT("W626")="Clássico","12%",IF(INDIRECT("W626")="Premium","17%","-"))</f>
      </c>
      <c r="Y626" s="113" t="s">
        <v>297</v>
      </c>
    </row>
    <row r="627" ht="50.0" customHeight="true">
      <c r="A627" s="113" t="s">
        <v>2230</v>
      </c>
      <c r="B627" s="113" t="s">
        <v>2231</v>
      </c>
      <c r="C627" s="113" t="s">
        <v>2232</v>
      </c>
      <c r="D627" s="113"/>
      <c r="E627" s="114" t="s">
        <v>1270</v>
      </c>
      <c r="F627" s="113" t="s">
        <v>2215</v>
      </c>
      <c r="G627" s="113" t="s">
        <v>2215</v>
      </c>
      <c r="H627" s="113" t="s">
        <v>103</v>
      </c>
      <c r="I627" s="115" t="n">
        <v>165.81</v>
      </c>
      <c r="J627" s="115" t="s">
        <v>80</v>
      </c>
      <c r="K627" s="113" t="s">
        <v>81</v>
      </c>
      <c r="L627" s="115" t="n">
        <v>160.81</v>
      </c>
      <c r="M627" s="115" t="n">
        <v>3.0</v>
      </c>
      <c r="N627" s="115"/>
      <c r="O627" s="115"/>
      <c r="P627" s="115"/>
      <c r="Q627" s="115"/>
      <c r="R627" s="115"/>
      <c r="S627" s="115"/>
      <c r="T627" s="115"/>
      <c r="U627" s="115"/>
      <c r="V627" s="115" t="s">
        <v>82</v>
      </c>
      <c r="W627" s="115" t="s">
        <v>83</v>
      </c>
      <c r="X627" s="113">
        <f>IF(INDIRECT("W627")="Clássico","12%",IF(INDIRECT("W627")="Premium","17%","-"))</f>
      </c>
      <c r="Y627" s="113" t="s">
        <v>1098</v>
      </c>
    </row>
    <row r="628" ht="50.0" customHeight="true">
      <c r="A628" s="113" t="s">
        <v>2233</v>
      </c>
      <c r="B628" s="113" t="s">
        <v>2234</v>
      </c>
      <c r="C628" s="113" t="s">
        <v>2235</v>
      </c>
      <c r="D628" s="113"/>
      <c r="E628" s="114" t="s">
        <v>726</v>
      </c>
      <c r="F628" s="113" t="s">
        <v>2236</v>
      </c>
      <c r="G628" s="113" t="s">
        <v>2236</v>
      </c>
      <c r="H628" s="113" t="s">
        <v>103</v>
      </c>
      <c r="I628" s="115" t="n">
        <v>778.36</v>
      </c>
      <c r="J628" s="115" t="s">
        <v>80</v>
      </c>
      <c r="K628" s="115" t="s">
        <v>81</v>
      </c>
      <c r="L628" s="115" t="n">
        <v>749.31</v>
      </c>
      <c r="M628" s="115" t="n">
        <v>3.0</v>
      </c>
      <c r="N628" s="115"/>
      <c r="O628" s="115"/>
      <c r="P628" s="115"/>
      <c r="Q628" s="115"/>
      <c r="R628" s="115"/>
      <c r="S628" s="115"/>
      <c r="T628" s="115"/>
      <c r="U628" s="115"/>
      <c r="V628" s="115" t="s">
        <v>82</v>
      </c>
      <c r="W628" s="115" t="s">
        <v>83</v>
      </c>
      <c r="X628" s="113">
        <f>IF(INDIRECT("W628")="Clássico","12%",IF(INDIRECT("W628")="Premium","17%","-"))</f>
      </c>
      <c r="Y628" s="113" t="s">
        <v>1880</v>
      </c>
    </row>
    <row r="629" ht="50.0" customHeight="true">
      <c r="A629" s="113" t="s">
        <v>2237</v>
      </c>
      <c r="B629" s="113" t="s">
        <v>2238</v>
      </c>
      <c r="C629" s="113" t="s">
        <v>2239</v>
      </c>
      <c r="D629" s="113"/>
      <c r="E629" s="114" t="s">
        <v>1133</v>
      </c>
      <c r="F629" s="113" t="s">
        <v>2240</v>
      </c>
      <c r="G629" s="113" t="s">
        <v>127</v>
      </c>
      <c r="H629" s="113" t="s">
        <v>103</v>
      </c>
      <c r="I629" s="115" t="n">
        <v>131.9</v>
      </c>
      <c r="J629" s="115" t="s">
        <v>80</v>
      </c>
      <c r="K629" s="115" t="s">
        <v>81</v>
      </c>
      <c r="L629" s="115" t="n">
        <v>120.19</v>
      </c>
      <c r="M629" s="115" t="n">
        <v>3.0</v>
      </c>
      <c r="N629" s="115"/>
      <c r="O629" s="115"/>
      <c r="P629" s="115"/>
      <c r="Q629" s="115"/>
      <c r="R629" s="115"/>
      <c r="S629" s="115"/>
      <c r="T629" s="115"/>
      <c r="U629" s="115"/>
      <c r="V629" s="115" t="s">
        <v>82</v>
      </c>
      <c r="W629" s="115" t="s">
        <v>83</v>
      </c>
      <c r="X629" s="113">
        <f>IF(INDIRECT("W629")="Clássico","12%",IF(INDIRECT("W629")="Premium","17%","-"))</f>
      </c>
      <c r="Y629" s="113" t="s">
        <v>128</v>
      </c>
    </row>
    <row r="630" ht="50.0" customHeight="true">
      <c r="A630" s="113" t="s">
        <v>22</v>
      </c>
      <c r="B630" s="113" t="s">
        <v>2241</v>
      </c>
      <c r="C630" s="113"/>
      <c r="D630" s="113"/>
      <c r="E630" s="113" t="s">
        <v>1551</v>
      </c>
      <c r="F630" s="113" t="s">
        <v>2242</v>
      </c>
      <c r="G630" s="113" t="s">
        <v>103</v>
      </c>
      <c r="H630" s="113" t="s">
        <v>103</v>
      </c>
      <c r="I630" s="115" t="n">
        <v>856.85</v>
      </c>
      <c r="J630" s="115" t="s">
        <v>80</v>
      </c>
      <c r="K630" s="113" t="s">
        <v>81</v>
      </c>
      <c r="L630" s="115" t="n">
        <v>779.82</v>
      </c>
      <c r="M630" s="115" t="n">
        <v>3.0</v>
      </c>
      <c r="N630" s="115"/>
      <c r="O630" s="115"/>
      <c r="P630" s="115"/>
      <c r="Q630" s="115"/>
      <c r="R630" s="115"/>
      <c r="S630" s="115"/>
      <c r="T630" s="115"/>
      <c r="U630" s="115"/>
      <c r="V630" s="115" t="s">
        <v>82</v>
      </c>
      <c r="W630" s="115" t="s">
        <v>92</v>
      </c>
      <c r="X630" s="113">
        <f>IF(INDIRECT("W630")="Clássico","12%",IF(INDIRECT("W630")="Premium","17%","-"))</f>
      </c>
      <c r="Y630" s="113" t="s">
        <v>1180</v>
      </c>
    </row>
    <row r="631" ht="50.0" customHeight="true">
      <c r="A631" s="113" t="s">
        <v>22</v>
      </c>
      <c r="B631" s="113" t="s">
        <v>2241</v>
      </c>
      <c r="C631" s="113" t="s">
        <v>2243</v>
      </c>
      <c r="D631" s="113" t="s">
        <v>2243</v>
      </c>
      <c r="E631" s="114" t="s">
        <v>1556</v>
      </c>
      <c r="F631" s="116">
        <f>"     "&amp;F630</f>
      </c>
      <c r="G631" s="113" t="s">
        <v>1557</v>
      </c>
      <c r="H631" s="113" t="s">
        <v>103</v>
      </c>
      <c r="I631" s="113">
        <f>I630</f>
      </c>
      <c r="J631" s="113">
        <f>J630&amp;"     "</f>
      </c>
      <c r="K631" s="113" t="s">
        <v>81</v>
      </c>
      <c r="L631" s="113">
        <f>L630</f>
      </c>
      <c r="M631" s="113">
        <f>M630</f>
      </c>
      <c r="N631" s="113">
        <f>N630</f>
      </c>
      <c r="O631" s="113">
        <f>O630</f>
      </c>
      <c r="P631" s="113">
        <f>P630</f>
      </c>
      <c r="Q631" s="113">
        <f>Q630</f>
      </c>
      <c r="R631" s="113">
        <f>R630</f>
      </c>
      <c r="S631" s="113">
        <f>S630</f>
      </c>
      <c r="T631" s="113">
        <f>T630</f>
      </c>
      <c r="U631" s="113">
        <f>U630</f>
      </c>
      <c r="V631" s="113">
        <f>V630&amp;"     "</f>
      </c>
      <c r="W631" s="113">
        <f>W630&amp;"     "</f>
      </c>
      <c r="X631" s="113">
        <f>X630</f>
      </c>
      <c r="Y631" s="113" t="s">
        <v>1180</v>
      </c>
    </row>
    <row r="632" ht="50.0" customHeight="true">
      <c r="A632" s="113" t="s">
        <v>22</v>
      </c>
      <c r="B632" s="113" t="s">
        <v>2241</v>
      </c>
      <c r="C632" s="113" t="s">
        <v>2244</v>
      </c>
      <c r="D632" s="113" t="s">
        <v>2244</v>
      </c>
      <c r="E632" s="114" t="s">
        <v>1551</v>
      </c>
      <c r="F632" s="116">
        <f>"     "&amp;F630</f>
      </c>
      <c r="G632" s="113" t="s">
        <v>1554</v>
      </c>
      <c r="H632" s="113" t="s">
        <v>103</v>
      </c>
      <c r="I632" s="113">
        <f>I630</f>
      </c>
      <c r="J632" s="113">
        <f>J630&amp;"     "</f>
      </c>
      <c r="K632" s="113" t="s">
        <v>81</v>
      </c>
      <c r="L632" s="113">
        <f>L630</f>
      </c>
      <c r="M632" s="113">
        <f>M630</f>
      </c>
      <c r="N632" s="113">
        <f>N630</f>
      </c>
      <c r="O632" s="113">
        <f>O630</f>
      </c>
      <c r="P632" s="113">
        <f>P630</f>
      </c>
      <c r="Q632" s="113">
        <f>Q630</f>
      </c>
      <c r="R632" s="113">
        <f>R630</f>
      </c>
      <c r="S632" s="113">
        <f>S630</f>
      </c>
      <c r="T632" s="113">
        <f>T630</f>
      </c>
      <c r="U632" s="113">
        <f>U630</f>
      </c>
      <c r="V632" s="113">
        <f>V630&amp;"     "</f>
      </c>
      <c r="W632" s="113">
        <f>W630&amp;"     "</f>
      </c>
      <c r="X632" s="113">
        <f>X630</f>
      </c>
      <c r="Y632" s="113" t="s">
        <v>1180</v>
      </c>
    </row>
    <row r="633" ht="50.0" customHeight="true">
      <c r="A633" s="113" t="s">
        <v>2245</v>
      </c>
      <c r="B633" s="113" t="s">
        <v>2246</v>
      </c>
      <c r="C633" s="113" t="s">
        <v>2247</v>
      </c>
      <c r="D633" s="113"/>
      <c r="E633" s="114" t="s">
        <v>125</v>
      </c>
      <c r="F633" s="113" t="s">
        <v>2248</v>
      </c>
      <c r="G633" s="113" t="s">
        <v>127</v>
      </c>
      <c r="H633" s="113" t="s">
        <v>103</v>
      </c>
      <c r="I633" s="115" t="n">
        <v>97.34</v>
      </c>
      <c r="J633" s="115" t="s">
        <v>80</v>
      </c>
      <c r="K633" s="115" t="s">
        <v>81</v>
      </c>
      <c r="L633" s="115" t="n">
        <v>112.6</v>
      </c>
      <c r="M633" s="115" t="n">
        <v>3.0</v>
      </c>
      <c r="N633" s="115"/>
      <c r="O633" s="115"/>
      <c r="P633" s="115"/>
      <c r="Q633" s="115"/>
      <c r="R633" s="115"/>
      <c r="S633" s="115"/>
      <c r="T633" s="115"/>
      <c r="U633" s="115"/>
      <c r="V633" s="115" t="s">
        <v>91</v>
      </c>
      <c r="W633" s="115" t="s">
        <v>92</v>
      </c>
      <c r="X633" s="113">
        <f>IF(INDIRECT("W633")="Clássico","12%",IF(INDIRECT("W633")="Premium","17%","-"))</f>
      </c>
      <c r="Y633" s="113" t="s">
        <v>128</v>
      </c>
    </row>
    <row r="634" ht="50.0" customHeight="true">
      <c r="A634" s="113" t="s">
        <v>2249</v>
      </c>
      <c r="B634" s="113" t="s">
        <v>2250</v>
      </c>
      <c r="C634" s="113" t="s">
        <v>2251</v>
      </c>
      <c r="D634" s="113"/>
      <c r="E634" s="114" t="s">
        <v>110</v>
      </c>
      <c r="F634" s="113" t="s">
        <v>2252</v>
      </c>
      <c r="G634" s="113" t="s">
        <v>2252</v>
      </c>
      <c r="H634" s="113" t="s">
        <v>103</v>
      </c>
      <c r="I634" s="115" t="n">
        <v>206.9</v>
      </c>
      <c r="J634" s="115" t="s">
        <v>80</v>
      </c>
      <c r="K634" s="115" t="s">
        <v>81</v>
      </c>
      <c r="L634" s="115" t="n">
        <v>191.0</v>
      </c>
      <c r="M634" s="115" t="n">
        <v>3.0</v>
      </c>
      <c r="N634" s="115"/>
      <c r="O634" s="115"/>
      <c r="P634" s="115"/>
      <c r="Q634" s="115"/>
      <c r="R634" s="115"/>
      <c r="S634" s="115"/>
      <c r="T634" s="115"/>
      <c r="U634" s="115"/>
      <c r="V634" s="115" t="s">
        <v>82</v>
      </c>
      <c r="W634" s="115" t="s">
        <v>83</v>
      </c>
      <c r="X634" s="113">
        <f>IF(INDIRECT("W634")="Clássico","12%",IF(INDIRECT("W634")="Premium","17%","-"))</f>
      </c>
      <c r="Y634" s="113" t="s">
        <v>121</v>
      </c>
    </row>
    <row r="635" ht="50.0" customHeight="true">
      <c r="A635" s="113" t="s">
        <v>2253</v>
      </c>
      <c r="B635" s="113" t="s">
        <v>2254</v>
      </c>
      <c r="C635" s="113" t="s">
        <v>2255</v>
      </c>
      <c r="D635" s="113"/>
      <c r="E635" s="114" t="s">
        <v>238</v>
      </c>
      <c r="F635" s="113" t="s">
        <v>2256</v>
      </c>
      <c r="G635" s="113" t="s">
        <v>127</v>
      </c>
      <c r="H635" s="113" t="s">
        <v>103</v>
      </c>
      <c r="I635" s="115" t="n">
        <v>170.76</v>
      </c>
      <c r="J635" s="115" t="s">
        <v>80</v>
      </c>
      <c r="K635" s="115" t="s">
        <v>81</v>
      </c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 t="s">
        <v>82</v>
      </c>
      <c r="W635" s="115" t="s">
        <v>92</v>
      </c>
      <c r="X635" s="113">
        <f>IF(INDIRECT("W635")="Clássico","12%",IF(INDIRECT("W635")="Premium","17%","-"))</f>
      </c>
      <c r="Y635" s="113" t="s">
        <v>128</v>
      </c>
    </row>
    <row r="636" ht="50.0" customHeight="true">
      <c r="A636" s="113" t="s">
        <v>2257</v>
      </c>
      <c r="B636" s="113" t="s">
        <v>2258</v>
      </c>
      <c r="C636" s="113" t="s">
        <v>2259</v>
      </c>
      <c r="D636" s="113"/>
      <c r="E636" s="114" t="s">
        <v>404</v>
      </c>
      <c r="F636" s="113" t="s">
        <v>2260</v>
      </c>
      <c r="G636" s="113" t="s">
        <v>127</v>
      </c>
      <c r="H636" s="113" t="s">
        <v>103</v>
      </c>
      <c r="I636" s="115" t="n">
        <v>130.25</v>
      </c>
      <c r="J636" s="115" t="s">
        <v>80</v>
      </c>
      <c r="K636" s="115" t="s">
        <v>81</v>
      </c>
      <c r="L636" s="115" t="n">
        <v>146.71</v>
      </c>
      <c r="M636" s="115" t="n">
        <v>3.0</v>
      </c>
      <c r="N636" s="115"/>
      <c r="O636" s="115"/>
      <c r="P636" s="115"/>
      <c r="Q636" s="115"/>
      <c r="R636" s="115"/>
      <c r="S636" s="115"/>
      <c r="T636" s="115"/>
      <c r="U636" s="115"/>
      <c r="V636" s="115" t="s">
        <v>82</v>
      </c>
      <c r="W636" s="115" t="s">
        <v>83</v>
      </c>
      <c r="X636" s="113">
        <f>IF(INDIRECT("W636")="Clássico","12%",IF(INDIRECT("W636")="Premium","17%","-"))</f>
      </c>
      <c r="Y636" s="113" t="s">
        <v>128</v>
      </c>
    </row>
    <row r="637" ht="50.0" customHeight="true">
      <c r="A637" s="113" t="s">
        <v>2261</v>
      </c>
      <c r="B637" s="113" t="s">
        <v>2262</v>
      </c>
      <c r="C637" s="113" t="s">
        <v>2263</v>
      </c>
      <c r="D637" s="113"/>
      <c r="E637" s="114" t="s">
        <v>1912</v>
      </c>
      <c r="F637" s="113" t="s">
        <v>2264</v>
      </c>
      <c r="G637" s="113" t="s">
        <v>2264</v>
      </c>
      <c r="H637" s="113" t="s">
        <v>103</v>
      </c>
      <c r="I637" s="115" t="n">
        <v>301.14</v>
      </c>
      <c r="J637" s="115" t="s">
        <v>80</v>
      </c>
      <c r="K637" s="115" t="s">
        <v>81</v>
      </c>
      <c r="L637" s="115" t="n">
        <v>310.99</v>
      </c>
      <c r="M637" s="115" t="n">
        <v>3.0</v>
      </c>
      <c r="N637" s="115"/>
      <c r="O637" s="115"/>
      <c r="P637" s="115"/>
      <c r="Q637" s="115"/>
      <c r="R637" s="115"/>
      <c r="S637" s="115"/>
      <c r="T637" s="115"/>
      <c r="U637" s="115"/>
      <c r="V637" s="115" t="s">
        <v>82</v>
      </c>
      <c r="W637" s="115" t="s">
        <v>92</v>
      </c>
      <c r="X637" s="113">
        <f>IF(INDIRECT("W637")="Clássico","13%",IF(INDIRECT("W637")="Premium","18%","-"))</f>
      </c>
      <c r="Y637" s="113" t="s">
        <v>1914</v>
      </c>
    </row>
    <row r="638" ht="50.0" customHeight="true">
      <c r="A638" s="113" t="s">
        <v>2265</v>
      </c>
      <c r="B638" s="113" t="s">
        <v>2266</v>
      </c>
      <c r="C638" s="113" t="s">
        <v>2267</v>
      </c>
      <c r="D638" s="113"/>
      <c r="E638" s="114" t="s">
        <v>1846</v>
      </c>
      <c r="F638" s="113" t="s">
        <v>2268</v>
      </c>
      <c r="G638" s="113" t="s">
        <v>2268</v>
      </c>
      <c r="H638" s="113" t="s">
        <v>103</v>
      </c>
      <c r="I638" s="115" t="n">
        <v>268.34</v>
      </c>
      <c r="J638" s="115" t="s">
        <v>80</v>
      </c>
      <c r="K638" s="115" t="s">
        <v>81</v>
      </c>
      <c r="L638" s="115" t="n">
        <v>263.34</v>
      </c>
      <c r="M638" s="115" t="n">
        <v>3.0</v>
      </c>
      <c r="N638" s="115"/>
      <c r="O638" s="115"/>
      <c r="P638" s="115"/>
      <c r="Q638" s="115"/>
      <c r="R638" s="115"/>
      <c r="S638" s="115"/>
      <c r="T638" s="115"/>
      <c r="U638" s="115"/>
      <c r="V638" s="115" t="s">
        <v>82</v>
      </c>
      <c r="W638" s="115" t="s">
        <v>92</v>
      </c>
      <c r="X638" s="113">
        <f>IF(INDIRECT("W638")="Clássico","12%",IF(INDIRECT("W638")="Premium","17%","-"))</f>
      </c>
      <c r="Y638" s="113" t="s">
        <v>2269</v>
      </c>
    </row>
    <row r="639" ht="50.0" customHeight="true">
      <c r="A639" s="113" t="s">
        <v>2270</v>
      </c>
      <c r="B639" s="113" t="s">
        <v>2271</v>
      </c>
      <c r="C639" s="113" t="s">
        <v>2272</v>
      </c>
      <c r="D639" s="113"/>
      <c r="E639" s="114" t="s">
        <v>656</v>
      </c>
      <c r="F639" s="113" t="s">
        <v>2273</v>
      </c>
      <c r="G639" s="113" t="s">
        <v>2273</v>
      </c>
      <c r="H639" s="113" t="s">
        <v>103</v>
      </c>
      <c r="I639" s="115" t="n">
        <v>1091.03</v>
      </c>
      <c r="J639" s="115" t="s">
        <v>80</v>
      </c>
      <c r="K639" s="115" t="s">
        <v>81</v>
      </c>
      <c r="L639" s="115" t="n">
        <v>908.81</v>
      </c>
      <c r="M639" s="115" t="n">
        <v>3.0</v>
      </c>
      <c r="N639" s="115"/>
      <c r="O639" s="115"/>
      <c r="P639" s="115"/>
      <c r="Q639" s="115"/>
      <c r="R639" s="115"/>
      <c r="S639" s="115"/>
      <c r="T639" s="115"/>
      <c r="U639" s="115"/>
      <c r="V639" s="115" t="s">
        <v>82</v>
      </c>
      <c r="W639" s="115" t="s">
        <v>83</v>
      </c>
      <c r="X639" s="113">
        <f>IF(INDIRECT("W639")="Clássico","12%",IF(INDIRECT("W639")="Premium","17%","-"))</f>
      </c>
      <c r="Y639" s="113" t="s">
        <v>164</v>
      </c>
    </row>
    <row r="640" ht="50.0" customHeight="true">
      <c r="A640" s="113" t="s">
        <v>22</v>
      </c>
      <c r="B640" s="113" t="s">
        <v>2274</v>
      </c>
      <c r="C640" s="113"/>
      <c r="D640" s="113"/>
      <c r="E640" s="113" t="s">
        <v>22</v>
      </c>
      <c r="F640" s="113" t="s">
        <v>2275</v>
      </c>
      <c r="G640" s="113" t="s">
        <v>103</v>
      </c>
      <c r="H640" s="113" t="s">
        <v>103</v>
      </c>
      <c r="I640" s="115" t="n">
        <v>119.62</v>
      </c>
      <c r="J640" s="115" t="s">
        <v>80</v>
      </c>
      <c r="K640" s="113" t="s">
        <v>81</v>
      </c>
      <c r="L640" s="115" t="n">
        <v>139.94</v>
      </c>
      <c r="M640" s="115" t="n">
        <v>3.0</v>
      </c>
      <c r="N640" s="115"/>
      <c r="O640" s="115"/>
      <c r="P640" s="115"/>
      <c r="Q640" s="115"/>
      <c r="R640" s="115"/>
      <c r="S640" s="115"/>
      <c r="T640" s="115"/>
      <c r="U640" s="115"/>
      <c r="V640" s="115" t="s">
        <v>82</v>
      </c>
      <c r="W640" s="115" t="s">
        <v>83</v>
      </c>
      <c r="X640" s="113">
        <f>IF(INDIRECT("W640")="Clássico","12%",IF(INDIRECT("W640")="Premium","17%","-"))</f>
      </c>
      <c r="Y640" s="113" t="s">
        <v>2276</v>
      </c>
    </row>
    <row r="641" ht="50.0" customHeight="true">
      <c r="A641" s="113" t="s">
        <v>22</v>
      </c>
      <c r="B641" s="113" t="s">
        <v>2274</v>
      </c>
      <c r="C641" s="113" t="s">
        <v>2277</v>
      </c>
      <c r="D641" s="113" t="s">
        <v>2277</v>
      </c>
      <c r="E641" s="114" t="s">
        <v>1087</v>
      </c>
      <c r="F641" s="116">
        <f>"     "&amp;F640</f>
      </c>
      <c r="G641" s="113" t="s">
        <v>690</v>
      </c>
      <c r="H641" s="113" t="s">
        <v>103</v>
      </c>
      <c r="I641" s="113">
        <f>I640</f>
      </c>
      <c r="J641" s="113">
        <f>J640&amp;"     "</f>
      </c>
      <c r="K641" s="113" t="s">
        <v>81</v>
      </c>
      <c r="L641" s="113">
        <f>L640</f>
      </c>
      <c r="M641" s="113">
        <f>M640</f>
      </c>
      <c r="N641" s="113">
        <f>N640</f>
      </c>
      <c r="O641" s="113">
        <f>O640</f>
      </c>
      <c r="P641" s="113">
        <f>P640</f>
      </c>
      <c r="Q641" s="113">
        <f>Q640</f>
      </c>
      <c r="R641" s="113">
        <f>R640</f>
      </c>
      <c r="S641" s="113">
        <f>S640</f>
      </c>
      <c r="T641" s="113">
        <f>T640</f>
      </c>
      <c r="U641" s="113">
        <f>U640</f>
      </c>
      <c r="V641" s="113">
        <f>V640&amp;"     "</f>
      </c>
      <c r="W641" s="113">
        <f>W640&amp;"     "</f>
      </c>
      <c r="X641" s="113">
        <f>X640</f>
      </c>
      <c r="Y641" s="113" t="s">
        <v>2276</v>
      </c>
    </row>
    <row r="642" ht="50.0" customHeight="true">
      <c r="A642" s="113" t="s">
        <v>22</v>
      </c>
      <c r="B642" s="113" t="s">
        <v>2274</v>
      </c>
      <c r="C642" s="113" t="s">
        <v>2278</v>
      </c>
      <c r="D642" s="113" t="s">
        <v>2278</v>
      </c>
      <c r="E642" s="114" t="s">
        <v>1089</v>
      </c>
      <c r="F642" s="116">
        <f>"     "&amp;F640</f>
      </c>
      <c r="G642" s="113" t="s">
        <v>687</v>
      </c>
      <c r="H642" s="113" t="s">
        <v>103</v>
      </c>
      <c r="I642" s="113">
        <f>I640</f>
      </c>
      <c r="J642" s="113">
        <f>J640&amp;"     "</f>
      </c>
      <c r="K642" s="113" t="s">
        <v>81</v>
      </c>
      <c r="L642" s="113">
        <f>L640</f>
      </c>
      <c r="M642" s="113">
        <f>M640</f>
      </c>
      <c r="N642" s="113">
        <f>N640</f>
      </c>
      <c r="O642" s="113">
        <f>O640</f>
      </c>
      <c r="P642" s="113">
        <f>P640</f>
      </c>
      <c r="Q642" s="113">
        <f>Q640</f>
      </c>
      <c r="R642" s="113">
        <f>R640</f>
      </c>
      <c r="S642" s="113">
        <f>S640</f>
      </c>
      <c r="T642" s="113">
        <f>T640</f>
      </c>
      <c r="U642" s="113">
        <f>U640</f>
      </c>
      <c r="V642" s="113">
        <f>V640&amp;"     "</f>
      </c>
      <c r="W642" s="113">
        <f>W640&amp;"     "</f>
      </c>
      <c r="X642" s="113">
        <f>X640</f>
      </c>
      <c r="Y642" s="113" t="s">
        <v>2276</v>
      </c>
    </row>
    <row r="643" ht="50.0" customHeight="true">
      <c r="A643" s="113" t="s">
        <v>2279</v>
      </c>
      <c r="B643" s="113" t="s">
        <v>2280</v>
      </c>
      <c r="C643" s="113" t="s">
        <v>2281</v>
      </c>
      <c r="D643" s="113"/>
      <c r="E643" s="114" t="s">
        <v>1749</v>
      </c>
      <c r="F643" s="113" t="s">
        <v>2282</v>
      </c>
      <c r="G643" s="113" t="s">
        <v>2282</v>
      </c>
      <c r="H643" s="113" t="s">
        <v>103</v>
      </c>
      <c r="I643" s="115" t="n">
        <v>73.29</v>
      </c>
      <c r="J643" s="115" t="s">
        <v>80</v>
      </c>
      <c r="K643" s="115" t="s">
        <v>81</v>
      </c>
      <c r="L643" s="115" t="n">
        <v>59.98</v>
      </c>
      <c r="M643" s="115" t="n">
        <v>3.0</v>
      </c>
      <c r="N643" s="115"/>
      <c r="O643" s="115"/>
      <c r="P643" s="115"/>
      <c r="Q643" s="115"/>
      <c r="R643" s="115"/>
      <c r="S643" s="115"/>
      <c r="T643" s="115"/>
      <c r="U643" s="115"/>
      <c r="V643" s="115" t="s">
        <v>91</v>
      </c>
      <c r="W643" s="115" t="s">
        <v>83</v>
      </c>
      <c r="X643" s="113">
        <f>IF(INDIRECT("W643")="Clássico","12%",IF(INDIRECT("W643")="Premium","17%","-"))</f>
      </c>
      <c r="Y643" s="113" t="s">
        <v>1751</v>
      </c>
    </row>
    <row r="644" ht="50.0" customHeight="true">
      <c r="A644" s="113" t="s">
        <v>2283</v>
      </c>
      <c r="B644" s="113" t="s">
        <v>2284</v>
      </c>
      <c r="C644" s="113" t="s">
        <v>2285</v>
      </c>
      <c r="D644" s="113"/>
      <c r="E644" s="114" t="s">
        <v>1442</v>
      </c>
      <c r="F644" s="113" t="s">
        <v>2286</v>
      </c>
      <c r="G644" s="113" t="s">
        <v>2286</v>
      </c>
      <c r="H644" s="113" t="s">
        <v>103</v>
      </c>
      <c r="I644" s="115" t="n">
        <v>613.8</v>
      </c>
      <c r="J644" s="115" t="s">
        <v>80</v>
      </c>
      <c r="K644" s="115" t="s">
        <v>81</v>
      </c>
      <c r="L644" s="115" t="n">
        <v>608.8</v>
      </c>
      <c r="M644" s="115" t="n">
        <v>3.0</v>
      </c>
      <c r="N644" s="115"/>
      <c r="O644" s="115"/>
      <c r="P644" s="115"/>
      <c r="Q644" s="115"/>
      <c r="R644" s="115"/>
      <c r="S644" s="115"/>
      <c r="T644" s="115"/>
      <c r="U644" s="115"/>
      <c r="V644" s="115" t="s">
        <v>82</v>
      </c>
      <c r="W644" s="115" t="s">
        <v>92</v>
      </c>
      <c r="X644" s="113">
        <f>IF(INDIRECT("W644")="Clássico","12%",IF(INDIRECT("W644")="Premium","17%","-"))</f>
      </c>
      <c r="Y644" s="113" t="s">
        <v>1444</v>
      </c>
    </row>
    <row r="645" ht="50.0" customHeight="true">
      <c r="A645" s="113" t="s">
        <v>2287</v>
      </c>
      <c r="B645" s="113" t="s">
        <v>2288</v>
      </c>
      <c r="C645" s="113" t="s">
        <v>2289</v>
      </c>
      <c r="D645" s="113"/>
      <c r="E645" s="114" t="s">
        <v>2104</v>
      </c>
      <c r="F645" s="113" t="s">
        <v>2105</v>
      </c>
      <c r="G645" s="113" t="s">
        <v>2105</v>
      </c>
      <c r="H645" s="113" t="s">
        <v>103</v>
      </c>
      <c r="I645" s="115" t="n">
        <v>115.06</v>
      </c>
      <c r="J645" s="115" t="s">
        <v>80</v>
      </c>
      <c r="K645" s="115" t="s">
        <v>81</v>
      </c>
      <c r="L645" s="115" t="n">
        <v>107.53</v>
      </c>
      <c r="M645" s="115" t="n">
        <v>3.0</v>
      </c>
      <c r="N645" s="115"/>
      <c r="O645" s="115"/>
      <c r="P645" s="115"/>
      <c r="Q645" s="115"/>
      <c r="R645" s="115"/>
      <c r="S645" s="115"/>
      <c r="T645" s="115"/>
      <c r="U645" s="115"/>
      <c r="V645" s="115" t="s">
        <v>82</v>
      </c>
      <c r="W645" s="115" t="s">
        <v>83</v>
      </c>
      <c r="X645" s="113">
        <f>IF(INDIRECT("W645")="Clássico","12%",IF(INDIRECT("W645")="Premium","17%","-"))</f>
      </c>
      <c r="Y645" s="113" t="s">
        <v>2193</v>
      </c>
    </row>
    <row r="646" ht="50.0" customHeight="true">
      <c r="A646" s="113" t="s">
        <v>2290</v>
      </c>
      <c r="B646" s="113" t="s">
        <v>2291</v>
      </c>
      <c r="C646" s="113" t="s">
        <v>2292</v>
      </c>
      <c r="D646" s="113"/>
      <c r="E646" s="114" t="s">
        <v>2047</v>
      </c>
      <c r="F646" s="113" t="s">
        <v>2293</v>
      </c>
      <c r="G646" s="113" t="s">
        <v>2293</v>
      </c>
      <c r="H646" s="113" t="s">
        <v>103</v>
      </c>
      <c r="I646" s="115" t="n">
        <v>98.61</v>
      </c>
      <c r="J646" s="115" t="s">
        <v>80</v>
      </c>
      <c r="K646" s="115" t="s">
        <v>81</v>
      </c>
      <c r="L646" s="115" t="n">
        <v>91.2</v>
      </c>
      <c r="M646" s="115" t="n">
        <v>3.0</v>
      </c>
      <c r="N646" s="115"/>
      <c r="O646" s="115"/>
      <c r="P646" s="115"/>
      <c r="Q646" s="115"/>
      <c r="R646" s="115"/>
      <c r="S646" s="115"/>
      <c r="T646" s="115"/>
      <c r="U646" s="115"/>
      <c r="V646" s="115" t="s">
        <v>91</v>
      </c>
      <c r="W646" s="115" t="s">
        <v>83</v>
      </c>
      <c r="X646" s="113">
        <f>IF(INDIRECT("W646")="Clássico","12%",IF(INDIRECT("W646")="Premium","17%","-"))</f>
      </c>
      <c r="Y646" s="113" t="s">
        <v>297</v>
      </c>
    </row>
    <row r="647" ht="50.0" customHeight="true">
      <c r="A647" s="113" t="s">
        <v>2294</v>
      </c>
      <c r="B647" s="113" t="s">
        <v>2295</v>
      </c>
      <c r="C647" s="113" t="s">
        <v>2296</v>
      </c>
      <c r="D647" s="113"/>
      <c r="E647" s="114" t="s">
        <v>1722</v>
      </c>
      <c r="F647" s="113" t="s">
        <v>2297</v>
      </c>
      <c r="G647" s="113" t="s">
        <v>227</v>
      </c>
      <c r="H647" s="113" t="s">
        <v>103</v>
      </c>
      <c r="I647" s="115" t="n">
        <v>132.79</v>
      </c>
      <c r="J647" s="115" t="s">
        <v>80</v>
      </c>
      <c r="K647" s="115" t="s">
        <v>81</v>
      </c>
      <c r="L647" s="115" t="n">
        <v>138.67</v>
      </c>
      <c r="M647" s="115" t="n">
        <v>3.0</v>
      </c>
      <c r="N647" s="115"/>
      <c r="O647" s="115"/>
      <c r="P647" s="115"/>
      <c r="Q647" s="115"/>
      <c r="R647" s="115"/>
      <c r="S647" s="115"/>
      <c r="T647" s="115"/>
      <c r="U647" s="115"/>
      <c r="V647" s="115" t="s">
        <v>82</v>
      </c>
      <c r="W647" s="115" t="s">
        <v>92</v>
      </c>
      <c r="X647" s="113">
        <f>IF(INDIRECT("W647")="Clássico","12%",IF(INDIRECT("W647")="Premium","17%","-"))</f>
      </c>
      <c r="Y647" s="113" t="s">
        <v>643</v>
      </c>
    </row>
    <row r="648" ht="50.0" customHeight="true">
      <c r="A648" s="113" t="s">
        <v>2298</v>
      </c>
      <c r="B648" s="113" t="s">
        <v>2299</v>
      </c>
      <c r="C648" s="113" t="s">
        <v>2300</v>
      </c>
      <c r="D648" s="113"/>
      <c r="E648" s="114" t="s">
        <v>280</v>
      </c>
      <c r="F648" s="113" t="s">
        <v>2301</v>
      </c>
      <c r="G648" s="113" t="s">
        <v>127</v>
      </c>
      <c r="H648" s="113" t="s">
        <v>103</v>
      </c>
      <c r="I648" s="115" t="n">
        <v>466.85</v>
      </c>
      <c r="J648" s="115" t="s">
        <v>80</v>
      </c>
      <c r="K648" s="115" t="s">
        <v>81</v>
      </c>
      <c r="L648" s="115" t="n">
        <v>461.85</v>
      </c>
      <c r="M648" s="115" t="n">
        <v>3.0</v>
      </c>
      <c r="N648" s="115"/>
      <c r="O648" s="115"/>
      <c r="P648" s="115"/>
      <c r="Q648" s="115"/>
      <c r="R648" s="115"/>
      <c r="S648" s="115"/>
      <c r="T648" s="115"/>
      <c r="U648" s="115"/>
      <c r="V648" s="115" t="s">
        <v>82</v>
      </c>
      <c r="W648" s="115" t="s">
        <v>83</v>
      </c>
      <c r="X648" s="113">
        <f>IF(INDIRECT("W648")="Clássico","12%",IF(INDIRECT("W648")="Premium","17%","-"))</f>
      </c>
      <c r="Y648" s="113" t="s">
        <v>423</v>
      </c>
    </row>
    <row r="649" ht="50.0" customHeight="true">
      <c r="A649" s="113" t="s">
        <v>2302</v>
      </c>
      <c r="B649" s="113" t="s">
        <v>2303</v>
      </c>
      <c r="C649" s="113" t="s">
        <v>2304</v>
      </c>
      <c r="D649" s="113"/>
      <c r="E649" s="114" t="s">
        <v>270</v>
      </c>
      <c r="F649" s="113" t="s">
        <v>2305</v>
      </c>
      <c r="G649" s="113" t="s">
        <v>184</v>
      </c>
      <c r="H649" s="113" t="s">
        <v>103</v>
      </c>
      <c r="I649" s="115" t="n">
        <v>131.52</v>
      </c>
      <c r="J649" s="115" t="s">
        <v>80</v>
      </c>
      <c r="K649" s="115" t="s">
        <v>81</v>
      </c>
      <c r="L649" s="115" t="n">
        <v>100.8</v>
      </c>
      <c r="M649" s="115" t="n">
        <v>3.0</v>
      </c>
      <c r="N649" s="115"/>
      <c r="O649" s="115"/>
      <c r="P649" s="115"/>
      <c r="Q649" s="115"/>
      <c r="R649" s="115"/>
      <c r="S649" s="115"/>
      <c r="T649" s="115"/>
      <c r="U649" s="115"/>
      <c r="V649" s="115" t="s">
        <v>82</v>
      </c>
      <c r="W649" s="115" t="s">
        <v>92</v>
      </c>
      <c r="X649" s="113">
        <f>IF(INDIRECT("W649")="Clássico","12%",IF(INDIRECT("W649")="Premium","17%","-"))</f>
      </c>
      <c r="Y649" s="113" t="s">
        <v>367</v>
      </c>
    </row>
    <row r="650" ht="50.0" customHeight="true">
      <c r="A650" s="113" t="s">
        <v>2306</v>
      </c>
      <c r="B650" s="113" t="s">
        <v>2307</v>
      </c>
      <c r="C650" s="113" t="s">
        <v>2308</v>
      </c>
      <c r="D650" s="113"/>
      <c r="E650" s="114" t="s">
        <v>2309</v>
      </c>
      <c r="F650" s="113" t="s">
        <v>2310</v>
      </c>
      <c r="G650" s="113" t="s">
        <v>2310</v>
      </c>
      <c r="H650" s="113" t="s">
        <v>103</v>
      </c>
      <c r="I650" s="115" t="n">
        <v>55.9</v>
      </c>
      <c r="J650" s="115" t="s">
        <v>80</v>
      </c>
      <c r="K650" s="113" t="s">
        <v>81</v>
      </c>
      <c r="L650" s="115" t="n">
        <v>28.54</v>
      </c>
      <c r="M650" s="115" t="n">
        <v>3.0</v>
      </c>
      <c r="N650" s="115"/>
      <c r="O650" s="115"/>
      <c r="P650" s="115"/>
      <c r="Q650" s="115"/>
      <c r="R650" s="115"/>
      <c r="S650" s="115"/>
      <c r="T650" s="115"/>
      <c r="U650" s="115"/>
      <c r="V650" s="115" t="s">
        <v>91</v>
      </c>
      <c r="W650" s="115" t="s">
        <v>92</v>
      </c>
      <c r="X650" s="113">
        <f>IF(INDIRECT("W650")="Clássico","12%",IF(INDIRECT("W650")="Premium","17%","-"))</f>
      </c>
      <c r="Y650" s="113" t="s">
        <v>696</v>
      </c>
    </row>
    <row r="651" ht="50.0" customHeight="true">
      <c r="A651" s="113" t="s">
        <v>2311</v>
      </c>
      <c r="B651" s="113" t="s">
        <v>2312</v>
      </c>
      <c r="C651" s="113" t="s">
        <v>2313</v>
      </c>
      <c r="D651" s="113"/>
      <c r="E651" s="114" t="s">
        <v>2314</v>
      </c>
      <c r="F651" s="113" t="s">
        <v>2315</v>
      </c>
      <c r="G651" s="113" t="s">
        <v>2315</v>
      </c>
      <c r="H651" s="113" t="s">
        <v>103</v>
      </c>
      <c r="I651" s="115" t="n">
        <v>287.33</v>
      </c>
      <c r="J651" s="115" t="s">
        <v>80</v>
      </c>
      <c r="K651" s="115" t="s">
        <v>81</v>
      </c>
      <c r="L651" s="115" t="n">
        <v>282.33</v>
      </c>
      <c r="M651" s="115" t="n">
        <v>3.0</v>
      </c>
      <c r="N651" s="115"/>
      <c r="O651" s="115"/>
      <c r="P651" s="115"/>
      <c r="Q651" s="115"/>
      <c r="R651" s="115"/>
      <c r="S651" s="115"/>
      <c r="T651" s="115"/>
      <c r="U651" s="115"/>
      <c r="V651" s="115" t="s">
        <v>82</v>
      </c>
      <c r="W651" s="115" t="s">
        <v>83</v>
      </c>
      <c r="X651" s="113">
        <f>IF(INDIRECT("W651")="Clássico","12%",IF(INDIRECT("W651")="Premium","17%","-"))</f>
      </c>
      <c r="Y651" s="113" t="s">
        <v>2316</v>
      </c>
    </row>
    <row r="652" ht="50.0" customHeight="true">
      <c r="A652" s="113" t="s">
        <v>2317</v>
      </c>
      <c r="B652" s="113" t="s">
        <v>2318</v>
      </c>
      <c r="C652" s="113" t="s">
        <v>2319</v>
      </c>
      <c r="D652" s="113"/>
      <c r="E652" s="114" t="s">
        <v>2320</v>
      </c>
      <c r="F652" s="113" t="s">
        <v>2321</v>
      </c>
      <c r="G652" s="113" t="s">
        <v>2321</v>
      </c>
      <c r="H652" s="113" t="s">
        <v>103</v>
      </c>
      <c r="I652" s="115" t="n">
        <v>3249.28</v>
      </c>
      <c r="J652" s="115" t="s">
        <v>80</v>
      </c>
      <c r="K652" s="115" t="s">
        <v>81</v>
      </c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 t="s">
        <v>82</v>
      </c>
      <c r="W652" s="115" t="s">
        <v>92</v>
      </c>
      <c r="X652" s="113">
        <f>IF(INDIRECT("W652")="Clássico","12%",IF(INDIRECT("W652")="Premium","17%","-"))</f>
      </c>
      <c r="Y652" s="113" t="s">
        <v>712</v>
      </c>
    </row>
    <row r="653" ht="50.0" customHeight="true">
      <c r="A653" s="113" t="s">
        <v>2322</v>
      </c>
      <c r="B653" s="113" t="s">
        <v>2323</v>
      </c>
      <c r="C653" s="113" t="s">
        <v>2324</v>
      </c>
      <c r="D653" s="113"/>
      <c r="E653" s="114" t="s">
        <v>2325</v>
      </c>
      <c r="F653" s="113" t="s">
        <v>2326</v>
      </c>
      <c r="G653" s="113" t="s">
        <v>2326</v>
      </c>
      <c r="H653" s="113" t="s">
        <v>103</v>
      </c>
      <c r="I653" s="115" t="n">
        <v>36.7</v>
      </c>
      <c r="J653" s="115" t="s">
        <v>80</v>
      </c>
      <c r="K653" s="115" t="s">
        <v>81</v>
      </c>
      <c r="L653" s="115" t="n">
        <v>31.7</v>
      </c>
      <c r="M653" s="115" t="n">
        <v>3.0</v>
      </c>
      <c r="N653" s="115"/>
      <c r="O653" s="115"/>
      <c r="P653" s="115"/>
      <c r="Q653" s="115"/>
      <c r="R653" s="115"/>
      <c r="S653" s="115"/>
      <c r="T653" s="115"/>
      <c r="U653" s="115"/>
      <c r="V653" s="115" t="s">
        <v>91</v>
      </c>
      <c r="W653" s="115" t="s">
        <v>92</v>
      </c>
      <c r="X653" s="113">
        <f>IF(INDIRECT("W653")="Clássico","12%",IF(INDIRECT("W653")="Premium","17%","-"))</f>
      </c>
      <c r="Y653" s="113" t="s">
        <v>1979</v>
      </c>
    </row>
    <row r="654" ht="50.0" customHeight="true">
      <c r="A654" s="113" t="s">
        <v>2327</v>
      </c>
      <c r="B654" s="113" t="s">
        <v>2328</v>
      </c>
      <c r="C654" s="113" t="s">
        <v>2329</v>
      </c>
      <c r="D654" s="113"/>
      <c r="E654" s="114" t="s">
        <v>1964</v>
      </c>
      <c r="F654" s="113" t="s">
        <v>1858</v>
      </c>
      <c r="G654" s="113" t="s">
        <v>1512</v>
      </c>
      <c r="H654" s="113" t="s">
        <v>103</v>
      </c>
      <c r="I654" s="115" t="n">
        <v>250.51</v>
      </c>
      <c r="J654" s="115" t="s">
        <v>80</v>
      </c>
      <c r="K654" s="115" t="s">
        <v>81</v>
      </c>
      <c r="L654" s="115" t="n">
        <v>206.27</v>
      </c>
      <c r="M654" s="115" t="n">
        <v>3.0</v>
      </c>
      <c r="N654" s="115"/>
      <c r="O654" s="115"/>
      <c r="P654" s="115"/>
      <c r="Q654" s="115"/>
      <c r="R654" s="115"/>
      <c r="S654" s="115"/>
      <c r="T654" s="115"/>
      <c r="U654" s="115"/>
      <c r="V654" s="115" t="s">
        <v>82</v>
      </c>
      <c r="W654" s="115" t="s">
        <v>83</v>
      </c>
      <c r="X654" s="113">
        <f>IF(INDIRECT("W654")="Clássico","12%",IF(INDIRECT("W654")="Premium","17%","-"))</f>
      </c>
      <c r="Y654" s="113" t="s">
        <v>662</v>
      </c>
    </row>
    <row r="655" ht="50.0" customHeight="true">
      <c r="A655" s="113" t="s">
        <v>2330</v>
      </c>
      <c r="B655" s="113" t="s">
        <v>2331</v>
      </c>
      <c r="C655" s="113" t="s">
        <v>2332</v>
      </c>
      <c r="D655" s="113"/>
      <c r="E655" s="114" t="s">
        <v>1158</v>
      </c>
      <c r="F655" s="113" t="s">
        <v>2333</v>
      </c>
      <c r="G655" s="113" t="s">
        <v>2333</v>
      </c>
      <c r="H655" s="113" t="s">
        <v>234</v>
      </c>
      <c r="I655" s="115" t="n">
        <v>106.2</v>
      </c>
      <c r="J655" s="115" t="s">
        <v>80</v>
      </c>
      <c r="K655" s="115" t="s">
        <v>81</v>
      </c>
      <c r="L655" s="115" t="n">
        <v>90.57</v>
      </c>
      <c r="M655" s="115" t="n">
        <v>3.0</v>
      </c>
      <c r="N655" s="115"/>
      <c r="O655" s="115"/>
      <c r="P655" s="115"/>
      <c r="Q655" s="115"/>
      <c r="R655" s="115"/>
      <c r="S655" s="115"/>
      <c r="T655" s="115"/>
      <c r="U655" s="115"/>
      <c r="V655" s="115" t="s">
        <v>82</v>
      </c>
      <c r="W655" s="115" t="s">
        <v>83</v>
      </c>
      <c r="X655" s="113">
        <f>IF(INDIRECT("W655")="Clássico","12%",IF(INDIRECT("W655")="Premium","17%","-"))</f>
      </c>
      <c r="Y655" s="113" t="s">
        <v>1160</v>
      </c>
    </row>
    <row r="656" ht="50.0" customHeight="true">
      <c r="A656" s="113" t="s">
        <v>2334</v>
      </c>
      <c r="B656" s="113" t="s">
        <v>2335</v>
      </c>
      <c r="C656" s="113" t="s">
        <v>2336</v>
      </c>
      <c r="D656" s="113"/>
      <c r="E656" s="114" t="s">
        <v>1096</v>
      </c>
      <c r="F656" s="113" t="s">
        <v>2337</v>
      </c>
      <c r="G656" s="113" t="s">
        <v>2337</v>
      </c>
      <c r="H656" s="113" t="s">
        <v>103</v>
      </c>
      <c r="I656" s="115" t="n">
        <v>116.33</v>
      </c>
      <c r="J656" s="115" t="s">
        <v>80</v>
      </c>
      <c r="K656" s="115" t="s">
        <v>81</v>
      </c>
      <c r="L656" s="115" t="n">
        <v>111.33</v>
      </c>
      <c r="M656" s="115" t="n">
        <v>3.0</v>
      </c>
      <c r="N656" s="115"/>
      <c r="O656" s="115"/>
      <c r="P656" s="115"/>
      <c r="Q656" s="115"/>
      <c r="R656" s="115"/>
      <c r="S656" s="115"/>
      <c r="T656" s="115"/>
      <c r="U656" s="115"/>
      <c r="V656" s="115" t="s">
        <v>82</v>
      </c>
      <c r="W656" s="115" t="s">
        <v>83</v>
      </c>
      <c r="X656" s="113">
        <f>IF(INDIRECT("W656")="Clássico","12%",IF(INDIRECT("W656")="Premium","17%","-"))</f>
      </c>
      <c r="Y656" s="113" t="s">
        <v>1098</v>
      </c>
    </row>
    <row r="657" ht="50.0" customHeight="true">
      <c r="A657" s="113" t="s">
        <v>2338</v>
      </c>
      <c r="B657" s="113" t="s">
        <v>2339</v>
      </c>
      <c r="C657" s="113" t="s">
        <v>2340</v>
      </c>
      <c r="D657" s="113"/>
      <c r="E657" s="114" t="s">
        <v>915</v>
      </c>
      <c r="F657" s="113" t="s">
        <v>2341</v>
      </c>
      <c r="G657" s="113" t="s">
        <v>2341</v>
      </c>
      <c r="H657" s="113" t="s">
        <v>103</v>
      </c>
      <c r="I657" s="115" t="n">
        <v>60.0</v>
      </c>
      <c r="J657" s="115" t="s">
        <v>80</v>
      </c>
      <c r="K657" s="115" t="s">
        <v>81</v>
      </c>
      <c r="L657" s="115" t="n">
        <v>67.79</v>
      </c>
      <c r="M657" s="115" t="n">
        <v>3.0</v>
      </c>
      <c r="N657" s="115"/>
      <c r="O657" s="115"/>
      <c r="P657" s="115"/>
      <c r="Q657" s="115"/>
      <c r="R657" s="115"/>
      <c r="S657" s="115"/>
      <c r="T657" s="115"/>
      <c r="U657" s="115"/>
      <c r="V657" s="115" t="s">
        <v>91</v>
      </c>
      <c r="W657" s="115" t="s">
        <v>92</v>
      </c>
      <c r="X657" s="113">
        <f>IF(INDIRECT("W657")="Clássico","12%",IF(INDIRECT("W657")="Premium","17%","-"))</f>
      </c>
      <c r="Y657" s="113" t="s">
        <v>2193</v>
      </c>
    </row>
    <row r="658" ht="50.0" customHeight="true">
      <c r="A658" s="113" t="s">
        <v>2342</v>
      </c>
      <c r="B658" s="113" t="s">
        <v>2343</v>
      </c>
      <c r="C658" s="113" t="s">
        <v>2344</v>
      </c>
      <c r="D658" s="113"/>
      <c r="E658" s="114" t="s">
        <v>915</v>
      </c>
      <c r="F658" s="113" t="s">
        <v>2345</v>
      </c>
      <c r="G658" s="113" t="s">
        <v>2345</v>
      </c>
      <c r="H658" s="113" t="s">
        <v>103</v>
      </c>
      <c r="I658" s="115" t="n">
        <v>60.1</v>
      </c>
      <c r="J658" s="115" t="s">
        <v>80</v>
      </c>
      <c r="K658" s="115" t="s">
        <v>81</v>
      </c>
      <c r="L658" s="115" t="n">
        <v>69.04</v>
      </c>
      <c r="M658" s="115" t="n">
        <v>3.0</v>
      </c>
      <c r="N658" s="115"/>
      <c r="O658" s="115"/>
      <c r="P658" s="115"/>
      <c r="Q658" s="115"/>
      <c r="R658" s="115"/>
      <c r="S658" s="115"/>
      <c r="T658" s="115"/>
      <c r="U658" s="115"/>
      <c r="V658" s="115" t="s">
        <v>91</v>
      </c>
      <c r="W658" s="115" t="s">
        <v>92</v>
      </c>
      <c r="X658" s="113">
        <f>IF(INDIRECT("W658")="Clássico","12%",IF(INDIRECT("W658")="Premium","17%","-"))</f>
      </c>
      <c r="Y658" s="113" t="s">
        <v>93</v>
      </c>
    </row>
    <row r="659" ht="50.0" customHeight="true">
      <c r="A659" s="113" t="s">
        <v>2346</v>
      </c>
      <c r="B659" s="113" t="s">
        <v>2347</v>
      </c>
      <c r="C659" s="113" t="s">
        <v>2348</v>
      </c>
      <c r="D659" s="113"/>
      <c r="E659" s="114" t="s">
        <v>906</v>
      </c>
      <c r="F659" s="113" t="s">
        <v>2349</v>
      </c>
      <c r="G659" s="113" t="s">
        <v>2349</v>
      </c>
      <c r="H659" s="113" t="s">
        <v>103</v>
      </c>
      <c r="I659" s="115" t="n">
        <v>197.34</v>
      </c>
      <c r="J659" s="115" t="s">
        <v>80</v>
      </c>
      <c r="K659" s="115" t="s">
        <v>81</v>
      </c>
      <c r="L659" s="115" t="n">
        <v>102.47</v>
      </c>
      <c r="M659" s="115" t="n">
        <v>3.0</v>
      </c>
      <c r="N659" s="115"/>
      <c r="O659" s="115"/>
      <c r="P659" s="115"/>
      <c r="Q659" s="115"/>
      <c r="R659" s="115"/>
      <c r="S659" s="115"/>
      <c r="T659" s="115"/>
      <c r="U659" s="115"/>
      <c r="V659" s="115" t="s">
        <v>82</v>
      </c>
      <c r="W659" s="115" t="s">
        <v>92</v>
      </c>
      <c r="X659" s="113">
        <f>IF(INDIRECT("W659")="Clássico","12%",IF(INDIRECT("W659")="Premium","17%","-"))</f>
      </c>
      <c r="Y659" s="113" t="s">
        <v>2350</v>
      </c>
    </row>
    <row r="660" ht="50.0" customHeight="true">
      <c r="A660" s="113" t="s">
        <v>2351</v>
      </c>
      <c r="B660" s="113" t="s">
        <v>2352</v>
      </c>
      <c r="C660" s="113" t="s">
        <v>2353</v>
      </c>
      <c r="D660" s="113"/>
      <c r="E660" s="114" t="s">
        <v>588</v>
      </c>
      <c r="F660" s="113" t="s">
        <v>2354</v>
      </c>
      <c r="G660" s="113" t="s">
        <v>103</v>
      </c>
      <c r="H660" s="113" t="s">
        <v>103</v>
      </c>
      <c r="I660" s="115" t="n">
        <v>87.33</v>
      </c>
      <c r="J660" s="115" t="s">
        <v>80</v>
      </c>
      <c r="K660" s="115" t="s">
        <v>81</v>
      </c>
      <c r="L660" s="115" t="n">
        <v>82.33</v>
      </c>
      <c r="M660" s="115" t="n">
        <v>3.0</v>
      </c>
      <c r="N660" s="115"/>
      <c r="O660" s="115"/>
      <c r="P660" s="115"/>
      <c r="Q660" s="115"/>
      <c r="R660" s="115"/>
      <c r="S660" s="115"/>
      <c r="T660" s="115"/>
      <c r="U660" s="115"/>
      <c r="V660" s="115" t="s">
        <v>91</v>
      </c>
      <c r="W660" s="115" t="s">
        <v>83</v>
      </c>
      <c r="X660" s="113">
        <f>IF(INDIRECT("W660")="Clássico","11.5%",IF(INDIRECT("W660")="Premium","16.5%","-"))</f>
      </c>
      <c r="Y660" s="113" t="s">
        <v>736</v>
      </c>
    </row>
    <row r="661" ht="50.0" customHeight="true">
      <c r="A661" s="113" t="s">
        <v>2355</v>
      </c>
      <c r="B661" s="113" t="s">
        <v>2356</v>
      </c>
      <c r="C661" s="113" t="s">
        <v>2357</v>
      </c>
      <c r="D661" s="113"/>
      <c r="E661" s="114" t="s">
        <v>1442</v>
      </c>
      <c r="F661" s="113" t="s">
        <v>2358</v>
      </c>
      <c r="G661" s="113" t="s">
        <v>2358</v>
      </c>
      <c r="H661" s="113" t="s">
        <v>103</v>
      </c>
      <c r="I661" s="115" t="n">
        <v>780.9</v>
      </c>
      <c r="J661" s="115" t="s">
        <v>80</v>
      </c>
      <c r="K661" s="115" t="s">
        <v>81</v>
      </c>
      <c r="L661" s="115" t="n">
        <v>775.9</v>
      </c>
      <c r="M661" s="115" t="n">
        <v>3.0</v>
      </c>
      <c r="N661" s="115"/>
      <c r="O661" s="115"/>
      <c r="P661" s="115"/>
      <c r="Q661" s="115"/>
      <c r="R661" s="115"/>
      <c r="S661" s="115"/>
      <c r="T661" s="115"/>
      <c r="U661" s="115"/>
      <c r="V661" s="115" t="s">
        <v>82</v>
      </c>
      <c r="W661" s="115" t="s">
        <v>92</v>
      </c>
      <c r="X661" s="113">
        <f>IF(INDIRECT("W661")="Clássico","12%",IF(INDIRECT("W661")="Premium","17%","-"))</f>
      </c>
      <c r="Y661" s="113" t="s">
        <v>1444</v>
      </c>
    </row>
    <row r="662" ht="50.0" customHeight="true">
      <c r="A662" s="113" t="s">
        <v>2359</v>
      </c>
      <c r="B662" s="113" t="s">
        <v>2360</v>
      </c>
      <c r="C662" s="113" t="s">
        <v>2361</v>
      </c>
      <c r="D662" s="113"/>
      <c r="E662" s="114" t="s">
        <v>930</v>
      </c>
      <c r="F662" s="113" t="s">
        <v>2362</v>
      </c>
      <c r="G662" s="113" t="s">
        <v>2362</v>
      </c>
      <c r="H662" s="113" t="s">
        <v>103</v>
      </c>
      <c r="I662" s="115" t="n">
        <v>289.75</v>
      </c>
      <c r="J662" s="115" t="s">
        <v>80</v>
      </c>
      <c r="K662" s="115" t="s">
        <v>81</v>
      </c>
      <c r="L662" s="115" t="n">
        <v>268.41</v>
      </c>
      <c r="M662" s="115" t="n">
        <v>3.0</v>
      </c>
      <c r="N662" s="115"/>
      <c r="O662" s="115"/>
      <c r="P662" s="115"/>
      <c r="Q662" s="115"/>
      <c r="R662" s="115"/>
      <c r="S662" s="115"/>
      <c r="T662" s="115"/>
      <c r="U662" s="115"/>
      <c r="V662" s="115" t="s">
        <v>82</v>
      </c>
      <c r="W662" s="115" t="s">
        <v>83</v>
      </c>
      <c r="X662" s="113">
        <f>IF(INDIRECT("W662")="Clássico","12%",IF(INDIRECT("W662")="Premium","17%","-"))</f>
      </c>
      <c r="Y662" s="113" t="s">
        <v>932</v>
      </c>
    </row>
    <row r="663" ht="50.0" customHeight="true">
      <c r="A663" s="113" t="s">
        <v>2363</v>
      </c>
      <c r="B663" s="113" t="s">
        <v>2364</v>
      </c>
      <c r="C663" s="113" t="s">
        <v>2365</v>
      </c>
      <c r="D663" s="113"/>
      <c r="E663" s="114" t="s">
        <v>574</v>
      </c>
      <c r="F663" s="113" t="s">
        <v>2366</v>
      </c>
      <c r="G663" s="113" t="s">
        <v>2366</v>
      </c>
      <c r="H663" s="113" t="s">
        <v>103</v>
      </c>
      <c r="I663" s="115" t="n">
        <v>126.33</v>
      </c>
      <c r="J663" s="115" t="s">
        <v>80</v>
      </c>
      <c r="K663" s="115" t="s">
        <v>81</v>
      </c>
      <c r="L663" s="115" t="n">
        <v>121.33</v>
      </c>
      <c r="M663" s="115" t="n">
        <v>3.0</v>
      </c>
      <c r="N663" s="115"/>
      <c r="O663" s="115"/>
      <c r="P663" s="115"/>
      <c r="Q663" s="115"/>
      <c r="R663" s="115"/>
      <c r="S663" s="115"/>
      <c r="T663" s="115"/>
      <c r="U663" s="115"/>
      <c r="V663" s="115" t="s">
        <v>82</v>
      </c>
      <c r="W663" s="115" t="s">
        <v>83</v>
      </c>
      <c r="X663" s="113">
        <f>IF(INDIRECT("W663")="Clássico","12%",IF(INDIRECT("W663")="Premium","17%","-"))</f>
      </c>
      <c r="Y663" s="113" t="s">
        <v>576</v>
      </c>
    </row>
    <row r="664" ht="50.0" customHeight="true">
      <c r="A664" s="113" t="s">
        <v>2367</v>
      </c>
      <c r="B664" s="113" t="s">
        <v>2368</v>
      </c>
      <c r="C664" s="113" t="s">
        <v>2369</v>
      </c>
      <c r="D664" s="113"/>
      <c r="E664" s="114" t="s">
        <v>595</v>
      </c>
      <c r="F664" s="113" t="s">
        <v>2370</v>
      </c>
      <c r="G664" s="113" t="s">
        <v>2370</v>
      </c>
      <c r="H664" s="113" t="s">
        <v>103</v>
      </c>
      <c r="I664" s="115" t="n">
        <v>187.22</v>
      </c>
      <c r="J664" s="115" t="s">
        <v>80</v>
      </c>
      <c r="K664" s="115" t="s">
        <v>81</v>
      </c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 t="s">
        <v>82</v>
      </c>
      <c r="W664" s="115" t="s">
        <v>83</v>
      </c>
      <c r="X664" s="113">
        <f>IF(INDIRECT("W664")="Clássico","12%",IF(INDIRECT("W664")="Premium","17%","-"))</f>
      </c>
      <c r="Y664" s="113" t="s">
        <v>597</v>
      </c>
    </row>
    <row r="665" ht="50.0" customHeight="true">
      <c r="A665" s="113" t="s">
        <v>2371</v>
      </c>
      <c r="B665" s="113" t="s">
        <v>2372</v>
      </c>
      <c r="C665" s="113" t="s">
        <v>2373</v>
      </c>
      <c r="D665" s="113"/>
      <c r="E665" s="114" t="s">
        <v>1072</v>
      </c>
      <c r="F665" s="113" t="s">
        <v>2374</v>
      </c>
      <c r="G665" s="113" t="s">
        <v>2374</v>
      </c>
      <c r="H665" s="113" t="s">
        <v>103</v>
      </c>
      <c r="I665" s="115" t="n">
        <v>107.47</v>
      </c>
      <c r="J665" s="115" t="s">
        <v>80</v>
      </c>
      <c r="K665" s="115" t="s">
        <v>81</v>
      </c>
      <c r="L665" s="115" t="n">
        <v>94.99</v>
      </c>
      <c r="M665" s="115" t="n">
        <v>3.0</v>
      </c>
      <c r="N665" s="115"/>
      <c r="O665" s="115"/>
      <c r="P665" s="115"/>
      <c r="Q665" s="115"/>
      <c r="R665" s="115"/>
      <c r="S665" s="115"/>
      <c r="T665" s="115"/>
      <c r="U665" s="115"/>
      <c r="V665" s="115" t="s">
        <v>82</v>
      </c>
      <c r="W665" s="115" t="s">
        <v>92</v>
      </c>
      <c r="X665" s="113">
        <f>IF(INDIRECT("W665")="Clássico","12%",IF(INDIRECT("W665")="Premium","17%","-"))</f>
      </c>
      <c r="Y665" s="113" t="s">
        <v>1074</v>
      </c>
    </row>
    <row r="666" ht="50.0" customHeight="true">
      <c r="A666" s="113" t="s">
        <v>571</v>
      </c>
      <c r="B666" s="113" t="s">
        <v>2375</v>
      </c>
      <c r="C666" s="113" t="s">
        <v>2376</v>
      </c>
      <c r="D666" s="113"/>
      <c r="E666" s="114" t="s">
        <v>574</v>
      </c>
      <c r="F666" s="113" t="s">
        <v>575</v>
      </c>
      <c r="G666" s="113" t="s">
        <v>575</v>
      </c>
      <c r="H666" s="113" t="s">
        <v>103</v>
      </c>
      <c r="I666" s="115" t="n">
        <v>149.24</v>
      </c>
      <c r="J666" s="115" t="s">
        <v>80</v>
      </c>
      <c r="K666" s="115" t="s">
        <v>81</v>
      </c>
      <c r="L666" s="115" t="n">
        <v>144.24</v>
      </c>
      <c r="M666" s="115" t="n">
        <v>3.0</v>
      </c>
      <c r="N666" s="115"/>
      <c r="O666" s="115"/>
      <c r="P666" s="115"/>
      <c r="Q666" s="115"/>
      <c r="R666" s="115"/>
      <c r="S666" s="115"/>
      <c r="T666" s="115"/>
      <c r="U666" s="115"/>
      <c r="V666" s="115" t="s">
        <v>82</v>
      </c>
      <c r="W666" s="115" t="s">
        <v>83</v>
      </c>
      <c r="X666" s="113">
        <f>IF(INDIRECT("W666")="Clássico","12%",IF(INDIRECT("W666")="Premium","17%","-"))</f>
      </c>
      <c r="Y666" s="113" t="s">
        <v>576</v>
      </c>
    </row>
    <row r="667" ht="50.0" customHeight="true">
      <c r="A667" s="113" t="s">
        <v>1566</v>
      </c>
      <c r="B667" s="113" t="s">
        <v>2377</v>
      </c>
      <c r="C667" s="113" t="s">
        <v>2378</v>
      </c>
      <c r="D667" s="113"/>
      <c r="E667" s="114" t="s">
        <v>753</v>
      </c>
      <c r="F667" s="113" t="s">
        <v>1569</v>
      </c>
      <c r="G667" s="113" t="s">
        <v>1569</v>
      </c>
      <c r="H667" s="113" t="s">
        <v>103</v>
      </c>
      <c r="I667" s="115" t="n">
        <v>237.85</v>
      </c>
      <c r="J667" s="115" t="s">
        <v>80</v>
      </c>
      <c r="K667" s="115" t="s">
        <v>81</v>
      </c>
      <c r="L667" s="115" t="n">
        <v>241.84</v>
      </c>
      <c r="M667" s="115" t="n">
        <v>3.0</v>
      </c>
      <c r="N667" s="115"/>
      <c r="O667" s="115"/>
      <c r="P667" s="115"/>
      <c r="Q667" s="115"/>
      <c r="R667" s="115"/>
      <c r="S667" s="115"/>
      <c r="T667" s="115"/>
      <c r="U667" s="115"/>
      <c r="V667" s="115" t="s">
        <v>82</v>
      </c>
      <c r="W667" s="115" t="s">
        <v>92</v>
      </c>
      <c r="X667" s="113">
        <f>IF(INDIRECT("W667")="Clássico","12%",IF(INDIRECT("W667")="Premium","17%","-"))</f>
      </c>
      <c r="Y667" s="113" t="s">
        <v>755</v>
      </c>
    </row>
    <row r="668" ht="50.0" customHeight="true">
      <c r="A668" s="113" t="s">
        <v>2379</v>
      </c>
      <c r="B668" s="113" t="s">
        <v>2380</v>
      </c>
      <c r="C668" s="113" t="s">
        <v>2381</v>
      </c>
      <c r="D668" s="113"/>
      <c r="E668" s="114" t="s">
        <v>1158</v>
      </c>
      <c r="F668" s="113" t="s">
        <v>2382</v>
      </c>
      <c r="G668" s="113" t="s">
        <v>2382</v>
      </c>
      <c r="H668" s="113" t="s">
        <v>103</v>
      </c>
      <c r="I668" s="115" t="n">
        <v>72.03</v>
      </c>
      <c r="J668" s="115" t="s">
        <v>80</v>
      </c>
      <c r="K668" s="115" t="s">
        <v>81</v>
      </c>
      <c r="L668" s="115" t="n">
        <v>92.34</v>
      </c>
      <c r="M668" s="115" t="n">
        <v>3.0</v>
      </c>
      <c r="N668" s="115"/>
      <c r="O668" s="115"/>
      <c r="P668" s="115"/>
      <c r="Q668" s="115"/>
      <c r="R668" s="115"/>
      <c r="S668" s="115"/>
      <c r="T668" s="115"/>
      <c r="U668" s="115"/>
      <c r="V668" s="115" t="s">
        <v>91</v>
      </c>
      <c r="W668" s="115" t="s">
        <v>83</v>
      </c>
      <c r="X668" s="113">
        <f>IF(INDIRECT("W668")="Clássico","12%",IF(INDIRECT("W668")="Premium","17%","-"))</f>
      </c>
      <c r="Y668" s="113" t="s">
        <v>1160</v>
      </c>
    </row>
    <row r="669" ht="50.0" customHeight="true">
      <c r="A669" s="113" t="s">
        <v>2383</v>
      </c>
      <c r="B669" s="113" t="s">
        <v>2384</v>
      </c>
      <c r="C669" s="113" t="s">
        <v>2385</v>
      </c>
      <c r="D669" s="113"/>
      <c r="E669" s="114" t="s">
        <v>744</v>
      </c>
      <c r="F669" s="113" t="s">
        <v>2386</v>
      </c>
      <c r="G669" s="113" t="s">
        <v>2386</v>
      </c>
      <c r="H669" s="113" t="s">
        <v>103</v>
      </c>
      <c r="I669" s="115" t="n">
        <v>33.9</v>
      </c>
      <c r="J669" s="115" t="s">
        <v>80</v>
      </c>
      <c r="K669" s="115" t="s">
        <v>81</v>
      </c>
      <c r="L669" s="115" t="n">
        <v>39.5</v>
      </c>
      <c r="M669" s="115" t="n">
        <v>3.0</v>
      </c>
      <c r="N669" s="115"/>
      <c r="O669" s="115"/>
      <c r="P669" s="115"/>
      <c r="Q669" s="115"/>
      <c r="R669" s="115"/>
      <c r="S669" s="115"/>
      <c r="T669" s="115"/>
      <c r="U669" s="115"/>
      <c r="V669" s="115" t="s">
        <v>91</v>
      </c>
      <c r="W669" s="115" t="s">
        <v>92</v>
      </c>
      <c r="X669" s="113">
        <f>IF(INDIRECT("W669")="Clássico","12%",IF(INDIRECT("W669")="Premium","17%","-"))</f>
      </c>
      <c r="Y669" s="113" t="s">
        <v>397</v>
      </c>
    </row>
    <row r="670" ht="50.0" customHeight="true">
      <c r="A670" s="113" t="s">
        <v>2387</v>
      </c>
      <c r="B670" s="113" t="s">
        <v>2388</v>
      </c>
      <c r="C670" s="113" t="s">
        <v>2389</v>
      </c>
      <c r="D670" s="113"/>
      <c r="E670" s="114" t="s">
        <v>2390</v>
      </c>
      <c r="F670" s="113" t="s">
        <v>2391</v>
      </c>
      <c r="G670" s="113" t="s">
        <v>2391</v>
      </c>
      <c r="H670" s="113" t="s">
        <v>103</v>
      </c>
      <c r="I670" s="115" t="n">
        <v>87.22</v>
      </c>
      <c r="J670" s="115" t="s">
        <v>80</v>
      </c>
      <c r="K670" s="115" t="s">
        <v>81</v>
      </c>
      <c r="L670" s="115" t="n">
        <v>93.72</v>
      </c>
      <c r="M670" s="115" t="n">
        <v>3.0</v>
      </c>
      <c r="N670" s="115"/>
      <c r="O670" s="115"/>
      <c r="P670" s="115"/>
      <c r="Q670" s="115"/>
      <c r="R670" s="115"/>
      <c r="S670" s="115"/>
      <c r="T670" s="115"/>
      <c r="U670" s="115"/>
      <c r="V670" s="115" t="s">
        <v>91</v>
      </c>
      <c r="W670" s="115" t="s">
        <v>83</v>
      </c>
      <c r="X670" s="113">
        <f>IF(INDIRECT("W670")="Clássico","12%",IF(INDIRECT("W670")="Premium","17%","-"))</f>
      </c>
      <c r="Y670" s="113" t="s">
        <v>2126</v>
      </c>
    </row>
    <row r="671" ht="50.0" customHeight="true">
      <c r="A671" s="113" t="s">
        <v>2392</v>
      </c>
      <c r="B671" s="113" t="s">
        <v>2393</v>
      </c>
      <c r="C671" s="113" t="s">
        <v>2394</v>
      </c>
      <c r="D671" s="113"/>
      <c r="E671" s="114" t="s">
        <v>1402</v>
      </c>
      <c r="F671" s="113" t="s">
        <v>2395</v>
      </c>
      <c r="G671" s="113" t="s">
        <v>2395</v>
      </c>
      <c r="H671" s="113" t="s">
        <v>103</v>
      </c>
      <c r="I671" s="115" t="n">
        <v>925.2</v>
      </c>
      <c r="J671" s="115" t="s">
        <v>80</v>
      </c>
      <c r="K671" s="115" t="s">
        <v>81</v>
      </c>
      <c r="L671" s="115" t="n">
        <v>846.87</v>
      </c>
      <c r="M671" s="115" t="n">
        <v>3.0</v>
      </c>
      <c r="N671" s="115"/>
      <c r="O671" s="115"/>
      <c r="P671" s="115"/>
      <c r="Q671" s="115"/>
      <c r="R671" s="115"/>
      <c r="S671" s="115"/>
      <c r="T671" s="115"/>
      <c r="U671" s="115"/>
      <c r="V671" s="115" t="s">
        <v>82</v>
      </c>
      <c r="W671" s="115" t="s">
        <v>83</v>
      </c>
      <c r="X671" s="113">
        <f>IF(INDIRECT("W671")="Clássico","12%",IF(INDIRECT("W671")="Premium","17%","-"))</f>
      </c>
      <c r="Y671" s="113" t="s">
        <v>1404</v>
      </c>
    </row>
    <row r="672" ht="50.0" customHeight="true">
      <c r="A672" s="113" t="s">
        <v>2396</v>
      </c>
      <c r="B672" s="113" t="s">
        <v>2397</v>
      </c>
      <c r="C672" s="113" t="s">
        <v>2398</v>
      </c>
      <c r="D672" s="113"/>
      <c r="E672" s="114" t="s">
        <v>97</v>
      </c>
      <c r="F672" s="113" t="s">
        <v>2399</v>
      </c>
      <c r="G672" s="113" t="s">
        <v>2399</v>
      </c>
      <c r="H672" s="113" t="s">
        <v>103</v>
      </c>
      <c r="I672" s="115" t="n">
        <v>116.32</v>
      </c>
      <c r="J672" s="115" t="s">
        <v>80</v>
      </c>
      <c r="K672" s="115" t="s">
        <v>81</v>
      </c>
      <c r="L672" s="115" t="n">
        <v>111.32</v>
      </c>
      <c r="M672" s="115" t="n">
        <v>3.0</v>
      </c>
      <c r="N672" s="115"/>
      <c r="O672" s="115"/>
      <c r="P672" s="115"/>
      <c r="Q672" s="115"/>
      <c r="R672" s="115"/>
      <c r="S672" s="115"/>
      <c r="T672" s="115"/>
      <c r="U672" s="115"/>
      <c r="V672" s="115" t="s">
        <v>82</v>
      </c>
      <c r="W672" s="115" t="s">
        <v>92</v>
      </c>
      <c r="X672" s="113">
        <f>IF(INDIRECT("W672")="Clássico","12%",IF(INDIRECT("W672")="Premium","17%","-"))</f>
      </c>
      <c r="Y672" s="113" t="s">
        <v>144</v>
      </c>
    </row>
    <row r="673" ht="50.0" customHeight="true">
      <c r="A673" s="113" t="s">
        <v>2400</v>
      </c>
      <c r="B673" s="113" t="s">
        <v>2401</v>
      </c>
      <c r="C673" s="113" t="s">
        <v>2402</v>
      </c>
      <c r="D673" s="113"/>
      <c r="E673" s="114" t="s">
        <v>595</v>
      </c>
      <c r="F673" s="113" t="s">
        <v>2403</v>
      </c>
      <c r="G673" s="113" t="s">
        <v>2403</v>
      </c>
      <c r="H673" s="113" t="s">
        <v>103</v>
      </c>
      <c r="I673" s="115" t="n">
        <v>191.01</v>
      </c>
      <c r="J673" s="115" t="s">
        <v>80</v>
      </c>
      <c r="K673" s="115" t="s">
        <v>81</v>
      </c>
      <c r="L673" s="115" t="n">
        <v>205.0</v>
      </c>
      <c r="M673" s="115" t="n">
        <v>3.0</v>
      </c>
      <c r="N673" s="115"/>
      <c r="O673" s="115"/>
      <c r="P673" s="115"/>
      <c r="Q673" s="115"/>
      <c r="R673" s="115"/>
      <c r="S673" s="115"/>
      <c r="T673" s="115"/>
      <c r="U673" s="115"/>
      <c r="V673" s="115" t="s">
        <v>82</v>
      </c>
      <c r="W673" s="115" t="s">
        <v>83</v>
      </c>
      <c r="X673" s="113">
        <f>IF(INDIRECT("W673")="Clássico","12%",IF(INDIRECT("W673")="Premium","17%","-"))</f>
      </c>
      <c r="Y673" s="113" t="s">
        <v>597</v>
      </c>
    </row>
    <row r="674" ht="50.0" customHeight="true">
      <c r="A674" s="113" t="s">
        <v>2404</v>
      </c>
      <c r="B674" s="113" t="s">
        <v>2405</v>
      </c>
      <c r="C674" s="113" t="s">
        <v>2406</v>
      </c>
      <c r="D674" s="113"/>
      <c r="E674" s="114" t="s">
        <v>956</v>
      </c>
      <c r="F674" s="113" t="s">
        <v>2407</v>
      </c>
      <c r="G674" s="113" t="s">
        <v>2407</v>
      </c>
      <c r="H674" s="113" t="s">
        <v>103</v>
      </c>
      <c r="I674" s="115" t="n">
        <v>55.57</v>
      </c>
      <c r="J674" s="115" t="s">
        <v>80</v>
      </c>
      <c r="K674" s="115" t="s">
        <v>81</v>
      </c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 t="s">
        <v>91</v>
      </c>
      <c r="W674" s="115" t="s">
        <v>92</v>
      </c>
      <c r="X674" s="113">
        <f>IF(INDIRECT("W674")="Clássico","12%",IF(INDIRECT("W674")="Premium","17%","-"))</f>
      </c>
      <c r="Y674" s="113" t="s">
        <v>958</v>
      </c>
    </row>
    <row r="675" ht="50.0" customHeight="true">
      <c r="A675" s="113" t="s">
        <v>2408</v>
      </c>
      <c r="B675" s="113" t="s">
        <v>2409</v>
      </c>
      <c r="C675" s="113" t="s">
        <v>2410</v>
      </c>
      <c r="D675" s="113"/>
      <c r="E675" s="114" t="s">
        <v>1548</v>
      </c>
      <c r="F675" s="113" t="s">
        <v>2411</v>
      </c>
      <c r="G675" s="113" t="s">
        <v>2411</v>
      </c>
      <c r="H675" s="113" t="s">
        <v>103</v>
      </c>
      <c r="I675" s="115" t="n">
        <v>361.9</v>
      </c>
      <c r="J675" s="115" t="s">
        <v>80</v>
      </c>
      <c r="K675" s="115" t="s">
        <v>81</v>
      </c>
      <c r="L675" s="115" t="n">
        <v>545.96</v>
      </c>
      <c r="M675" s="115" t="n">
        <v>3.0</v>
      </c>
      <c r="N675" s="115"/>
      <c r="O675" s="115"/>
      <c r="P675" s="115"/>
      <c r="Q675" s="115"/>
      <c r="R675" s="115"/>
      <c r="S675" s="115"/>
      <c r="T675" s="115"/>
      <c r="U675" s="115"/>
      <c r="V675" s="115" t="s">
        <v>82</v>
      </c>
      <c r="W675" s="115" t="s">
        <v>83</v>
      </c>
      <c r="X675" s="113">
        <f>IF(INDIRECT("W675")="Clássico","12%",IF(INDIRECT("W675")="Premium","17%","-"))</f>
      </c>
      <c r="Y675" s="113" t="s">
        <v>1330</v>
      </c>
    </row>
    <row r="676" ht="50.0" customHeight="true">
      <c r="A676" s="113" t="s">
        <v>2412</v>
      </c>
      <c r="B676" s="113" t="s">
        <v>2413</v>
      </c>
      <c r="C676" s="113" t="s">
        <v>2414</v>
      </c>
      <c r="D676" s="113"/>
      <c r="E676" s="114" t="s">
        <v>505</v>
      </c>
      <c r="F676" s="113" t="s">
        <v>2415</v>
      </c>
      <c r="G676" s="113" t="s">
        <v>2415</v>
      </c>
      <c r="H676" s="113" t="s">
        <v>103</v>
      </c>
      <c r="I676" s="115" t="n">
        <v>312.54</v>
      </c>
      <c r="J676" s="115" t="s">
        <v>80</v>
      </c>
      <c r="K676" s="115" t="s">
        <v>81</v>
      </c>
      <c r="L676" s="115" t="n">
        <v>292.35</v>
      </c>
      <c r="M676" s="115" t="n">
        <v>3.0</v>
      </c>
      <c r="N676" s="115"/>
      <c r="O676" s="115"/>
      <c r="P676" s="115"/>
      <c r="Q676" s="115"/>
      <c r="R676" s="115"/>
      <c r="S676" s="115"/>
      <c r="T676" s="115"/>
      <c r="U676" s="115"/>
      <c r="V676" s="115" t="s">
        <v>82</v>
      </c>
      <c r="W676" s="115" t="s">
        <v>92</v>
      </c>
      <c r="X676" s="113">
        <f>IF(INDIRECT("W676")="Clássico","10%",IF(INDIRECT("W676")="Premium","15%","-"))</f>
      </c>
      <c r="Y676" s="113" t="s">
        <v>1828</v>
      </c>
    </row>
    <row r="677" ht="50.0" customHeight="true">
      <c r="A677" s="113" t="s">
        <v>2416</v>
      </c>
      <c r="B677" s="113" t="s">
        <v>2417</v>
      </c>
      <c r="C677" s="113" t="s">
        <v>2418</v>
      </c>
      <c r="D677" s="113"/>
      <c r="E677" s="114" t="s">
        <v>1173</v>
      </c>
      <c r="F677" s="113" t="s">
        <v>2419</v>
      </c>
      <c r="G677" s="113" t="s">
        <v>2419</v>
      </c>
      <c r="H677" s="113" t="s">
        <v>103</v>
      </c>
      <c r="I677" s="115" t="n">
        <v>304.94</v>
      </c>
      <c r="J677" s="115" t="s">
        <v>80</v>
      </c>
      <c r="K677" s="115" t="s">
        <v>81</v>
      </c>
      <c r="L677" s="115" t="n">
        <v>227.79</v>
      </c>
      <c r="M677" s="115" t="n">
        <v>3.0</v>
      </c>
      <c r="N677" s="115"/>
      <c r="O677" s="115"/>
      <c r="P677" s="115"/>
      <c r="Q677" s="115"/>
      <c r="R677" s="115"/>
      <c r="S677" s="115"/>
      <c r="T677" s="115"/>
      <c r="U677" s="115"/>
      <c r="V677" s="115" t="s">
        <v>82</v>
      </c>
      <c r="W677" s="115" t="s">
        <v>92</v>
      </c>
      <c r="X677" s="113">
        <f>IF(INDIRECT("W677")="Clássico","12%",IF(INDIRECT("W677")="Premium","17%","-"))</f>
      </c>
      <c r="Y677" s="113" t="s">
        <v>482</v>
      </c>
    </row>
    <row r="678" ht="50.0" customHeight="true">
      <c r="A678" s="113" t="s">
        <v>22</v>
      </c>
      <c r="B678" s="113" t="s">
        <v>2420</v>
      </c>
      <c r="C678" s="113"/>
      <c r="D678" s="113"/>
      <c r="E678" s="113" t="s">
        <v>22</v>
      </c>
      <c r="F678" s="113" t="s">
        <v>2421</v>
      </c>
      <c r="G678" s="113" t="s">
        <v>103</v>
      </c>
      <c r="H678" s="113" t="s">
        <v>103</v>
      </c>
      <c r="I678" s="115" t="n">
        <v>149.24</v>
      </c>
      <c r="J678" s="115" t="s">
        <v>80</v>
      </c>
      <c r="K678" s="113" t="s">
        <v>81</v>
      </c>
      <c r="L678" s="115" t="n">
        <v>140.32</v>
      </c>
      <c r="M678" s="115" t="n">
        <v>3.0</v>
      </c>
      <c r="N678" s="115"/>
      <c r="O678" s="115"/>
      <c r="P678" s="115"/>
      <c r="Q678" s="115"/>
      <c r="R678" s="115"/>
      <c r="S678" s="115"/>
      <c r="T678" s="115"/>
      <c r="U678" s="115"/>
      <c r="V678" s="115" t="s">
        <v>82</v>
      </c>
      <c r="W678" s="115" t="s">
        <v>92</v>
      </c>
      <c r="X678" s="113">
        <f>IF(INDIRECT("W678")="Clássico","12%",IF(INDIRECT("W678")="Premium","17%","-"))</f>
      </c>
      <c r="Y678" s="113" t="s">
        <v>1659</v>
      </c>
    </row>
    <row r="679" ht="50.0" customHeight="true">
      <c r="A679" s="113" t="s">
        <v>22</v>
      </c>
      <c r="B679" s="113" t="s">
        <v>2420</v>
      </c>
      <c r="C679" s="113" t="s">
        <v>2422</v>
      </c>
      <c r="D679" s="113" t="s">
        <v>2422</v>
      </c>
      <c r="E679" s="114" t="s">
        <v>2423</v>
      </c>
      <c r="F679" s="116">
        <f>"     "&amp;F678</f>
      </c>
      <c r="G679" s="113" t="s">
        <v>184</v>
      </c>
      <c r="H679" s="113" t="s">
        <v>103</v>
      </c>
      <c r="I679" s="113">
        <f>I678</f>
      </c>
      <c r="J679" s="113">
        <f>J678&amp;"     "</f>
      </c>
      <c r="K679" s="113" t="s">
        <v>81</v>
      </c>
      <c r="L679" s="113">
        <f>L678</f>
      </c>
      <c r="M679" s="113">
        <f>M678</f>
      </c>
      <c r="N679" s="113">
        <f>N678</f>
      </c>
      <c r="O679" s="113">
        <f>O678</f>
      </c>
      <c r="P679" s="113">
        <f>P678</f>
      </c>
      <c r="Q679" s="113">
        <f>Q678</f>
      </c>
      <c r="R679" s="113">
        <f>R678</f>
      </c>
      <c r="S679" s="113">
        <f>S678</f>
      </c>
      <c r="T679" s="113">
        <f>T678</f>
      </c>
      <c r="U679" s="113">
        <f>U678</f>
      </c>
      <c r="V679" s="113">
        <f>V678&amp;"     "</f>
      </c>
      <c r="W679" s="113">
        <f>W678&amp;"     "</f>
      </c>
      <c r="X679" s="113">
        <f>X678</f>
      </c>
      <c r="Y679" s="113" t="s">
        <v>1659</v>
      </c>
    </row>
    <row r="680" ht="50.0" customHeight="true">
      <c r="A680" s="113" t="s">
        <v>22</v>
      </c>
      <c r="B680" s="113" t="s">
        <v>2420</v>
      </c>
      <c r="C680" s="113" t="s">
        <v>2424</v>
      </c>
      <c r="D680" s="113" t="s">
        <v>2424</v>
      </c>
      <c r="E680" s="114" t="s">
        <v>2425</v>
      </c>
      <c r="F680" s="116">
        <f>"     "&amp;F678</f>
      </c>
      <c r="G680" s="113" t="s">
        <v>127</v>
      </c>
      <c r="H680" s="113" t="s">
        <v>103</v>
      </c>
      <c r="I680" s="113">
        <f>I678</f>
      </c>
      <c r="J680" s="113">
        <f>J678&amp;"     "</f>
      </c>
      <c r="K680" s="113" t="s">
        <v>81</v>
      </c>
      <c r="L680" s="113">
        <f>L678</f>
      </c>
      <c r="M680" s="113">
        <f>M678</f>
      </c>
      <c r="N680" s="113">
        <f>N678</f>
      </c>
      <c r="O680" s="113">
        <f>O678</f>
      </c>
      <c r="P680" s="113">
        <f>P678</f>
      </c>
      <c r="Q680" s="113">
        <f>Q678</f>
      </c>
      <c r="R680" s="113">
        <f>R678</f>
      </c>
      <c r="S680" s="113">
        <f>S678</f>
      </c>
      <c r="T680" s="113">
        <f>T678</f>
      </c>
      <c r="U680" s="113">
        <f>U678</f>
      </c>
      <c r="V680" s="113">
        <f>V678&amp;"     "</f>
      </c>
      <c r="W680" s="113">
        <f>W678&amp;"     "</f>
      </c>
      <c r="X680" s="113">
        <f>X678</f>
      </c>
      <c r="Y680" s="113" t="s">
        <v>1659</v>
      </c>
    </row>
    <row r="681" ht="50.0" customHeight="true">
      <c r="A681" s="113" t="s">
        <v>2426</v>
      </c>
      <c r="B681" s="113" t="s">
        <v>2427</v>
      </c>
      <c r="C681" s="113" t="s">
        <v>2428</v>
      </c>
      <c r="D681" s="113"/>
      <c r="E681" s="114" t="s">
        <v>925</v>
      </c>
      <c r="F681" s="113" t="s">
        <v>2429</v>
      </c>
      <c r="G681" s="113" t="s">
        <v>566</v>
      </c>
      <c r="H681" s="113" t="s">
        <v>103</v>
      </c>
      <c r="I681" s="115" t="n">
        <v>377.22</v>
      </c>
      <c r="J681" s="115" t="s">
        <v>80</v>
      </c>
      <c r="K681" s="115" t="s">
        <v>81</v>
      </c>
      <c r="L681" s="115" t="n">
        <v>326.52</v>
      </c>
      <c r="M681" s="115" t="n">
        <v>3.0</v>
      </c>
      <c r="N681" s="115"/>
      <c r="O681" s="115"/>
      <c r="P681" s="115"/>
      <c r="Q681" s="115"/>
      <c r="R681" s="115"/>
      <c r="S681" s="115"/>
      <c r="T681" s="115"/>
      <c r="U681" s="115"/>
      <c r="V681" s="115" t="s">
        <v>82</v>
      </c>
      <c r="W681" s="115" t="s">
        <v>92</v>
      </c>
      <c r="X681" s="113">
        <f>IF(INDIRECT("W681")="Clássico","12%",IF(INDIRECT("W681")="Premium","17%","-"))</f>
      </c>
      <c r="Y681" s="113" t="s">
        <v>414</v>
      </c>
    </row>
    <row r="682" ht="50.0" customHeight="true">
      <c r="A682" s="113" t="s">
        <v>2430</v>
      </c>
      <c r="B682" s="113" t="s">
        <v>2431</v>
      </c>
      <c r="C682" s="113" t="s">
        <v>2432</v>
      </c>
      <c r="D682" s="113"/>
      <c r="E682" s="114" t="s">
        <v>219</v>
      </c>
      <c r="F682" s="113" t="s">
        <v>2433</v>
      </c>
      <c r="G682" s="113" t="s">
        <v>2433</v>
      </c>
      <c r="H682" s="113" t="s">
        <v>103</v>
      </c>
      <c r="I682" s="115" t="n">
        <v>250.51</v>
      </c>
      <c r="J682" s="115" t="s">
        <v>80</v>
      </c>
      <c r="K682" s="115" t="s">
        <v>81</v>
      </c>
      <c r="L682" s="115" t="n">
        <v>227.98</v>
      </c>
      <c r="M682" s="115" t="n">
        <v>3.0</v>
      </c>
      <c r="N682" s="115"/>
      <c r="O682" s="115"/>
      <c r="P682" s="115"/>
      <c r="Q682" s="115"/>
      <c r="R682" s="115"/>
      <c r="S682" s="115"/>
      <c r="T682" s="115"/>
      <c r="U682" s="115"/>
      <c r="V682" s="115" t="s">
        <v>82</v>
      </c>
      <c r="W682" s="115" t="s">
        <v>83</v>
      </c>
      <c r="X682" s="113">
        <f>IF(INDIRECT("W682")="Clássico","12%",IF(INDIRECT("W682")="Premium","17%","-"))</f>
      </c>
      <c r="Y682" s="113" t="s">
        <v>221</v>
      </c>
    </row>
    <row r="683" ht="50.0" customHeight="true">
      <c r="A683" s="113" t="s">
        <v>22</v>
      </c>
      <c r="B683" s="113" t="s">
        <v>2434</v>
      </c>
      <c r="C683" s="113"/>
      <c r="D683" s="113"/>
      <c r="E683" s="113" t="s">
        <v>22</v>
      </c>
      <c r="F683" s="113" t="s">
        <v>2201</v>
      </c>
      <c r="G683" s="113" t="s">
        <v>103</v>
      </c>
      <c r="H683" s="113" t="s">
        <v>103</v>
      </c>
      <c r="I683" s="115" t="n">
        <v>312.54</v>
      </c>
      <c r="J683" s="115" t="s">
        <v>80</v>
      </c>
      <c r="K683" s="113" t="s">
        <v>81</v>
      </c>
      <c r="L683" s="115" t="n">
        <v>230.32</v>
      </c>
      <c r="M683" s="115" t="n">
        <v>3.0</v>
      </c>
      <c r="N683" s="115"/>
      <c r="O683" s="115"/>
      <c r="P683" s="115"/>
      <c r="Q683" s="115"/>
      <c r="R683" s="115"/>
      <c r="S683" s="115"/>
      <c r="T683" s="115"/>
      <c r="U683" s="115"/>
      <c r="V683" s="115" t="s">
        <v>82</v>
      </c>
      <c r="W683" s="115" t="s">
        <v>83</v>
      </c>
      <c r="X683" s="113">
        <f>IF(INDIRECT("W683")="Clássico","12%",IF(INDIRECT("W683")="Premium","17%","-"))</f>
      </c>
      <c r="Y683" s="113" t="s">
        <v>662</v>
      </c>
    </row>
    <row r="684" ht="50.0" customHeight="true">
      <c r="A684" s="113" t="s">
        <v>22</v>
      </c>
      <c r="B684" s="113" t="s">
        <v>2434</v>
      </c>
      <c r="C684" s="113" t="s">
        <v>2435</v>
      </c>
      <c r="D684" s="113" t="s">
        <v>2435</v>
      </c>
      <c r="E684" s="114" t="s">
        <v>1860</v>
      </c>
      <c r="F684" s="116">
        <f>"     "&amp;F683</f>
      </c>
      <c r="G684" s="113" t="s">
        <v>687</v>
      </c>
      <c r="H684" s="113" t="s">
        <v>103</v>
      </c>
      <c r="I684" s="113">
        <f>I683</f>
      </c>
      <c r="J684" s="113">
        <f>J683&amp;"     "</f>
      </c>
      <c r="K684" s="113" t="s">
        <v>81</v>
      </c>
      <c r="L684" s="113">
        <f>L683</f>
      </c>
      <c r="M684" s="113">
        <f>M683</f>
      </c>
      <c r="N684" s="113">
        <f>N683</f>
      </c>
      <c r="O684" s="113">
        <f>O683</f>
      </c>
      <c r="P684" s="113">
        <f>P683</f>
      </c>
      <c r="Q684" s="113">
        <f>Q683</f>
      </c>
      <c r="R684" s="113">
        <f>R683</f>
      </c>
      <c r="S684" s="113">
        <f>S683</f>
      </c>
      <c r="T684" s="113">
        <f>T683</f>
      </c>
      <c r="U684" s="113">
        <f>U683</f>
      </c>
      <c r="V684" s="113">
        <f>V683&amp;"     "</f>
      </c>
      <c r="W684" s="113">
        <f>W683&amp;"     "</f>
      </c>
      <c r="X684" s="113">
        <f>X683</f>
      </c>
      <c r="Y684" s="113" t="s">
        <v>662</v>
      </c>
    </row>
    <row r="685" ht="50.0" customHeight="true">
      <c r="A685" s="113" t="s">
        <v>22</v>
      </c>
      <c r="B685" s="113" t="s">
        <v>2434</v>
      </c>
      <c r="C685" s="113" t="s">
        <v>2436</v>
      </c>
      <c r="D685" s="113" t="s">
        <v>2436</v>
      </c>
      <c r="E685" s="114" t="s">
        <v>1862</v>
      </c>
      <c r="F685" s="116">
        <f>"     "&amp;F683</f>
      </c>
      <c r="G685" s="113" t="s">
        <v>690</v>
      </c>
      <c r="H685" s="113" t="s">
        <v>103</v>
      </c>
      <c r="I685" s="113">
        <f>I683</f>
      </c>
      <c r="J685" s="113">
        <f>J683&amp;"     "</f>
      </c>
      <c r="K685" s="113" t="s">
        <v>81</v>
      </c>
      <c r="L685" s="113">
        <f>L683</f>
      </c>
      <c r="M685" s="113">
        <f>M683</f>
      </c>
      <c r="N685" s="113">
        <f>N683</f>
      </c>
      <c r="O685" s="113">
        <f>O683</f>
      </c>
      <c r="P685" s="113">
        <f>P683</f>
      </c>
      <c r="Q685" s="113">
        <f>Q683</f>
      </c>
      <c r="R685" s="113">
        <f>R683</f>
      </c>
      <c r="S685" s="113">
        <f>S683</f>
      </c>
      <c r="T685" s="113">
        <f>T683</f>
      </c>
      <c r="U685" s="113">
        <f>U683</f>
      </c>
      <c r="V685" s="113">
        <f>V683&amp;"     "</f>
      </c>
      <c r="W685" s="113">
        <f>W683&amp;"     "</f>
      </c>
      <c r="X685" s="113">
        <f>X683</f>
      </c>
      <c r="Y685" s="113" t="s">
        <v>662</v>
      </c>
    </row>
    <row r="686" ht="50.0" customHeight="true">
      <c r="A686" s="113" t="s">
        <v>2437</v>
      </c>
      <c r="B686" s="113" t="s">
        <v>2438</v>
      </c>
      <c r="C686" s="113" t="s">
        <v>2439</v>
      </c>
      <c r="D686" s="113"/>
      <c r="E686" s="114" t="s">
        <v>1722</v>
      </c>
      <c r="F686" s="113" t="s">
        <v>2440</v>
      </c>
      <c r="G686" s="113" t="s">
        <v>1512</v>
      </c>
      <c r="H686" s="113" t="s">
        <v>103</v>
      </c>
      <c r="I686" s="115" t="n">
        <v>163.17</v>
      </c>
      <c r="J686" s="115" t="s">
        <v>80</v>
      </c>
      <c r="K686" s="115" t="s">
        <v>81</v>
      </c>
      <c r="L686" s="115" t="n">
        <v>158.17</v>
      </c>
      <c r="M686" s="115" t="n">
        <v>3.0</v>
      </c>
      <c r="N686" s="115"/>
      <c r="O686" s="115"/>
      <c r="P686" s="115"/>
      <c r="Q686" s="115"/>
      <c r="R686" s="115"/>
      <c r="S686" s="115"/>
      <c r="T686" s="115"/>
      <c r="U686" s="115"/>
      <c r="V686" s="115" t="s">
        <v>82</v>
      </c>
      <c r="W686" s="115" t="s">
        <v>83</v>
      </c>
      <c r="X686" s="113">
        <f>IF(INDIRECT("W686")="Clássico","12%",IF(INDIRECT("W686")="Premium","17%","-"))</f>
      </c>
      <c r="Y686" s="113" t="s">
        <v>643</v>
      </c>
    </row>
    <row r="687" ht="50.0" customHeight="true">
      <c r="A687" s="113" t="s">
        <v>2441</v>
      </c>
      <c r="B687" s="113" t="s">
        <v>2442</v>
      </c>
      <c r="C687" s="113" t="s">
        <v>2443</v>
      </c>
      <c r="D687" s="113"/>
      <c r="E687" s="114" t="s">
        <v>2219</v>
      </c>
      <c r="F687" s="113" t="s">
        <v>2220</v>
      </c>
      <c r="G687" s="113" t="s">
        <v>2220</v>
      </c>
      <c r="H687" s="113" t="s">
        <v>103</v>
      </c>
      <c r="I687" s="115" t="n">
        <v>161.9</v>
      </c>
      <c r="J687" s="115" t="s">
        <v>80</v>
      </c>
      <c r="K687" s="115" t="s">
        <v>81</v>
      </c>
      <c r="L687" s="115" t="n">
        <v>157.01</v>
      </c>
      <c r="M687" s="115" t="n">
        <v>3.0</v>
      </c>
      <c r="N687" s="115"/>
      <c r="O687" s="115"/>
      <c r="P687" s="115"/>
      <c r="Q687" s="115"/>
      <c r="R687" s="115"/>
      <c r="S687" s="115"/>
      <c r="T687" s="115"/>
      <c r="U687" s="115"/>
      <c r="V687" s="115" t="s">
        <v>82</v>
      </c>
      <c r="W687" s="115" t="s">
        <v>92</v>
      </c>
      <c r="X687" s="113">
        <f>IF(INDIRECT("W687")="Clássico","12%",IF(INDIRECT("W687")="Premium","17%","-"))</f>
      </c>
      <c r="Y687" s="113" t="s">
        <v>883</v>
      </c>
    </row>
    <row r="688" ht="50.0" customHeight="true">
      <c r="A688" s="113" t="s">
        <v>2444</v>
      </c>
      <c r="B688" s="113" t="s">
        <v>2445</v>
      </c>
      <c r="C688" s="113" t="s">
        <v>2446</v>
      </c>
      <c r="D688" s="113"/>
      <c r="E688" s="114" t="s">
        <v>834</v>
      </c>
      <c r="F688" s="113" t="s">
        <v>2447</v>
      </c>
      <c r="G688" s="113" t="s">
        <v>2447</v>
      </c>
      <c r="H688" s="113" t="s">
        <v>103</v>
      </c>
      <c r="I688" s="115" t="n">
        <v>56.46</v>
      </c>
      <c r="J688" s="115" t="s">
        <v>80</v>
      </c>
      <c r="K688" s="115" t="s">
        <v>81</v>
      </c>
      <c r="L688" s="115" t="n">
        <v>51.84</v>
      </c>
      <c r="M688" s="115" t="n">
        <v>3.0</v>
      </c>
      <c r="N688" s="115"/>
      <c r="O688" s="115"/>
      <c r="P688" s="115"/>
      <c r="Q688" s="115"/>
      <c r="R688" s="115"/>
      <c r="S688" s="115"/>
      <c r="T688" s="115"/>
      <c r="U688" s="115"/>
      <c r="V688" s="115" t="s">
        <v>91</v>
      </c>
      <c r="W688" s="115" t="s">
        <v>92</v>
      </c>
      <c r="X688" s="113">
        <f>IF(INDIRECT("W688")="Clássico","12%",IF(INDIRECT("W688")="Premium","17%","-"))</f>
      </c>
      <c r="Y688" s="113" t="s">
        <v>836</v>
      </c>
    </row>
    <row r="689" ht="50.0" customHeight="true">
      <c r="A689" s="113" t="s">
        <v>2448</v>
      </c>
      <c r="B689" s="113" t="s">
        <v>2449</v>
      </c>
      <c r="C689" s="113" t="s">
        <v>2450</v>
      </c>
      <c r="D689" s="113"/>
      <c r="E689" s="114" t="s">
        <v>1501</v>
      </c>
      <c r="F689" s="113" t="s">
        <v>2451</v>
      </c>
      <c r="G689" s="113" t="s">
        <v>2451</v>
      </c>
      <c r="H689" s="113" t="s">
        <v>103</v>
      </c>
      <c r="I689" s="115" t="n">
        <v>185.95</v>
      </c>
      <c r="J689" s="115" t="s">
        <v>80</v>
      </c>
      <c r="K689" s="115" t="s">
        <v>81</v>
      </c>
      <c r="L689" s="115" t="n">
        <v>177.15</v>
      </c>
      <c r="M689" s="115" t="n">
        <v>3.0</v>
      </c>
      <c r="N689" s="115"/>
      <c r="O689" s="115"/>
      <c r="P689" s="115"/>
      <c r="Q689" s="115"/>
      <c r="R689" s="115"/>
      <c r="S689" s="115"/>
      <c r="T689" s="115"/>
      <c r="U689" s="115"/>
      <c r="V689" s="115" t="s">
        <v>82</v>
      </c>
      <c r="W689" s="115" t="s">
        <v>83</v>
      </c>
      <c r="X689" s="113">
        <f>IF(INDIRECT("W689")="Clássico","12%",IF(INDIRECT("W689")="Premium","17%","-"))</f>
      </c>
      <c r="Y689" s="113" t="s">
        <v>1098</v>
      </c>
    </row>
    <row r="690" ht="50.0" customHeight="true">
      <c r="A690" s="113" t="s">
        <v>2452</v>
      </c>
      <c r="B690" s="113" t="s">
        <v>2453</v>
      </c>
      <c r="C690" s="113" t="s">
        <v>2454</v>
      </c>
      <c r="D690" s="113"/>
      <c r="E690" s="114" t="s">
        <v>1158</v>
      </c>
      <c r="F690" s="113" t="s">
        <v>2455</v>
      </c>
      <c r="G690" s="113" t="s">
        <v>2455</v>
      </c>
      <c r="H690" s="113" t="s">
        <v>103</v>
      </c>
      <c r="I690" s="115" t="n">
        <v>94.81</v>
      </c>
      <c r="J690" s="115" t="s">
        <v>80</v>
      </c>
      <c r="K690" s="115" t="s">
        <v>81</v>
      </c>
      <c r="L690" s="115" t="n">
        <v>87.28</v>
      </c>
      <c r="M690" s="115" t="n">
        <v>3.0</v>
      </c>
      <c r="N690" s="115"/>
      <c r="O690" s="115"/>
      <c r="P690" s="115"/>
      <c r="Q690" s="115"/>
      <c r="R690" s="115"/>
      <c r="S690" s="115"/>
      <c r="T690" s="115"/>
      <c r="U690" s="115"/>
      <c r="V690" s="115" t="s">
        <v>91</v>
      </c>
      <c r="W690" s="115" t="s">
        <v>92</v>
      </c>
      <c r="X690" s="113">
        <f>IF(INDIRECT("W690")="Clássico","12%",IF(INDIRECT("W690")="Premium","17%","-"))</f>
      </c>
      <c r="Y690" s="113" t="s">
        <v>1160</v>
      </c>
    </row>
    <row r="691" ht="50.0" customHeight="true">
      <c r="A691" s="113" t="s">
        <v>2456</v>
      </c>
      <c r="B691" s="113" t="s">
        <v>2457</v>
      </c>
      <c r="C691" s="113" t="s">
        <v>2458</v>
      </c>
      <c r="D691" s="113"/>
      <c r="E691" s="114" t="s">
        <v>1805</v>
      </c>
      <c r="F691" s="113" t="s">
        <v>2459</v>
      </c>
      <c r="G691" s="113" t="s">
        <v>467</v>
      </c>
      <c r="H691" s="113" t="s">
        <v>103</v>
      </c>
      <c r="I691" s="115" t="n">
        <v>616.34</v>
      </c>
      <c r="J691" s="115" t="s">
        <v>80</v>
      </c>
      <c r="K691" s="115" t="s">
        <v>81</v>
      </c>
      <c r="L691" s="115" t="n">
        <v>203.74</v>
      </c>
      <c r="M691" s="115" t="n">
        <v>3.0</v>
      </c>
      <c r="N691" s="115"/>
      <c r="O691" s="115"/>
      <c r="P691" s="115"/>
      <c r="Q691" s="115"/>
      <c r="R691" s="115"/>
      <c r="S691" s="115"/>
      <c r="T691" s="115"/>
      <c r="U691" s="115"/>
      <c r="V691" s="115" t="s">
        <v>82</v>
      </c>
      <c r="W691" s="115" t="s">
        <v>83</v>
      </c>
      <c r="X691" s="113">
        <f>IF(INDIRECT("W691")="Clássico","12%",IF(INDIRECT("W691")="Premium","17%","-"))</f>
      </c>
      <c r="Y691" s="113" t="s">
        <v>367</v>
      </c>
    </row>
    <row r="692" ht="50.0" customHeight="true">
      <c r="A692" s="113" t="s">
        <v>852</v>
      </c>
      <c r="B692" s="113" t="s">
        <v>2460</v>
      </c>
      <c r="C692" s="113" t="s">
        <v>2461</v>
      </c>
      <c r="D692" s="113"/>
      <c r="E692" s="114" t="s">
        <v>855</v>
      </c>
      <c r="F692" s="113" t="s">
        <v>856</v>
      </c>
      <c r="G692" s="113" t="s">
        <v>856</v>
      </c>
      <c r="H692" s="113" t="s">
        <v>103</v>
      </c>
      <c r="I692" s="115" t="n">
        <v>96.08</v>
      </c>
      <c r="J692" s="115" t="s">
        <v>80</v>
      </c>
      <c r="K692" s="115" t="s">
        <v>81</v>
      </c>
      <c r="L692" s="115" t="n">
        <v>85.51</v>
      </c>
      <c r="M692" s="115" t="n">
        <v>3.0</v>
      </c>
      <c r="N692" s="115"/>
      <c r="O692" s="115"/>
      <c r="P692" s="115"/>
      <c r="Q692" s="115"/>
      <c r="R692" s="115"/>
      <c r="S692" s="115"/>
      <c r="T692" s="115"/>
      <c r="U692" s="115"/>
      <c r="V692" s="115" t="s">
        <v>91</v>
      </c>
      <c r="W692" s="115" t="s">
        <v>92</v>
      </c>
      <c r="X692" s="113">
        <f>IF(INDIRECT("W692")="Clássico","13%",IF(INDIRECT("W692")="Premium","18%","-"))</f>
      </c>
      <c r="Y692" s="113" t="s">
        <v>857</v>
      </c>
    </row>
    <row r="693" ht="50.0" customHeight="true">
      <c r="A693" s="113" t="s">
        <v>2265</v>
      </c>
      <c r="B693" s="113" t="s">
        <v>2462</v>
      </c>
      <c r="C693" s="113" t="s">
        <v>2267</v>
      </c>
      <c r="D693" s="113"/>
      <c r="E693" s="114" t="s">
        <v>1846</v>
      </c>
      <c r="F693" s="113" t="s">
        <v>2463</v>
      </c>
      <c r="G693" s="113" t="s">
        <v>103</v>
      </c>
      <c r="H693" s="113" t="s">
        <v>103</v>
      </c>
      <c r="I693" s="115" t="n">
        <v>268.34</v>
      </c>
      <c r="J693" s="115" t="s">
        <v>80</v>
      </c>
      <c r="K693" s="115" t="s">
        <v>81</v>
      </c>
      <c r="L693" s="115" t="n">
        <v>263.34</v>
      </c>
      <c r="M693" s="115" t="n">
        <v>3.0</v>
      </c>
      <c r="N693" s="115"/>
      <c r="O693" s="115"/>
      <c r="P693" s="115"/>
      <c r="Q693" s="115"/>
      <c r="R693" s="115"/>
      <c r="S693" s="115"/>
      <c r="T693" s="115"/>
      <c r="U693" s="115"/>
      <c r="V693" s="115" t="s">
        <v>82</v>
      </c>
      <c r="W693" s="115" t="s">
        <v>92</v>
      </c>
      <c r="X693" s="113">
        <f>IF(INDIRECT("W693")="Clássico","12%",IF(INDIRECT("W693")="Premium","17%","-"))</f>
      </c>
      <c r="Y693" s="113" t="s">
        <v>2269</v>
      </c>
    </row>
    <row r="694" ht="50.0" customHeight="true">
      <c r="A694" s="113" t="s">
        <v>2464</v>
      </c>
      <c r="B694" s="113" t="s">
        <v>2465</v>
      </c>
      <c r="C694" s="113" t="s">
        <v>2466</v>
      </c>
      <c r="D694" s="113"/>
      <c r="E694" s="114" t="s">
        <v>1265</v>
      </c>
      <c r="F694" s="113" t="s">
        <v>2467</v>
      </c>
      <c r="G694" s="113" t="s">
        <v>2467</v>
      </c>
      <c r="H694" s="113" t="s">
        <v>99</v>
      </c>
      <c r="I694" s="115" t="n">
        <v>147.98</v>
      </c>
      <c r="J694" s="115" t="s">
        <v>80</v>
      </c>
      <c r="K694" s="115" t="s">
        <v>81</v>
      </c>
      <c r="L694" s="115" t="n">
        <v>115.13</v>
      </c>
      <c r="M694" s="115" t="n">
        <v>3.0</v>
      </c>
      <c r="N694" s="115"/>
      <c r="O694" s="115"/>
      <c r="P694" s="115"/>
      <c r="Q694" s="115"/>
      <c r="R694" s="115"/>
      <c r="S694" s="115"/>
      <c r="T694" s="115"/>
      <c r="U694" s="115"/>
      <c r="V694" s="115" t="s">
        <v>82</v>
      </c>
      <c r="W694" s="115" t="s">
        <v>92</v>
      </c>
      <c r="X694" s="113">
        <f>IF(INDIRECT("W694")="Clássico","12%",IF(INDIRECT("W694")="Premium","17%","-"))</f>
      </c>
      <c r="Y694" s="113" t="s">
        <v>576</v>
      </c>
    </row>
    <row r="695" ht="50.0" customHeight="true">
      <c r="A695" s="113" t="s">
        <v>2468</v>
      </c>
      <c r="B695" s="113" t="s">
        <v>2469</v>
      </c>
      <c r="C695" s="113" t="s">
        <v>2470</v>
      </c>
      <c r="D695" s="113"/>
      <c r="E695" s="114" t="s">
        <v>781</v>
      </c>
      <c r="F695" s="113" t="s">
        <v>2471</v>
      </c>
      <c r="G695" s="113" t="s">
        <v>2471</v>
      </c>
      <c r="H695" s="113" t="s">
        <v>103</v>
      </c>
      <c r="I695" s="115" t="n">
        <v>364.43</v>
      </c>
      <c r="J695" s="115" t="s">
        <v>80</v>
      </c>
      <c r="K695" s="115" t="s">
        <v>81</v>
      </c>
      <c r="L695" s="115" t="n">
        <v>351.84</v>
      </c>
      <c r="M695" s="115" t="n">
        <v>3.0</v>
      </c>
      <c r="N695" s="115"/>
      <c r="O695" s="115"/>
      <c r="P695" s="115"/>
      <c r="Q695" s="115"/>
      <c r="R695" s="115"/>
      <c r="S695" s="115"/>
      <c r="T695" s="115"/>
      <c r="U695" s="115"/>
      <c r="V695" s="115" t="s">
        <v>82</v>
      </c>
      <c r="W695" s="115" t="s">
        <v>92</v>
      </c>
      <c r="X695" s="113">
        <f>IF(INDIRECT("W695")="Clássico","12%",IF(INDIRECT("W695")="Premium","17%","-"))</f>
      </c>
      <c r="Y695" s="113" t="s">
        <v>783</v>
      </c>
    </row>
    <row r="696" ht="50.0" customHeight="true">
      <c r="A696" s="113" t="s">
        <v>1017</v>
      </c>
      <c r="B696" s="113" t="s">
        <v>2472</v>
      </c>
      <c r="C696" s="113" t="s">
        <v>2473</v>
      </c>
      <c r="D696" s="113"/>
      <c r="E696" s="114" t="s">
        <v>1020</v>
      </c>
      <c r="F696" s="113" t="s">
        <v>1021</v>
      </c>
      <c r="G696" s="113" t="s">
        <v>493</v>
      </c>
      <c r="H696" s="113" t="s">
        <v>103</v>
      </c>
      <c r="I696" s="115" t="n">
        <v>197.34</v>
      </c>
      <c r="J696" s="115" t="s">
        <v>80</v>
      </c>
      <c r="K696" s="115" t="s">
        <v>81</v>
      </c>
      <c r="L696" s="115" t="n">
        <v>165.37</v>
      </c>
      <c r="M696" s="115" t="n">
        <v>3.0</v>
      </c>
      <c r="N696" s="115"/>
      <c r="O696" s="115"/>
      <c r="P696" s="115"/>
      <c r="Q696" s="115"/>
      <c r="R696" s="115"/>
      <c r="S696" s="115"/>
      <c r="T696" s="115"/>
      <c r="U696" s="115"/>
      <c r="V696" s="115" t="s">
        <v>82</v>
      </c>
      <c r="W696" s="115" t="s">
        <v>83</v>
      </c>
      <c r="X696" s="113">
        <f>IF(INDIRECT("W696")="Clássico","13%",IF(INDIRECT("W696")="Premium","18%","-"))</f>
      </c>
      <c r="Y696" s="113" t="s">
        <v>1022</v>
      </c>
    </row>
    <row r="697" ht="50.0" customHeight="true">
      <c r="A697" s="113" t="s">
        <v>2474</v>
      </c>
      <c r="B697" s="113" t="s">
        <v>2475</v>
      </c>
      <c r="C697" s="113" t="s">
        <v>2476</v>
      </c>
      <c r="D697" s="113"/>
      <c r="E697" s="114" t="s">
        <v>855</v>
      </c>
      <c r="F697" s="113" t="s">
        <v>856</v>
      </c>
      <c r="G697" s="113" t="s">
        <v>103</v>
      </c>
      <c r="H697" s="113" t="s">
        <v>103</v>
      </c>
      <c r="I697" s="115" t="n">
        <v>198.61</v>
      </c>
      <c r="J697" s="115" t="s">
        <v>80</v>
      </c>
      <c r="K697" s="115" t="s">
        <v>81</v>
      </c>
      <c r="L697" s="115" t="n">
        <v>167.57</v>
      </c>
      <c r="M697" s="115" t="n">
        <v>3.0</v>
      </c>
      <c r="N697" s="115"/>
      <c r="O697" s="115"/>
      <c r="P697" s="115"/>
      <c r="Q697" s="115"/>
      <c r="R697" s="115"/>
      <c r="S697" s="115"/>
      <c r="T697" s="115"/>
      <c r="U697" s="115"/>
      <c r="V697" s="115" t="s">
        <v>82</v>
      </c>
      <c r="W697" s="115" t="s">
        <v>83</v>
      </c>
      <c r="X697" s="113">
        <f>IF(INDIRECT("W697")="Clássico","13%",IF(INDIRECT("W697")="Premium","18%","-"))</f>
      </c>
      <c r="Y697" s="113" t="s">
        <v>857</v>
      </c>
    </row>
    <row r="698" ht="50.0" customHeight="true">
      <c r="A698" s="113" t="s">
        <v>2477</v>
      </c>
      <c r="B698" s="113" t="s">
        <v>2478</v>
      </c>
      <c r="C698" s="113" t="s">
        <v>2479</v>
      </c>
      <c r="D698" s="113"/>
      <c r="E698" s="114" t="s">
        <v>1958</v>
      </c>
      <c r="F698" s="113" t="s">
        <v>2480</v>
      </c>
      <c r="G698" s="113" t="s">
        <v>2480</v>
      </c>
      <c r="H698" s="113" t="s">
        <v>103</v>
      </c>
      <c r="I698" s="115" t="n">
        <v>174.56</v>
      </c>
      <c r="J698" s="115" t="s">
        <v>80</v>
      </c>
      <c r="K698" s="115" t="s">
        <v>81</v>
      </c>
      <c r="L698" s="115" t="n">
        <v>170.92</v>
      </c>
      <c r="M698" s="115" t="n">
        <v>3.0</v>
      </c>
      <c r="N698" s="115"/>
      <c r="O698" s="115"/>
      <c r="P698" s="115"/>
      <c r="Q698" s="115"/>
      <c r="R698" s="115"/>
      <c r="S698" s="115"/>
      <c r="T698" s="115"/>
      <c r="U698" s="115"/>
      <c r="V698" s="115" t="s">
        <v>82</v>
      </c>
      <c r="W698" s="115" t="s">
        <v>83</v>
      </c>
      <c r="X698" s="113">
        <f>IF(INDIRECT("W698")="Clássico","12%",IF(INDIRECT("W698")="Premium","17%","-"))</f>
      </c>
      <c r="Y698" s="113" t="s">
        <v>1960</v>
      </c>
    </row>
    <row r="699" ht="50.0" customHeight="true">
      <c r="A699" s="113" t="s">
        <v>2363</v>
      </c>
      <c r="B699" s="113" t="s">
        <v>2481</v>
      </c>
      <c r="C699" s="113" t="s">
        <v>2482</v>
      </c>
      <c r="D699" s="113"/>
      <c r="E699" s="114" t="s">
        <v>574</v>
      </c>
      <c r="F699" s="113" t="s">
        <v>2366</v>
      </c>
      <c r="G699" s="113" t="s">
        <v>2366</v>
      </c>
      <c r="H699" s="113" t="s">
        <v>103</v>
      </c>
      <c r="I699" s="115" t="n">
        <v>136.58</v>
      </c>
      <c r="J699" s="115" t="s">
        <v>80</v>
      </c>
      <c r="K699" s="115" t="s">
        <v>81</v>
      </c>
      <c r="L699" s="115" t="n">
        <v>131.58</v>
      </c>
      <c r="M699" s="115" t="n">
        <v>3.0</v>
      </c>
      <c r="N699" s="115"/>
      <c r="O699" s="115"/>
      <c r="P699" s="115"/>
      <c r="Q699" s="115"/>
      <c r="R699" s="115"/>
      <c r="S699" s="115"/>
      <c r="T699" s="115"/>
      <c r="U699" s="115"/>
      <c r="V699" s="115" t="s">
        <v>82</v>
      </c>
      <c r="W699" s="115" t="s">
        <v>92</v>
      </c>
      <c r="X699" s="113">
        <f>IF(INDIRECT("W699")="Clássico","12%",IF(INDIRECT("W699")="Premium","17%","-"))</f>
      </c>
      <c r="Y699" s="113" t="s">
        <v>576</v>
      </c>
    </row>
    <row r="700" ht="50.0" customHeight="true">
      <c r="A700" s="113" t="s">
        <v>22</v>
      </c>
      <c r="B700" s="113" t="s">
        <v>2483</v>
      </c>
      <c r="C700" s="113"/>
      <c r="D700" s="113"/>
      <c r="E700" s="113" t="s">
        <v>22</v>
      </c>
      <c r="F700" s="113" t="s">
        <v>2484</v>
      </c>
      <c r="G700" s="113" t="s">
        <v>103</v>
      </c>
      <c r="H700" s="113" t="s">
        <v>103</v>
      </c>
      <c r="I700" s="115" t="n">
        <v>356.84</v>
      </c>
      <c r="J700" s="115" t="s">
        <v>80</v>
      </c>
      <c r="K700" s="113" t="s">
        <v>81</v>
      </c>
      <c r="L700" s="115" t="n">
        <v>351.84</v>
      </c>
      <c r="M700" s="115" t="n">
        <v>3.0</v>
      </c>
      <c r="N700" s="115"/>
      <c r="O700" s="115"/>
      <c r="P700" s="115"/>
      <c r="Q700" s="115"/>
      <c r="R700" s="115"/>
      <c r="S700" s="115"/>
      <c r="T700" s="115"/>
      <c r="U700" s="115"/>
      <c r="V700" s="115" t="s">
        <v>82</v>
      </c>
      <c r="W700" s="115" t="s">
        <v>83</v>
      </c>
      <c r="X700" s="113">
        <f>IF(INDIRECT("W700")="Clássico","11.5%",IF(INDIRECT("W700")="Premium","16.5%","-"))</f>
      </c>
      <c r="Y700" s="113" t="s">
        <v>684</v>
      </c>
    </row>
    <row r="701" ht="50.0" customHeight="true">
      <c r="A701" s="113" t="s">
        <v>22</v>
      </c>
      <c r="B701" s="113" t="s">
        <v>2483</v>
      </c>
      <c r="C701" s="113" t="s">
        <v>2485</v>
      </c>
      <c r="D701" s="113" t="s">
        <v>2485</v>
      </c>
      <c r="E701" s="114" t="s">
        <v>686</v>
      </c>
      <c r="F701" s="116">
        <f>"     "&amp;F700</f>
      </c>
      <c r="G701" s="113" t="s">
        <v>687</v>
      </c>
      <c r="H701" s="113" t="s">
        <v>103</v>
      </c>
      <c r="I701" s="113">
        <f>I700</f>
      </c>
      <c r="J701" s="113">
        <f>J700&amp;"     "</f>
      </c>
      <c r="K701" s="113" t="s">
        <v>81</v>
      </c>
      <c r="L701" s="113">
        <f>L700</f>
      </c>
      <c r="M701" s="113">
        <f>M700</f>
      </c>
      <c r="N701" s="113">
        <f>N700</f>
      </c>
      <c r="O701" s="113">
        <f>O700</f>
      </c>
      <c r="P701" s="113">
        <f>P700</f>
      </c>
      <c r="Q701" s="113">
        <f>Q700</f>
      </c>
      <c r="R701" s="113">
        <f>R700</f>
      </c>
      <c r="S701" s="113">
        <f>S700</f>
      </c>
      <c r="T701" s="113">
        <f>T700</f>
      </c>
      <c r="U701" s="113">
        <f>U700</f>
      </c>
      <c r="V701" s="113">
        <f>V700&amp;"     "</f>
      </c>
      <c r="W701" s="113">
        <f>W700&amp;"     "</f>
      </c>
      <c r="X701" s="113">
        <f>X700</f>
      </c>
      <c r="Y701" s="113" t="s">
        <v>684</v>
      </c>
    </row>
    <row r="702" ht="50.0" customHeight="true">
      <c r="A702" s="113" t="s">
        <v>22</v>
      </c>
      <c r="B702" s="113" t="s">
        <v>2483</v>
      </c>
      <c r="C702" s="113" t="s">
        <v>2486</v>
      </c>
      <c r="D702" s="113" t="s">
        <v>2486</v>
      </c>
      <c r="E702" s="114" t="s">
        <v>689</v>
      </c>
      <c r="F702" s="116">
        <f>"     "&amp;F700</f>
      </c>
      <c r="G702" s="113" t="s">
        <v>690</v>
      </c>
      <c r="H702" s="113" t="s">
        <v>103</v>
      </c>
      <c r="I702" s="113">
        <f>I700</f>
      </c>
      <c r="J702" s="113">
        <f>J700&amp;"     "</f>
      </c>
      <c r="K702" s="113" t="s">
        <v>81</v>
      </c>
      <c r="L702" s="113">
        <f>L700</f>
      </c>
      <c r="M702" s="113">
        <f>M700</f>
      </c>
      <c r="N702" s="113">
        <f>N700</f>
      </c>
      <c r="O702" s="113">
        <f>O700</f>
      </c>
      <c r="P702" s="113">
        <f>P700</f>
      </c>
      <c r="Q702" s="113">
        <f>Q700</f>
      </c>
      <c r="R702" s="113">
        <f>R700</f>
      </c>
      <c r="S702" s="113">
        <f>S700</f>
      </c>
      <c r="T702" s="113">
        <f>T700</f>
      </c>
      <c r="U702" s="113">
        <f>U700</f>
      </c>
      <c r="V702" s="113">
        <f>V700&amp;"     "</f>
      </c>
      <c r="W702" s="113">
        <f>W700&amp;"     "</f>
      </c>
      <c r="X702" s="113">
        <f>X700</f>
      </c>
      <c r="Y702" s="113" t="s">
        <v>684</v>
      </c>
    </row>
    <row r="703" ht="50.0" customHeight="true">
      <c r="A703" s="113" t="s">
        <v>22</v>
      </c>
      <c r="B703" s="113" t="s">
        <v>2487</v>
      </c>
      <c r="C703" s="113"/>
      <c r="D703" s="113"/>
      <c r="E703" s="113" t="s">
        <v>1426</v>
      </c>
      <c r="F703" s="113" t="s">
        <v>2488</v>
      </c>
      <c r="G703" s="113" t="s">
        <v>103</v>
      </c>
      <c r="H703" s="113" t="s">
        <v>103</v>
      </c>
      <c r="I703" s="115" t="n">
        <v>127.84</v>
      </c>
      <c r="J703" s="115" t="s">
        <v>80</v>
      </c>
      <c r="K703" s="113" t="s">
        <v>81</v>
      </c>
      <c r="L703" s="115" t="n">
        <v>121.58</v>
      </c>
      <c r="M703" s="115" t="n">
        <v>3.0</v>
      </c>
      <c r="N703" s="115"/>
      <c r="O703" s="115"/>
      <c r="P703" s="115"/>
      <c r="Q703" s="115"/>
      <c r="R703" s="115"/>
      <c r="S703" s="115"/>
      <c r="T703" s="115"/>
      <c r="U703" s="115"/>
      <c r="V703" s="115" t="s">
        <v>82</v>
      </c>
      <c r="W703" s="115" t="s">
        <v>92</v>
      </c>
      <c r="X703" s="113">
        <f>IF(INDIRECT("W703")="Clássico","12%",IF(INDIRECT("W703")="Premium","17%","-"))</f>
      </c>
      <c r="Y703" s="113" t="s">
        <v>128</v>
      </c>
    </row>
    <row r="704" ht="50.0" customHeight="true">
      <c r="A704" s="113" t="s">
        <v>22</v>
      </c>
      <c r="B704" s="113" t="s">
        <v>2487</v>
      </c>
      <c r="C704" s="113" t="s">
        <v>2489</v>
      </c>
      <c r="D704" s="113" t="s">
        <v>2489</v>
      </c>
      <c r="E704" s="114" t="s">
        <v>1429</v>
      </c>
      <c r="F704" s="116">
        <f>"     "&amp;F703</f>
      </c>
      <c r="G704" s="113" t="s">
        <v>1430</v>
      </c>
      <c r="H704" s="113" t="s">
        <v>103</v>
      </c>
      <c r="I704" s="113">
        <f>I703</f>
      </c>
      <c r="J704" s="113">
        <f>J703&amp;"     "</f>
      </c>
      <c r="K704" s="113" t="s">
        <v>81</v>
      </c>
      <c r="L704" s="113">
        <f>L703</f>
      </c>
      <c r="M704" s="113">
        <f>M703</f>
      </c>
      <c r="N704" s="113">
        <f>N703</f>
      </c>
      <c r="O704" s="113">
        <f>O703</f>
      </c>
      <c r="P704" s="113">
        <f>P703</f>
      </c>
      <c r="Q704" s="113">
        <f>Q703</f>
      </c>
      <c r="R704" s="113">
        <f>R703</f>
      </c>
      <c r="S704" s="113">
        <f>S703</f>
      </c>
      <c r="T704" s="113">
        <f>T703</f>
      </c>
      <c r="U704" s="113">
        <f>U703</f>
      </c>
      <c r="V704" s="113">
        <f>V703&amp;"     "</f>
      </c>
      <c r="W704" s="113">
        <f>W703&amp;"     "</f>
      </c>
      <c r="X704" s="113">
        <f>X703</f>
      </c>
      <c r="Y704" s="113" t="s">
        <v>128</v>
      </c>
    </row>
    <row r="705" ht="50.0" customHeight="true">
      <c r="A705" s="113" t="s">
        <v>22</v>
      </c>
      <c r="B705" s="113" t="s">
        <v>2487</v>
      </c>
      <c r="C705" s="113" t="s">
        <v>2490</v>
      </c>
      <c r="D705" s="113" t="s">
        <v>2490</v>
      </c>
      <c r="E705" s="114" t="s">
        <v>1432</v>
      </c>
      <c r="F705" s="116">
        <f>"     "&amp;F703</f>
      </c>
      <c r="G705" s="113" t="s">
        <v>1433</v>
      </c>
      <c r="H705" s="113" t="s">
        <v>103</v>
      </c>
      <c r="I705" s="113">
        <f>I703</f>
      </c>
      <c r="J705" s="113">
        <f>J703&amp;"     "</f>
      </c>
      <c r="K705" s="113" t="s">
        <v>81</v>
      </c>
      <c r="L705" s="113">
        <f>L703</f>
      </c>
      <c r="M705" s="113">
        <f>M703</f>
      </c>
      <c r="N705" s="113">
        <f>N703</f>
      </c>
      <c r="O705" s="113">
        <f>O703</f>
      </c>
      <c r="P705" s="113">
        <f>P703</f>
      </c>
      <c r="Q705" s="113">
        <f>Q703</f>
      </c>
      <c r="R705" s="113">
        <f>R703</f>
      </c>
      <c r="S705" s="113">
        <f>S703</f>
      </c>
      <c r="T705" s="113">
        <f>T703</f>
      </c>
      <c r="U705" s="113">
        <f>U703</f>
      </c>
      <c r="V705" s="113">
        <f>V703&amp;"     "</f>
      </c>
      <c r="W705" s="113">
        <f>W703&amp;"     "</f>
      </c>
      <c r="X705" s="113">
        <f>X703</f>
      </c>
      <c r="Y705" s="113" t="s">
        <v>128</v>
      </c>
    </row>
    <row r="706" ht="50.0" customHeight="true">
      <c r="A706" s="113" t="s">
        <v>2491</v>
      </c>
      <c r="B706" s="113" t="s">
        <v>2492</v>
      </c>
      <c r="C706" s="113" t="s">
        <v>2493</v>
      </c>
      <c r="D706" s="113"/>
      <c r="E706" s="114" t="s">
        <v>119</v>
      </c>
      <c r="F706" s="113" t="s">
        <v>2494</v>
      </c>
      <c r="G706" s="113" t="s">
        <v>2494</v>
      </c>
      <c r="H706" s="113" t="s">
        <v>103</v>
      </c>
      <c r="I706" s="115" t="n">
        <v>159.37</v>
      </c>
      <c r="J706" s="115" t="s">
        <v>80</v>
      </c>
      <c r="K706" s="115" t="s">
        <v>81</v>
      </c>
      <c r="L706" s="115" t="n">
        <v>195.5</v>
      </c>
      <c r="M706" s="115" t="n">
        <v>3.0</v>
      </c>
      <c r="N706" s="115"/>
      <c r="O706" s="115"/>
      <c r="P706" s="115"/>
      <c r="Q706" s="115"/>
      <c r="R706" s="115"/>
      <c r="S706" s="115"/>
      <c r="T706" s="115"/>
      <c r="U706" s="115"/>
      <c r="V706" s="115" t="s">
        <v>82</v>
      </c>
      <c r="W706" s="115" t="s">
        <v>92</v>
      </c>
      <c r="X706" s="113">
        <f>IF(INDIRECT("W706")="Clássico","12%",IF(INDIRECT("W706")="Premium","17%","-"))</f>
      </c>
      <c r="Y706" s="113" t="s">
        <v>121</v>
      </c>
    </row>
    <row r="707" ht="50.0" customHeight="true">
      <c r="A707" s="113" t="s">
        <v>2495</v>
      </c>
      <c r="B707" s="113" t="s">
        <v>2496</v>
      </c>
      <c r="C707" s="113" t="s">
        <v>2497</v>
      </c>
      <c r="D707" s="113"/>
      <c r="E707" s="114" t="s">
        <v>2219</v>
      </c>
      <c r="F707" s="113" t="s">
        <v>2498</v>
      </c>
      <c r="G707" s="113" t="s">
        <v>2498</v>
      </c>
      <c r="H707" s="113" t="s">
        <v>103</v>
      </c>
      <c r="I707" s="115" t="n">
        <v>173.29</v>
      </c>
      <c r="J707" s="115" t="s">
        <v>80</v>
      </c>
      <c r="K707" s="115" t="s">
        <v>81</v>
      </c>
      <c r="L707" s="115" t="n">
        <v>187.28</v>
      </c>
      <c r="M707" s="115" t="n">
        <v>3.0</v>
      </c>
      <c r="N707" s="115"/>
      <c r="O707" s="115"/>
      <c r="P707" s="115"/>
      <c r="Q707" s="115"/>
      <c r="R707" s="115"/>
      <c r="S707" s="115"/>
      <c r="T707" s="115"/>
      <c r="U707" s="115"/>
      <c r="V707" s="115" t="s">
        <v>82</v>
      </c>
      <c r="W707" s="115" t="s">
        <v>83</v>
      </c>
      <c r="X707" s="113">
        <f>IF(INDIRECT("W707")="Clássico","12%",IF(INDIRECT("W707")="Premium","17%","-"))</f>
      </c>
      <c r="Y707" s="113" t="s">
        <v>397</v>
      </c>
    </row>
    <row r="708" ht="50.0" customHeight="true">
      <c r="A708" s="113" t="s">
        <v>2499</v>
      </c>
      <c r="B708" s="113" t="s">
        <v>2500</v>
      </c>
      <c r="C708" s="113" t="s">
        <v>2501</v>
      </c>
      <c r="D708" s="113"/>
      <c r="E708" s="114" t="s">
        <v>956</v>
      </c>
      <c r="F708" s="113" t="s">
        <v>2502</v>
      </c>
      <c r="G708" s="113" t="s">
        <v>2502</v>
      </c>
      <c r="H708" s="113" t="s">
        <v>103</v>
      </c>
      <c r="I708" s="115" t="n">
        <v>58.1</v>
      </c>
      <c r="J708" s="115" t="s">
        <v>80</v>
      </c>
      <c r="K708" s="115" t="s">
        <v>81</v>
      </c>
      <c r="L708" s="115" t="n">
        <v>69.56</v>
      </c>
      <c r="M708" s="115" t="n">
        <v>3.0</v>
      </c>
      <c r="N708" s="115"/>
      <c r="O708" s="115"/>
      <c r="P708" s="115"/>
      <c r="Q708" s="115"/>
      <c r="R708" s="115"/>
      <c r="S708" s="115"/>
      <c r="T708" s="115"/>
      <c r="U708" s="115"/>
      <c r="V708" s="115" t="s">
        <v>91</v>
      </c>
      <c r="W708" s="115" t="s">
        <v>92</v>
      </c>
      <c r="X708" s="113">
        <f>IF(INDIRECT("W708")="Clássico","12%",IF(INDIRECT("W708")="Premium","17%","-"))</f>
      </c>
      <c r="Y708" s="113" t="s">
        <v>958</v>
      </c>
    </row>
    <row r="709" ht="50.0" customHeight="true">
      <c r="A709" s="113" t="s">
        <v>2503</v>
      </c>
      <c r="B709" s="113" t="s">
        <v>2504</v>
      </c>
      <c r="C709" s="113" t="s">
        <v>2505</v>
      </c>
      <c r="D709" s="113"/>
      <c r="E709" s="114" t="s">
        <v>1701</v>
      </c>
      <c r="F709" s="113" t="s">
        <v>2506</v>
      </c>
      <c r="G709" s="113" t="s">
        <v>2507</v>
      </c>
      <c r="H709" s="113" t="s">
        <v>103</v>
      </c>
      <c r="I709" s="115" t="n">
        <v>396.9</v>
      </c>
      <c r="J709" s="115" t="s">
        <v>80</v>
      </c>
      <c r="K709" s="115" t="s">
        <v>81</v>
      </c>
      <c r="L709" s="115" t="n">
        <v>391.99</v>
      </c>
      <c r="M709" s="115" t="n">
        <v>3.0</v>
      </c>
      <c r="N709" s="115"/>
      <c r="O709" s="115"/>
      <c r="P709" s="115"/>
      <c r="Q709" s="115"/>
      <c r="R709" s="115"/>
      <c r="S709" s="115"/>
      <c r="T709" s="115"/>
      <c r="U709" s="115"/>
      <c r="V709" s="115" t="s">
        <v>82</v>
      </c>
      <c r="W709" s="115" t="s">
        <v>83</v>
      </c>
      <c r="X709" s="113">
        <f>IF(INDIRECT("W709")="Clássico","12%",IF(INDIRECT("W709")="Premium","17%","-"))</f>
      </c>
      <c r="Y709" s="113" t="s">
        <v>1904</v>
      </c>
    </row>
    <row r="710" ht="50.0" customHeight="true">
      <c r="A710" s="113" t="s">
        <v>2508</v>
      </c>
      <c r="B710" s="113" t="s">
        <v>2509</v>
      </c>
      <c r="C710" s="113" t="s">
        <v>2510</v>
      </c>
      <c r="D710" s="113"/>
      <c r="E710" s="114" t="s">
        <v>855</v>
      </c>
      <c r="F710" s="113" t="s">
        <v>2511</v>
      </c>
      <c r="G710" s="113" t="s">
        <v>2511</v>
      </c>
      <c r="H710" s="113" t="s">
        <v>103</v>
      </c>
      <c r="I710" s="115" t="n">
        <v>94.81</v>
      </c>
      <c r="J710" s="115" t="s">
        <v>80</v>
      </c>
      <c r="K710" s="115" t="s">
        <v>81</v>
      </c>
      <c r="L710" s="115" t="n">
        <v>86.13</v>
      </c>
      <c r="M710" s="115" t="n">
        <v>3.0</v>
      </c>
      <c r="N710" s="115"/>
      <c r="O710" s="115"/>
      <c r="P710" s="115"/>
      <c r="Q710" s="115"/>
      <c r="R710" s="115"/>
      <c r="S710" s="115"/>
      <c r="T710" s="115"/>
      <c r="U710" s="115"/>
      <c r="V710" s="115" t="s">
        <v>91</v>
      </c>
      <c r="W710" s="115" t="s">
        <v>92</v>
      </c>
      <c r="X710" s="113">
        <f>IF(INDIRECT("W710")="Clássico","13%",IF(INDIRECT("W710")="Premium","18%","-"))</f>
      </c>
      <c r="Y710" s="113" t="s">
        <v>857</v>
      </c>
    </row>
    <row r="711" ht="50.0" customHeight="true">
      <c r="A711" s="113" t="s">
        <v>2512</v>
      </c>
      <c r="B711" s="113" t="s">
        <v>2513</v>
      </c>
      <c r="C711" s="113" t="s">
        <v>2514</v>
      </c>
      <c r="D711" s="113"/>
      <c r="E711" s="114" t="s">
        <v>1950</v>
      </c>
      <c r="F711" s="113" t="s">
        <v>1951</v>
      </c>
      <c r="G711" s="113" t="s">
        <v>518</v>
      </c>
      <c r="H711" s="113" t="s">
        <v>103</v>
      </c>
      <c r="I711" s="115" t="n">
        <v>679.63</v>
      </c>
      <c r="J711" s="115" t="s">
        <v>80</v>
      </c>
      <c r="K711" s="115" t="s">
        <v>81</v>
      </c>
      <c r="L711" s="115" t="n">
        <v>573.36</v>
      </c>
      <c r="M711" s="115" t="n">
        <v>3.0</v>
      </c>
      <c r="N711" s="115"/>
      <c r="O711" s="115"/>
      <c r="P711" s="115"/>
      <c r="Q711" s="115"/>
      <c r="R711" s="115"/>
      <c r="S711" s="115"/>
      <c r="T711" s="115"/>
      <c r="U711" s="115"/>
      <c r="V711" s="115" t="s">
        <v>82</v>
      </c>
      <c r="W711" s="115" t="s">
        <v>83</v>
      </c>
      <c r="X711" s="113">
        <f>IF(INDIRECT("W711")="Clássico","12%",IF(INDIRECT("W711")="Premium","17%","-"))</f>
      </c>
      <c r="Y711" s="113" t="s">
        <v>1952</v>
      </c>
    </row>
    <row r="712" ht="50.0" customHeight="true">
      <c r="A712" s="113" t="s">
        <v>2515</v>
      </c>
      <c r="B712" s="113" t="s">
        <v>2516</v>
      </c>
      <c r="C712" s="113" t="s">
        <v>2517</v>
      </c>
      <c r="D712" s="113"/>
      <c r="E712" s="114" t="s">
        <v>1138</v>
      </c>
      <c r="F712" s="113" t="s">
        <v>2518</v>
      </c>
      <c r="G712" s="113" t="s">
        <v>1140</v>
      </c>
      <c r="H712" s="113" t="s">
        <v>103</v>
      </c>
      <c r="I712" s="115" t="n">
        <v>161.9</v>
      </c>
      <c r="J712" s="115" t="s">
        <v>80</v>
      </c>
      <c r="K712" s="115" t="s">
        <v>81</v>
      </c>
      <c r="L712" s="115" t="n">
        <v>156.9</v>
      </c>
      <c r="M712" s="115" t="n">
        <v>3.0</v>
      </c>
      <c r="N712" s="115"/>
      <c r="O712" s="115"/>
      <c r="P712" s="115"/>
      <c r="Q712" s="115"/>
      <c r="R712" s="115"/>
      <c r="S712" s="115"/>
      <c r="T712" s="115"/>
      <c r="U712" s="115"/>
      <c r="V712" s="115" t="s">
        <v>82</v>
      </c>
      <c r="W712" s="115" t="s">
        <v>92</v>
      </c>
      <c r="X712" s="113">
        <f>IF(INDIRECT("W712")="Clássico","12%",IF(INDIRECT("W712")="Premium","17%","-"))</f>
      </c>
      <c r="Y712" s="113" t="s">
        <v>1048</v>
      </c>
    </row>
    <row r="713" ht="50.0" customHeight="true">
      <c r="A713" s="113" t="s">
        <v>2519</v>
      </c>
      <c r="B713" s="113" t="s">
        <v>2520</v>
      </c>
      <c r="C713" s="113" t="s">
        <v>2521</v>
      </c>
      <c r="D713" s="113"/>
      <c r="E713" s="114" t="s">
        <v>2522</v>
      </c>
      <c r="F713" s="113" t="s">
        <v>2523</v>
      </c>
      <c r="G713" s="113" t="s">
        <v>2523</v>
      </c>
      <c r="H713" s="113" t="s">
        <v>103</v>
      </c>
      <c r="I713" s="115" t="n">
        <v>26.9</v>
      </c>
      <c r="J713" s="115" t="s">
        <v>80</v>
      </c>
      <c r="K713" s="113" t="s">
        <v>81</v>
      </c>
      <c r="L713" s="115" t="n">
        <v>21.9</v>
      </c>
      <c r="M713" s="115" t="n">
        <v>3.0</v>
      </c>
      <c r="N713" s="115"/>
      <c r="O713" s="115"/>
      <c r="P713" s="115"/>
      <c r="Q713" s="115"/>
      <c r="R713" s="115"/>
      <c r="S713" s="115"/>
      <c r="T713" s="115"/>
      <c r="U713" s="115"/>
      <c r="V713" s="115" t="s">
        <v>91</v>
      </c>
      <c r="W713" s="115" t="s">
        <v>92</v>
      </c>
      <c r="X713" s="113">
        <f>IF(INDIRECT("W713")="Clássico","12%",IF(INDIRECT("W713")="Premium","17%","-"))</f>
      </c>
      <c r="Y713" s="113" t="s">
        <v>696</v>
      </c>
    </row>
    <row r="714" ht="50.0" customHeight="true">
      <c r="A714" s="113" t="s">
        <v>2524</v>
      </c>
      <c r="B714" s="113" t="s">
        <v>2525</v>
      </c>
      <c r="C714" s="113" t="s">
        <v>2526</v>
      </c>
      <c r="D714" s="113"/>
      <c r="E714" s="114" t="s">
        <v>1496</v>
      </c>
      <c r="F714" s="113" t="s">
        <v>2527</v>
      </c>
      <c r="G714" s="113" t="s">
        <v>2527</v>
      </c>
      <c r="H714" s="113" t="s">
        <v>103</v>
      </c>
      <c r="I714" s="115" t="n">
        <v>237.85</v>
      </c>
      <c r="J714" s="115" t="s">
        <v>80</v>
      </c>
      <c r="K714" s="115" t="s">
        <v>81</v>
      </c>
      <c r="L714" s="115" t="n">
        <v>219.69</v>
      </c>
      <c r="M714" s="115" t="n">
        <v>3.0</v>
      </c>
      <c r="N714" s="115"/>
      <c r="O714" s="115"/>
      <c r="P714" s="115"/>
      <c r="Q714" s="115"/>
      <c r="R714" s="115"/>
      <c r="S714" s="115"/>
      <c r="T714" s="115"/>
      <c r="U714" s="115"/>
      <c r="V714" s="115" t="s">
        <v>82</v>
      </c>
      <c r="W714" s="115" t="s">
        <v>83</v>
      </c>
      <c r="X714" s="113">
        <f>IF(INDIRECT("W714")="Clássico","12%",IF(INDIRECT("W714")="Premium","17%","-"))</f>
      </c>
      <c r="Y714" s="113" t="s">
        <v>221</v>
      </c>
    </row>
    <row r="715" ht="50.0" customHeight="true">
      <c r="A715" s="113" t="s">
        <v>2528</v>
      </c>
      <c r="B715" s="113" t="s">
        <v>2529</v>
      </c>
      <c r="C715" s="113" t="s">
        <v>2530</v>
      </c>
      <c r="D715" s="113"/>
      <c r="E715" s="114" t="s">
        <v>726</v>
      </c>
      <c r="F715" s="113" t="s">
        <v>2531</v>
      </c>
      <c r="G715" s="113" t="s">
        <v>2531</v>
      </c>
      <c r="H715" s="113" t="s">
        <v>103</v>
      </c>
      <c r="I715" s="115" t="n">
        <v>651.78</v>
      </c>
      <c r="J715" s="115" t="s">
        <v>80</v>
      </c>
      <c r="K715" s="115" t="s">
        <v>81</v>
      </c>
      <c r="L715" s="115" t="n">
        <v>725.26</v>
      </c>
      <c r="M715" s="115" t="n">
        <v>3.0</v>
      </c>
      <c r="N715" s="115"/>
      <c r="O715" s="115"/>
      <c r="P715" s="115"/>
      <c r="Q715" s="115"/>
      <c r="R715" s="115"/>
      <c r="S715" s="115"/>
      <c r="T715" s="115"/>
      <c r="U715" s="115"/>
      <c r="V715" s="115" t="s">
        <v>82</v>
      </c>
      <c r="W715" s="115" t="s">
        <v>83</v>
      </c>
      <c r="X715" s="113">
        <f>IF(INDIRECT("W715")="Clássico","12%",IF(INDIRECT("W715")="Premium","17%","-"))</f>
      </c>
      <c r="Y715" s="113" t="s">
        <v>2532</v>
      </c>
    </row>
    <row r="716" ht="50.0" customHeight="true">
      <c r="A716" s="113" t="s">
        <v>2533</v>
      </c>
      <c r="B716" s="113" t="s">
        <v>2534</v>
      </c>
      <c r="C716" s="113" t="s">
        <v>2535</v>
      </c>
      <c r="D716" s="113"/>
      <c r="E716" s="114" t="s">
        <v>532</v>
      </c>
      <c r="F716" s="113" t="s">
        <v>2536</v>
      </c>
      <c r="G716" s="113" t="s">
        <v>2536</v>
      </c>
      <c r="H716" s="113" t="s">
        <v>103</v>
      </c>
      <c r="I716" s="115" t="n">
        <v>249.24</v>
      </c>
      <c r="J716" s="115" t="s">
        <v>80</v>
      </c>
      <c r="K716" s="115" t="s">
        <v>81</v>
      </c>
      <c r="L716" s="115" t="n">
        <v>244.24</v>
      </c>
      <c r="M716" s="115" t="n">
        <v>3.0</v>
      </c>
      <c r="N716" s="115"/>
      <c r="O716" s="115"/>
      <c r="P716" s="115"/>
      <c r="Q716" s="115"/>
      <c r="R716" s="115"/>
      <c r="S716" s="115"/>
      <c r="T716" s="115"/>
      <c r="U716" s="115"/>
      <c r="V716" s="115" t="s">
        <v>82</v>
      </c>
      <c r="W716" s="115" t="s">
        <v>83</v>
      </c>
      <c r="X716" s="113">
        <f>IF(INDIRECT("W716")="Clássico","13%",IF(INDIRECT("W716")="Premium","18%","-"))</f>
      </c>
      <c r="Y716" s="113" t="s">
        <v>2141</v>
      </c>
    </row>
    <row r="717" ht="50.0" customHeight="true">
      <c r="A717" s="113" t="s">
        <v>2537</v>
      </c>
      <c r="B717" s="113" t="s">
        <v>2538</v>
      </c>
      <c r="C717" s="113" t="s">
        <v>2539</v>
      </c>
      <c r="D717" s="113"/>
      <c r="E717" s="114" t="s">
        <v>1992</v>
      </c>
      <c r="F717" s="113" t="s">
        <v>2540</v>
      </c>
      <c r="G717" s="113" t="s">
        <v>2540</v>
      </c>
      <c r="H717" s="113" t="s">
        <v>103</v>
      </c>
      <c r="I717" s="115" t="n">
        <v>569.5</v>
      </c>
      <c r="J717" s="115" t="s">
        <v>80</v>
      </c>
      <c r="K717" s="115" t="s">
        <v>81</v>
      </c>
      <c r="L717" s="115" t="n">
        <v>564.5</v>
      </c>
      <c r="M717" s="115" t="n">
        <v>3.0</v>
      </c>
      <c r="N717" s="115"/>
      <c r="O717" s="115"/>
      <c r="P717" s="115"/>
      <c r="Q717" s="115"/>
      <c r="R717" s="115"/>
      <c r="S717" s="115"/>
      <c r="T717" s="115"/>
      <c r="U717" s="115"/>
      <c r="V717" s="115" t="s">
        <v>82</v>
      </c>
      <c r="W717" s="115" t="s">
        <v>92</v>
      </c>
      <c r="X717" s="113">
        <f>IF(INDIRECT("W717")="Clássico","12%",IF(INDIRECT("W717")="Premium","17%","-"))</f>
      </c>
      <c r="Y717" s="113" t="s">
        <v>1444</v>
      </c>
    </row>
    <row r="718" ht="50.0" customHeight="true">
      <c r="A718" s="113" t="s">
        <v>2541</v>
      </c>
      <c r="B718" s="113" t="s">
        <v>2542</v>
      </c>
      <c r="C718" s="113" t="s">
        <v>2543</v>
      </c>
      <c r="D718" s="113"/>
      <c r="E718" s="114" t="s">
        <v>672</v>
      </c>
      <c r="F718" s="113" t="s">
        <v>2544</v>
      </c>
      <c r="G718" s="113" t="s">
        <v>2544</v>
      </c>
      <c r="H718" s="113" t="s">
        <v>103</v>
      </c>
      <c r="I718" s="115" t="n">
        <v>54.9</v>
      </c>
      <c r="J718" s="115" t="s">
        <v>80</v>
      </c>
      <c r="K718" s="115" t="s">
        <v>81</v>
      </c>
      <c r="L718" s="115" t="n">
        <v>74.11</v>
      </c>
      <c r="M718" s="115" t="n">
        <v>3.0</v>
      </c>
      <c r="N718" s="115"/>
      <c r="O718" s="115"/>
      <c r="P718" s="115"/>
      <c r="Q718" s="115"/>
      <c r="R718" s="115"/>
      <c r="S718" s="115"/>
      <c r="T718" s="115"/>
      <c r="U718" s="115"/>
      <c r="V718" s="115" t="s">
        <v>91</v>
      </c>
      <c r="W718" s="115" t="s">
        <v>92</v>
      </c>
      <c r="X718" s="113">
        <f>IF(INDIRECT("W718")="Clássico","12%",IF(INDIRECT("W718")="Premium","17%","-"))</f>
      </c>
      <c r="Y718" s="113" t="s">
        <v>200</v>
      </c>
    </row>
    <row r="719" ht="50.0" customHeight="true">
      <c r="A719" s="113" t="s">
        <v>2545</v>
      </c>
      <c r="B719" s="113" t="s">
        <v>2546</v>
      </c>
      <c r="C719" s="113" t="s">
        <v>2547</v>
      </c>
      <c r="D719" s="113"/>
      <c r="E719" s="114" t="s">
        <v>574</v>
      </c>
      <c r="F719" s="113" t="s">
        <v>2548</v>
      </c>
      <c r="G719" s="113" t="s">
        <v>2548</v>
      </c>
      <c r="H719" s="113" t="s">
        <v>103</v>
      </c>
      <c r="I719" s="115" t="n">
        <v>134.05</v>
      </c>
      <c r="J719" s="115" t="s">
        <v>80</v>
      </c>
      <c r="K719" s="115" t="s">
        <v>81</v>
      </c>
      <c r="L719" s="115" t="n">
        <v>129.05</v>
      </c>
      <c r="M719" s="115" t="n">
        <v>3.0</v>
      </c>
      <c r="N719" s="115"/>
      <c r="O719" s="115"/>
      <c r="P719" s="115"/>
      <c r="Q719" s="115"/>
      <c r="R719" s="115"/>
      <c r="S719" s="115"/>
      <c r="T719" s="115"/>
      <c r="U719" s="115"/>
      <c r="V719" s="115" t="s">
        <v>82</v>
      </c>
      <c r="W719" s="115" t="s">
        <v>92</v>
      </c>
      <c r="X719" s="113">
        <f>IF(INDIRECT("W719")="Clássico","12%",IF(INDIRECT("W719")="Premium","17%","-"))</f>
      </c>
      <c r="Y719" s="113" t="s">
        <v>576</v>
      </c>
    </row>
    <row r="720" ht="50.0" customHeight="true">
      <c r="A720" s="113" t="s">
        <v>2549</v>
      </c>
      <c r="B720" s="113" t="s">
        <v>2550</v>
      </c>
      <c r="C720" s="113" t="s">
        <v>2551</v>
      </c>
      <c r="D720" s="113"/>
      <c r="E720" s="114" t="s">
        <v>1926</v>
      </c>
      <c r="F720" s="113" t="s">
        <v>2552</v>
      </c>
      <c r="G720" s="113" t="s">
        <v>2552</v>
      </c>
      <c r="H720" s="113" t="s">
        <v>103</v>
      </c>
      <c r="I720" s="115" t="n">
        <v>58.1</v>
      </c>
      <c r="J720" s="115" t="s">
        <v>80</v>
      </c>
      <c r="K720" s="115" t="s">
        <v>81</v>
      </c>
      <c r="L720" s="115" t="n">
        <v>53.86</v>
      </c>
      <c r="M720" s="115" t="n">
        <v>3.0</v>
      </c>
      <c r="N720" s="115"/>
      <c r="O720" s="115"/>
      <c r="P720" s="115"/>
      <c r="Q720" s="115"/>
      <c r="R720" s="115"/>
      <c r="S720" s="115"/>
      <c r="T720" s="115"/>
      <c r="U720" s="115"/>
      <c r="V720" s="115" t="s">
        <v>91</v>
      </c>
      <c r="W720" s="115" t="s">
        <v>92</v>
      </c>
      <c r="X720" s="113">
        <f>IF(INDIRECT("W720")="Clássico","12%",IF(INDIRECT("W720")="Premium","17%","-"))</f>
      </c>
      <c r="Y720" s="113" t="s">
        <v>1928</v>
      </c>
    </row>
    <row r="721" ht="50.0" customHeight="true">
      <c r="A721" s="113" t="s">
        <v>2553</v>
      </c>
      <c r="B721" s="113" t="s">
        <v>2554</v>
      </c>
      <c r="C721" s="113" t="s">
        <v>2555</v>
      </c>
      <c r="D721" s="113"/>
      <c r="E721" s="114" t="s">
        <v>1359</v>
      </c>
      <c r="F721" s="113" t="s">
        <v>2556</v>
      </c>
      <c r="G721" s="113" t="s">
        <v>127</v>
      </c>
      <c r="H721" s="113" t="s">
        <v>103</v>
      </c>
      <c r="I721" s="115" t="n">
        <v>1060.65</v>
      </c>
      <c r="J721" s="115" t="s">
        <v>80</v>
      </c>
      <c r="K721" s="115" t="s">
        <v>81</v>
      </c>
      <c r="L721" s="115" t="n">
        <v>1195.0</v>
      </c>
      <c r="M721" s="115" t="n">
        <v>3.0</v>
      </c>
      <c r="N721" s="115"/>
      <c r="O721" s="115"/>
      <c r="P721" s="115"/>
      <c r="Q721" s="115"/>
      <c r="R721" s="115"/>
      <c r="S721" s="115"/>
      <c r="T721" s="115"/>
      <c r="U721" s="115"/>
      <c r="V721" s="115" t="s">
        <v>82</v>
      </c>
      <c r="W721" s="115" t="s">
        <v>92</v>
      </c>
      <c r="X721" s="113">
        <f>IF(INDIRECT("W721")="Clássico","12%",IF(INDIRECT("W721")="Premium","17%","-"))</f>
      </c>
      <c r="Y721" s="113" t="s">
        <v>367</v>
      </c>
    </row>
    <row r="722" ht="50.0" customHeight="true">
      <c r="A722" s="113" t="s">
        <v>2557</v>
      </c>
      <c r="B722" s="113" t="s">
        <v>2558</v>
      </c>
      <c r="C722" s="113" t="s">
        <v>2559</v>
      </c>
      <c r="D722" s="113"/>
      <c r="E722" s="114" t="s">
        <v>2210</v>
      </c>
      <c r="F722" s="113" t="s">
        <v>2560</v>
      </c>
      <c r="G722" s="113" t="s">
        <v>2560</v>
      </c>
      <c r="H722" s="113" t="s">
        <v>103</v>
      </c>
      <c r="I722" s="115" t="n">
        <v>853.16</v>
      </c>
      <c r="J722" s="115" t="s">
        <v>80</v>
      </c>
      <c r="K722" s="115" t="s">
        <v>81</v>
      </c>
      <c r="L722" s="115" t="n">
        <v>848.16</v>
      </c>
      <c r="M722" s="115" t="n">
        <v>3.0</v>
      </c>
      <c r="N722" s="115"/>
      <c r="O722" s="115"/>
      <c r="P722" s="115"/>
      <c r="Q722" s="115"/>
      <c r="R722" s="115"/>
      <c r="S722" s="115"/>
      <c r="T722" s="115"/>
      <c r="U722" s="115"/>
      <c r="V722" s="115" t="s">
        <v>82</v>
      </c>
      <c r="W722" s="115" t="s">
        <v>83</v>
      </c>
      <c r="X722" s="113">
        <f>IF(INDIRECT("W722")="Clássico","12%",IF(INDIRECT("W722")="Premium","17%","-"))</f>
      </c>
      <c r="Y722" s="113" t="s">
        <v>712</v>
      </c>
    </row>
    <row r="723" ht="50.0" customHeight="true">
      <c r="A723" s="113" t="s">
        <v>2561</v>
      </c>
      <c r="B723" s="113" t="s">
        <v>2562</v>
      </c>
      <c r="C723" s="113" t="s">
        <v>2563</v>
      </c>
      <c r="D723" s="113"/>
      <c r="E723" s="114" t="s">
        <v>119</v>
      </c>
      <c r="F723" s="113" t="s">
        <v>2564</v>
      </c>
      <c r="G723" s="113" t="s">
        <v>2564</v>
      </c>
      <c r="H723" s="113" t="s">
        <v>103</v>
      </c>
      <c r="I723" s="115" t="n">
        <v>99.87</v>
      </c>
      <c r="J723" s="115" t="s">
        <v>80</v>
      </c>
      <c r="K723" s="115" t="s">
        <v>81</v>
      </c>
      <c r="L723" s="115" t="n">
        <v>94.37</v>
      </c>
      <c r="M723" s="115" t="n">
        <v>3.0</v>
      </c>
      <c r="N723" s="115"/>
      <c r="O723" s="115"/>
      <c r="P723" s="115"/>
      <c r="Q723" s="115"/>
      <c r="R723" s="115"/>
      <c r="S723" s="115"/>
      <c r="T723" s="115"/>
      <c r="U723" s="115"/>
      <c r="V723" s="115" t="s">
        <v>91</v>
      </c>
      <c r="W723" s="115" t="s">
        <v>92</v>
      </c>
      <c r="X723" s="113">
        <f>IF(INDIRECT("W723")="Clássico","12%",IF(INDIRECT("W723")="Premium","17%","-"))</f>
      </c>
      <c r="Y723" s="113" t="s">
        <v>121</v>
      </c>
    </row>
    <row r="724" ht="50.0" customHeight="true">
      <c r="A724" s="113" t="s">
        <v>2565</v>
      </c>
      <c r="B724" s="113" t="s">
        <v>2566</v>
      </c>
      <c r="C724" s="113" t="s">
        <v>2567</v>
      </c>
      <c r="D724" s="113"/>
      <c r="E724" s="114" t="s">
        <v>2568</v>
      </c>
      <c r="F724" s="113" t="s">
        <v>2569</v>
      </c>
      <c r="G724" s="113" t="s">
        <v>2569</v>
      </c>
      <c r="H724" s="113" t="s">
        <v>103</v>
      </c>
      <c r="I724" s="115" t="n">
        <v>234.05</v>
      </c>
      <c r="J724" s="115" t="s">
        <v>80</v>
      </c>
      <c r="K724" s="115" t="s">
        <v>81</v>
      </c>
      <c r="L724" s="115" t="n">
        <v>231.59</v>
      </c>
      <c r="M724" s="115" t="n">
        <v>3.0</v>
      </c>
      <c r="N724" s="115"/>
      <c r="O724" s="115"/>
      <c r="P724" s="115"/>
      <c r="Q724" s="115"/>
      <c r="R724" s="115"/>
      <c r="S724" s="115"/>
      <c r="T724" s="115"/>
      <c r="U724" s="115"/>
      <c r="V724" s="115" t="s">
        <v>82</v>
      </c>
      <c r="W724" s="115" t="s">
        <v>83</v>
      </c>
      <c r="X724" s="113">
        <f>IF(INDIRECT("W724")="Clássico","12%",IF(INDIRECT("W724")="Premium","17%","-"))</f>
      </c>
      <c r="Y724" s="113" t="s">
        <v>1473</v>
      </c>
    </row>
    <row r="725" ht="50.0" customHeight="true">
      <c r="A725" s="113" t="s">
        <v>22</v>
      </c>
      <c r="B725" s="113" t="s">
        <v>2570</v>
      </c>
      <c r="C725" s="113"/>
      <c r="D725" s="113"/>
      <c r="E725" s="113" t="s">
        <v>22</v>
      </c>
      <c r="F725" s="113" t="s">
        <v>1965</v>
      </c>
      <c r="G725" s="113" t="s">
        <v>103</v>
      </c>
      <c r="H725" s="113" t="s">
        <v>103</v>
      </c>
      <c r="I725" s="115" t="n">
        <v>375.83</v>
      </c>
      <c r="J725" s="115" t="s">
        <v>80</v>
      </c>
      <c r="K725" s="113" t="s">
        <v>81</v>
      </c>
      <c r="L725" s="115" t="n">
        <v>274.62</v>
      </c>
      <c r="M725" s="115" t="n">
        <v>3.0</v>
      </c>
      <c r="N725" s="115"/>
      <c r="O725" s="115"/>
      <c r="P725" s="115"/>
      <c r="Q725" s="115"/>
      <c r="R725" s="115"/>
      <c r="S725" s="115"/>
      <c r="T725" s="115"/>
      <c r="U725" s="115"/>
      <c r="V725" s="115" t="s">
        <v>82</v>
      </c>
      <c r="W725" s="115" t="s">
        <v>83</v>
      </c>
      <c r="X725" s="113">
        <f>IF(INDIRECT("W725")="Clássico","12%",IF(INDIRECT("W725")="Premium","17%","-"))</f>
      </c>
      <c r="Y725" s="113" t="s">
        <v>662</v>
      </c>
    </row>
    <row r="726" ht="50.0" customHeight="true">
      <c r="A726" s="113" t="s">
        <v>22</v>
      </c>
      <c r="B726" s="113" t="s">
        <v>2570</v>
      </c>
      <c r="C726" s="113" t="s">
        <v>2571</v>
      </c>
      <c r="D726" s="113" t="s">
        <v>2571</v>
      </c>
      <c r="E726" s="114" t="s">
        <v>1860</v>
      </c>
      <c r="F726" s="116">
        <f>"     "&amp;F725</f>
      </c>
      <c r="G726" s="113" t="s">
        <v>687</v>
      </c>
      <c r="H726" s="113" t="s">
        <v>103</v>
      </c>
      <c r="I726" s="113">
        <f>I725</f>
      </c>
      <c r="J726" s="113">
        <f>J725&amp;"     "</f>
      </c>
      <c r="K726" s="113" t="s">
        <v>81</v>
      </c>
      <c r="L726" s="113">
        <f>L725</f>
      </c>
      <c r="M726" s="113">
        <f>M725</f>
      </c>
      <c r="N726" s="113">
        <f>N725</f>
      </c>
      <c r="O726" s="113">
        <f>O725</f>
      </c>
      <c r="P726" s="113">
        <f>P725</f>
      </c>
      <c r="Q726" s="113">
        <f>Q725</f>
      </c>
      <c r="R726" s="113">
        <f>R725</f>
      </c>
      <c r="S726" s="113">
        <f>S725</f>
      </c>
      <c r="T726" s="113">
        <f>T725</f>
      </c>
      <c r="U726" s="113">
        <f>U725</f>
      </c>
      <c r="V726" s="113">
        <f>V725&amp;"     "</f>
      </c>
      <c r="W726" s="113">
        <f>W725&amp;"     "</f>
      </c>
      <c r="X726" s="113">
        <f>X725</f>
      </c>
      <c r="Y726" s="113" t="s">
        <v>662</v>
      </c>
    </row>
    <row r="727" ht="50.0" customHeight="true">
      <c r="A727" s="113" t="s">
        <v>22</v>
      </c>
      <c r="B727" s="113" t="s">
        <v>2570</v>
      </c>
      <c r="C727" s="113" t="s">
        <v>2572</v>
      </c>
      <c r="D727" s="113" t="s">
        <v>2572</v>
      </c>
      <c r="E727" s="114" t="s">
        <v>1862</v>
      </c>
      <c r="F727" s="116">
        <f>"     "&amp;F725</f>
      </c>
      <c r="G727" s="113" t="s">
        <v>690</v>
      </c>
      <c r="H727" s="113" t="s">
        <v>103</v>
      </c>
      <c r="I727" s="113">
        <f>I725</f>
      </c>
      <c r="J727" s="113">
        <f>J725&amp;"     "</f>
      </c>
      <c r="K727" s="113" t="s">
        <v>81</v>
      </c>
      <c r="L727" s="113">
        <f>L725</f>
      </c>
      <c r="M727" s="113">
        <f>M725</f>
      </c>
      <c r="N727" s="113">
        <f>N725</f>
      </c>
      <c r="O727" s="113">
        <f>O725</f>
      </c>
      <c r="P727" s="113">
        <f>P725</f>
      </c>
      <c r="Q727" s="113">
        <f>Q725</f>
      </c>
      <c r="R727" s="113">
        <f>R725</f>
      </c>
      <c r="S727" s="113">
        <f>S725</f>
      </c>
      <c r="T727" s="113">
        <f>T725</f>
      </c>
      <c r="U727" s="113">
        <f>U725</f>
      </c>
      <c r="V727" s="113">
        <f>V725&amp;"     "</f>
      </c>
      <c r="W727" s="113">
        <f>W725&amp;"     "</f>
      </c>
      <c r="X727" s="113">
        <f>X725</f>
      </c>
      <c r="Y727" s="113" t="s">
        <v>662</v>
      </c>
    </row>
    <row r="728" ht="50.0" customHeight="true">
      <c r="A728" s="113" t="s">
        <v>2573</v>
      </c>
      <c r="B728" s="113" t="s">
        <v>2574</v>
      </c>
      <c r="C728" s="113" t="s">
        <v>2575</v>
      </c>
      <c r="D728" s="113"/>
      <c r="E728" s="114" t="s">
        <v>2576</v>
      </c>
      <c r="F728" s="113" t="s">
        <v>2577</v>
      </c>
      <c r="G728" s="113" t="s">
        <v>493</v>
      </c>
      <c r="H728" s="113" t="s">
        <v>103</v>
      </c>
      <c r="I728" s="115" t="n">
        <v>507.47</v>
      </c>
      <c r="J728" s="115" t="s">
        <v>80</v>
      </c>
      <c r="K728" s="115" t="s">
        <v>81</v>
      </c>
      <c r="L728" s="115" t="n">
        <v>445.19</v>
      </c>
      <c r="M728" s="115" t="n">
        <v>3.0</v>
      </c>
      <c r="N728" s="115"/>
      <c r="O728" s="115"/>
      <c r="P728" s="115"/>
      <c r="Q728" s="115"/>
      <c r="R728" s="115"/>
      <c r="S728" s="115"/>
      <c r="T728" s="115"/>
      <c r="U728" s="115"/>
      <c r="V728" s="115" t="s">
        <v>82</v>
      </c>
      <c r="W728" s="115" t="s">
        <v>92</v>
      </c>
      <c r="X728" s="113">
        <f>IF(INDIRECT("W728")="Clássico","12%",IF(INDIRECT("W728")="Premium","17%","-"))</f>
      </c>
      <c r="Y728" s="113" t="s">
        <v>2578</v>
      </c>
    </row>
    <row r="729" ht="50.0" customHeight="true">
      <c r="A729" s="113" t="s">
        <v>2579</v>
      </c>
      <c r="B729" s="113" t="s">
        <v>2580</v>
      </c>
      <c r="C729" s="113" t="s">
        <v>2581</v>
      </c>
      <c r="D729" s="113"/>
      <c r="E729" s="114" t="s">
        <v>1501</v>
      </c>
      <c r="F729" s="113" t="s">
        <v>2582</v>
      </c>
      <c r="G729" s="113" t="s">
        <v>2582</v>
      </c>
      <c r="H729" s="113" t="s">
        <v>103</v>
      </c>
      <c r="I729" s="115" t="n">
        <v>115.06</v>
      </c>
      <c r="J729" s="115" t="s">
        <v>80</v>
      </c>
      <c r="K729" s="115" t="s">
        <v>81</v>
      </c>
      <c r="L729" s="115" t="n">
        <v>93.72</v>
      </c>
      <c r="M729" s="115" t="n">
        <v>3.0</v>
      </c>
      <c r="N729" s="115"/>
      <c r="O729" s="115"/>
      <c r="P729" s="115"/>
      <c r="Q729" s="115"/>
      <c r="R729" s="115"/>
      <c r="S729" s="115"/>
      <c r="T729" s="115"/>
      <c r="U729" s="115"/>
      <c r="V729" s="115" t="s">
        <v>91</v>
      </c>
      <c r="W729" s="115" t="s">
        <v>92</v>
      </c>
      <c r="X729" s="113">
        <f>IF(INDIRECT("W729")="Clássico","12%",IF(INDIRECT("W729")="Premium","17%","-"))</f>
      </c>
      <c r="Y729" s="113" t="s">
        <v>1098</v>
      </c>
    </row>
    <row r="730" ht="50.0" customHeight="true">
      <c r="A730" s="113" t="s">
        <v>22</v>
      </c>
      <c r="B730" s="113" t="s">
        <v>2583</v>
      </c>
      <c r="C730" s="113"/>
      <c r="D730" s="113"/>
      <c r="E730" s="113" t="s">
        <v>22</v>
      </c>
      <c r="F730" s="113" t="s">
        <v>2584</v>
      </c>
      <c r="G730" s="113" t="s">
        <v>103</v>
      </c>
      <c r="H730" s="113" t="s">
        <v>103</v>
      </c>
      <c r="I730" s="115" t="n">
        <v>163.17</v>
      </c>
      <c r="J730" s="115" t="s">
        <v>80</v>
      </c>
      <c r="K730" s="113" t="s">
        <v>81</v>
      </c>
      <c r="L730" s="115" t="n">
        <v>182.22</v>
      </c>
      <c r="M730" s="115" t="n">
        <v>3.0</v>
      </c>
      <c r="N730" s="115"/>
      <c r="O730" s="115"/>
      <c r="P730" s="115"/>
      <c r="Q730" s="115"/>
      <c r="R730" s="115"/>
      <c r="S730" s="115"/>
      <c r="T730" s="115"/>
      <c r="U730" s="115"/>
      <c r="V730" s="115" t="s">
        <v>82</v>
      </c>
      <c r="W730" s="115" t="s">
        <v>92</v>
      </c>
      <c r="X730" s="113">
        <f>IF(INDIRECT("W730")="Clássico","12%",IF(INDIRECT("W730")="Premium","17%","-"))</f>
      </c>
      <c r="Y730" s="113" t="s">
        <v>2585</v>
      </c>
    </row>
    <row r="731" ht="50.0" customHeight="true">
      <c r="A731" s="113" t="s">
        <v>22</v>
      </c>
      <c r="B731" s="113" t="s">
        <v>2583</v>
      </c>
      <c r="C731" s="113" t="s">
        <v>2586</v>
      </c>
      <c r="D731" s="113" t="s">
        <v>2586</v>
      </c>
      <c r="E731" s="114" t="s">
        <v>2587</v>
      </c>
      <c r="F731" s="116">
        <f>"     "&amp;F730</f>
      </c>
      <c r="G731" s="113" t="s">
        <v>690</v>
      </c>
      <c r="H731" s="113" t="s">
        <v>103</v>
      </c>
      <c r="I731" s="113">
        <f>I730</f>
      </c>
      <c r="J731" s="113">
        <f>J730&amp;"     "</f>
      </c>
      <c r="K731" s="113" t="s">
        <v>81</v>
      </c>
      <c r="L731" s="113">
        <f>L730</f>
      </c>
      <c r="M731" s="113">
        <f>M730</f>
      </c>
      <c r="N731" s="113">
        <f>N730</f>
      </c>
      <c r="O731" s="113">
        <f>O730</f>
      </c>
      <c r="P731" s="113">
        <f>P730</f>
      </c>
      <c r="Q731" s="113">
        <f>Q730</f>
      </c>
      <c r="R731" s="113">
        <f>R730</f>
      </c>
      <c r="S731" s="113">
        <f>S730</f>
      </c>
      <c r="T731" s="113">
        <f>T730</f>
      </c>
      <c r="U731" s="113">
        <f>U730</f>
      </c>
      <c r="V731" s="113">
        <f>V730&amp;"     "</f>
      </c>
      <c r="W731" s="113">
        <f>W730&amp;"     "</f>
      </c>
      <c r="X731" s="113">
        <f>X730</f>
      </c>
      <c r="Y731" s="113" t="s">
        <v>2585</v>
      </c>
    </row>
    <row r="732" ht="50.0" customHeight="true">
      <c r="A732" s="113" t="s">
        <v>22</v>
      </c>
      <c r="B732" s="113" t="s">
        <v>2583</v>
      </c>
      <c r="C732" s="113" t="s">
        <v>2588</v>
      </c>
      <c r="D732" s="113" t="s">
        <v>2588</v>
      </c>
      <c r="E732" s="114" t="s">
        <v>2589</v>
      </c>
      <c r="F732" s="116">
        <f>"     "&amp;F730</f>
      </c>
      <c r="G732" s="113" t="s">
        <v>2590</v>
      </c>
      <c r="H732" s="113" t="s">
        <v>103</v>
      </c>
      <c r="I732" s="113">
        <f>I730</f>
      </c>
      <c r="J732" s="113">
        <f>J730&amp;"     "</f>
      </c>
      <c r="K732" s="113" t="s">
        <v>81</v>
      </c>
      <c r="L732" s="113">
        <f>L730</f>
      </c>
      <c r="M732" s="113">
        <f>M730</f>
      </c>
      <c r="N732" s="113">
        <f>N730</f>
      </c>
      <c r="O732" s="113">
        <f>O730</f>
      </c>
      <c r="P732" s="113">
        <f>P730</f>
      </c>
      <c r="Q732" s="113">
        <f>Q730</f>
      </c>
      <c r="R732" s="113">
        <f>R730</f>
      </c>
      <c r="S732" s="113">
        <f>S730</f>
      </c>
      <c r="T732" s="113">
        <f>T730</f>
      </c>
      <c r="U732" s="113">
        <f>U730</f>
      </c>
      <c r="V732" s="113">
        <f>V730&amp;"     "</f>
      </c>
      <c r="W732" s="113">
        <f>W730&amp;"     "</f>
      </c>
      <c r="X732" s="113">
        <f>X730</f>
      </c>
      <c r="Y732" s="113" t="s">
        <v>2585</v>
      </c>
    </row>
    <row r="733" ht="50.0" customHeight="true">
      <c r="A733" s="113" t="s">
        <v>2591</v>
      </c>
      <c r="B733" s="113" t="s">
        <v>2592</v>
      </c>
      <c r="C733" s="113" t="s">
        <v>2593</v>
      </c>
      <c r="D733" s="113"/>
      <c r="E733" s="114" t="s">
        <v>365</v>
      </c>
      <c r="F733" s="113" t="s">
        <v>2594</v>
      </c>
      <c r="G733" s="113" t="s">
        <v>127</v>
      </c>
      <c r="H733" s="113" t="s">
        <v>103</v>
      </c>
      <c r="I733" s="115" t="n">
        <v>692.29</v>
      </c>
      <c r="J733" s="115" t="s">
        <v>80</v>
      </c>
      <c r="K733" s="115" t="s">
        <v>81</v>
      </c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 t="s">
        <v>82</v>
      </c>
      <c r="W733" s="115" t="s">
        <v>83</v>
      </c>
      <c r="X733" s="113">
        <f>IF(INDIRECT("W733")="Clássico","12%",IF(INDIRECT("W733")="Premium","17%","-"))</f>
      </c>
      <c r="Y733" s="113" t="s">
        <v>367</v>
      </c>
    </row>
    <row r="734" ht="50.0" customHeight="true">
      <c r="A734" s="113" t="s">
        <v>2595</v>
      </c>
      <c r="B734" s="113" t="s">
        <v>2596</v>
      </c>
      <c r="C734" s="113" t="s">
        <v>2597</v>
      </c>
      <c r="D734" s="113"/>
      <c r="E734" s="114" t="s">
        <v>983</v>
      </c>
      <c r="F734" s="113" t="s">
        <v>2598</v>
      </c>
      <c r="G734" s="113" t="s">
        <v>2598</v>
      </c>
      <c r="H734" s="113" t="s">
        <v>103</v>
      </c>
      <c r="I734" s="115" t="n">
        <v>88.48</v>
      </c>
      <c r="J734" s="115" t="s">
        <v>80</v>
      </c>
      <c r="K734" s="115" t="s">
        <v>81</v>
      </c>
      <c r="L734" s="115" t="n">
        <v>83.48</v>
      </c>
      <c r="M734" s="115" t="n">
        <v>3.0</v>
      </c>
      <c r="N734" s="115"/>
      <c r="O734" s="115"/>
      <c r="P734" s="115"/>
      <c r="Q734" s="115"/>
      <c r="R734" s="115"/>
      <c r="S734" s="115"/>
      <c r="T734" s="115"/>
      <c r="U734" s="115"/>
      <c r="V734" s="115" t="s">
        <v>82</v>
      </c>
      <c r="W734" s="115" t="s">
        <v>92</v>
      </c>
      <c r="X734" s="113">
        <f>IF(INDIRECT("W734")="Clássico","11.5%",IF(INDIRECT("W734")="Premium","16.5%","-"))</f>
      </c>
      <c r="Y734" s="113" t="s">
        <v>985</v>
      </c>
    </row>
    <row r="735" ht="50.0" customHeight="true">
      <c r="A735" s="113" t="s">
        <v>2599</v>
      </c>
      <c r="B735" s="113" t="s">
        <v>2600</v>
      </c>
      <c r="C735" s="113" t="s">
        <v>2601</v>
      </c>
      <c r="D735" s="113"/>
      <c r="E735" s="114" t="s">
        <v>1589</v>
      </c>
      <c r="F735" s="113" t="s">
        <v>2602</v>
      </c>
      <c r="G735" s="113" t="s">
        <v>2602</v>
      </c>
      <c r="H735" s="113" t="s">
        <v>103</v>
      </c>
      <c r="I735" s="115" t="n">
        <v>57.98</v>
      </c>
      <c r="J735" s="115" t="s">
        <v>80</v>
      </c>
      <c r="K735" s="115" t="s">
        <v>81</v>
      </c>
      <c r="L735" s="115" t="n">
        <v>53.22</v>
      </c>
      <c r="M735" s="115" t="n">
        <v>3.0</v>
      </c>
      <c r="N735" s="115"/>
      <c r="O735" s="115"/>
      <c r="P735" s="115"/>
      <c r="Q735" s="115"/>
      <c r="R735" s="115"/>
      <c r="S735" s="115"/>
      <c r="T735" s="115"/>
      <c r="U735" s="115"/>
      <c r="V735" s="115" t="s">
        <v>91</v>
      </c>
      <c r="W735" s="115" t="s">
        <v>92</v>
      </c>
      <c r="X735" s="113">
        <f>IF(INDIRECT("W735")="Clássico","11%",IF(INDIRECT("W735")="Premium","16%","-"))</f>
      </c>
      <c r="Y735" s="113" t="s">
        <v>1591</v>
      </c>
    </row>
    <row r="736" ht="50.0" customHeight="true">
      <c r="A736" s="113" t="s">
        <v>2603</v>
      </c>
      <c r="B736" s="113" t="s">
        <v>2604</v>
      </c>
      <c r="C736" s="113" t="s">
        <v>2605</v>
      </c>
      <c r="D736" s="113"/>
      <c r="E736" s="114" t="s">
        <v>1589</v>
      </c>
      <c r="F736" s="113" t="s">
        <v>2606</v>
      </c>
      <c r="G736" s="113" t="s">
        <v>2606</v>
      </c>
      <c r="H736" s="113" t="s">
        <v>103</v>
      </c>
      <c r="I736" s="115" t="n">
        <v>46.9</v>
      </c>
      <c r="J736" s="115" t="s">
        <v>80</v>
      </c>
      <c r="K736" s="115" t="s">
        <v>81</v>
      </c>
      <c r="L736" s="115" t="n">
        <v>54.48</v>
      </c>
      <c r="M736" s="115" t="n">
        <v>3.0</v>
      </c>
      <c r="N736" s="115"/>
      <c r="O736" s="115"/>
      <c r="P736" s="115"/>
      <c r="Q736" s="115"/>
      <c r="R736" s="115"/>
      <c r="S736" s="115"/>
      <c r="T736" s="115"/>
      <c r="U736" s="115"/>
      <c r="V736" s="115" t="s">
        <v>91</v>
      </c>
      <c r="W736" s="115" t="s">
        <v>92</v>
      </c>
      <c r="X736" s="113">
        <f>IF(INDIRECT("W736")="Clássico","13%",IF(INDIRECT("W736")="Premium","18%","-"))</f>
      </c>
      <c r="Y736" s="113" t="s">
        <v>2607</v>
      </c>
    </row>
    <row r="737" ht="50.0" customHeight="true">
      <c r="A737" s="113" t="s">
        <v>2608</v>
      </c>
      <c r="B737" s="113" t="s">
        <v>2609</v>
      </c>
      <c r="C737" s="113" t="s">
        <v>2610</v>
      </c>
      <c r="D737" s="113"/>
      <c r="E737" s="114" t="s">
        <v>1020</v>
      </c>
      <c r="F737" s="113" t="s">
        <v>2611</v>
      </c>
      <c r="G737" s="113" t="s">
        <v>493</v>
      </c>
      <c r="H737" s="113" t="s">
        <v>103</v>
      </c>
      <c r="I737" s="115" t="n">
        <v>145.9</v>
      </c>
      <c r="J737" s="115" t="s">
        <v>80</v>
      </c>
      <c r="K737" s="115" t="s">
        <v>81</v>
      </c>
      <c r="L737" s="115" t="n">
        <v>153.1</v>
      </c>
      <c r="M737" s="115" t="n">
        <v>3.0</v>
      </c>
      <c r="N737" s="115"/>
      <c r="O737" s="115"/>
      <c r="P737" s="115"/>
      <c r="Q737" s="115"/>
      <c r="R737" s="115"/>
      <c r="S737" s="115"/>
      <c r="T737" s="115"/>
      <c r="U737" s="115"/>
      <c r="V737" s="115" t="s">
        <v>82</v>
      </c>
      <c r="W737" s="115" t="s">
        <v>83</v>
      </c>
      <c r="X737" s="113">
        <f>IF(INDIRECT("W737")="Clássico","13%",IF(INDIRECT("W737")="Premium","18%","-"))</f>
      </c>
      <c r="Y737" s="113" t="s">
        <v>1022</v>
      </c>
    </row>
    <row r="738" ht="50.0" customHeight="true">
      <c r="A738" s="113" t="s">
        <v>2612</v>
      </c>
      <c r="B738" s="113" t="s">
        <v>2613</v>
      </c>
      <c r="C738" s="113" t="s">
        <v>2614</v>
      </c>
      <c r="D738" s="113"/>
      <c r="E738" s="114" t="s">
        <v>1208</v>
      </c>
      <c r="F738" s="113" t="s">
        <v>2615</v>
      </c>
      <c r="G738" s="113" t="s">
        <v>2615</v>
      </c>
      <c r="H738" s="113" t="s">
        <v>103</v>
      </c>
      <c r="I738" s="115" t="n">
        <v>43.67</v>
      </c>
      <c r="J738" s="115" t="s">
        <v>80</v>
      </c>
      <c r="K738" s="115" t="s">
        <v>81</v>
      </c>
      <c r="L738" s="115" t="n">
        <v>39.18</v>
      </c>
      <c r="M738" s="115" t="n">
        <v>3.0</v>
      </c>
      <c r="N738" s="115"/>
      <c r="O738" s="115"/>
      <c r="P738" s="115"/>
      <c r="Q738" s="115"/>
      <c r="R738" s="115"/>
      <c r="S738" s="115"/>
      <c r="T738" s="115"/>
      <c r="U738" s="115"/>
      <c r="V738" s="115" t="s">
        <v>91</v>
      </c>
      <c r="W738" s="115" t="s">
        <v>92</v>
      </c>
      <c r="X738" s="113">
        <f>IF(INDIRECT("W738")="Clássico","12%",IF(INDIRECT("W738")="Premium","17%","-"))</f>
      </c>
      <c r="Y738" s="113" t="s">
        <v>1422</v>
      </c>
    </row>
    <row r="739" ht="50.0" customHeight="true">
      <c r="A739" s="113" t="s">
        <v>2616</v>
      </c>
      <c r="B739" s="113" t="s">
        <v>2617</v>
      </c>
      <c r="C739" s="113" t="s">
        <v>2618</v>
      </c>
      <c r="D739" s="113"/>
      <c r="E739" s="114" t="s">
        <v>225</v>
      </c>
      <c r="F739" s="113" t="s">
        <v>2619</v>
      </c>
      <c r="G739" s="113" t="s">
        <v>2619</v>
      </c>
      <c r="H739" s="113" t="s">
        <v>103</v>
      </c>
      <c r="I739" s="115" t="n">
        <v>336.59</v>
      </c>
      <c r="J739" s="115" t="s">
        <v>80</v>
      </c>
      <c r="K739" s="115" t="s">
        <v>81</v>
      </c>
      <c r="L739" s="115" t="n">
        <v>407.54</v>
      </c>
      <c r="M739" s="115" t="n">
        <v>3.0</v>
      </c>
      <c r="N739" s="115"/>
      <c r="O739" s="115"/>
      <c r="P739" s="115"/>
      <c r="Q739" s="115"/>
      <c r="R739" s="115"/>
      <c r="S739" s="115"/>
      <c r="T739" s="115"/>
      <c r="U739" s="115"/>
      <c r="V739" s="115" t="s">
        <v>82</v>
      </c>
      <c r="W739" s="115" t="s">
        <v>83</v>
      </c>
      <c r="X739" s="113">
        <f>IF(INDIRECT("W739")="Clássico","12%",IF(INDIRECT("W739")="Premium","17%","-"))</f>
      </c>
      <c r="Y739" s="113" t="s">
        <v>2620</v>
      </c>
    </row>
    <row r="740" ht="50.0" customHeight="true">
      <c r="A740" s="113" t="s">
        <v>2621</v>
      </c>
      <c r="B740" s="113" t="s">
        <v>2622</v>
      </c>
      <c r="C740" s="113" t="s">
        <v>2623</v>
      </c>
      <c r="D740" s="113"/>
      <c r="E740" s="114" t="s">
        <v>1020</v>
      </c>
      <c r="F740" s="113" t="s">
        <v>2624</v>
      </c>
      <c r="G740" s="113" t="s">
        <v>493</v>
      </c>
      <c r="H740" s="113" t="s">
        <v>103</v>
      </c>
      <c r="I740" s="115" t="n">
        <v>179.74</v>
      </c>
      <c r="J740" s="115" t="s">
        <v>80</v>
      </c>
      <c r="K740" s="115" t="s">
        <v>81</v>
      </c>
      <c r="L740" s="115" t="n">
        <v>174.74</v>
      </c>
      <c r="M740" s="115" t="n">
        <v>3.0</v>
      </c>
      <c r="N740" s="115"/>
      <c r="O740" s="115"/>
      <c r="P740" s="115"/>
      <c r="Q740" s="115"/>
      <c r="R740" s="115"/>
      <c r="S740" s="115"/>
      <c r="T740" s="115"/>
      <c r="U740" s="115"/>
      <c r="V740" s="115" t="s">
        <v>82</v>
      </c>
      <c r="W740" s="115" t="s">
        <v>83</v>
      </c>
      <c r="X740" s="113">
        <f>IF(INDIRECT("W740")="Clássico","13%",IF(INDIRECT("W740")="Premium","18%","-"))</f>
      </c>
      <c r="Y740" s="113" t="s">
        <v>1022</v>
      </c>
    </row>
    <row r="741" ht="50.0" customHeight="true">
      <c r="A741" s="113" t="s">
        <v>2625</v>
      </c>
      <c r="B741" s="113" t="s">
        <v>2626</v>
      </c>
      <c r="C741" s="113" t="s">
        <v>2627</v>
      </c>
      <c r="D741" s="113"/>
      <c r="E741" s="114" t="s">
        <v>480</v>
      </c>
      <c r="F741" s="113" t="s">
        <v>2628</v>
      </c>
      <c r="G741" s="113" t="s">
        <v>2628</v>
      </c>
      <c r="H741" s="113" t="s">
        <v>103</v>
      </c>
      <c r="I741" s="115" t="n">
        <v>167.09</v>
      </c>
      <c r="J741" s="115" t="s">
        <v>80</v>
      </c>
      <c r="K741" s="115" t="s">
        <v>81</v>
      </c>
      <c r="L741" s="115" t="n">
        <v>135.9</v>
      </c>
      <c r="M741" s="115" t="n">
        <v>3.0</v>
      </c>
      <c r="N741" s="115"/>
      <c r="O741" s="115"/>
      <c r="P741" s="115"/>
      <c r="Q741" s="115"/>
      <c r="R741" s="115"/>
      <c r="S741" s="115"/>
      <c r="T741" s="115"/>
      <c r="U741" s="115"/>
      <c r="V741" s="115" t="s">
        <v>82</v>
      </c>
      <c r="W741" s="115" t="s">
        <v>83</v>
      </c>
      <c r="X741" s="113">
        <f>IF(INDIRECT("W741")="Clássico","12%",IF(INDIRECT("W741")="Premium","17%","-"))</f>
      </c>
      <c r="Y741" s="113" t="s">
        <v>482</v>
      </c>
    </row>
    <row r="742" ht="50.0" customHeight="true">
      <c r="A742" s="113" t="s">
        <v>2629</v>
      </c>
      <c r="B742" s="113" t="s">
        <v>2630</v>
      </c>
      <c r="C742" s="113" t="s">
        <v>2631</v>
      </c>
      <c r="D742" s="113"/>
      <c r="E742" s="114" t="s">
        <v>1551</v>
      </c>
      <c r="F742" s="113" t="s">
        <v>2632</v>
      </c>
      <c r="G742" s="113" t="s">
        <v>1554</v>
      </c>
      <c r="H742" s="113" t="s">
        <v>103</v>
      </c>
      <c r="I742" s="115" t="n">
        <v>870.77</v>
      </c>
      <c r="J742" s="115" t="s">
        <v>80</v>
      </c>
      <c r="K742" s="115" t="s">
        <v>81</v>
      </c>
      <c r="L742" s="115" t="n">
        <v>865.77</v>
      </c>
      <c r="M742" s="115" t="n">
        <v>3.0</v>
      </c>
      <c r="N742" s="115"/>
      <c r="O742" s="115"/>
      <c r="P742" s="115"/>
      <c r="Q742" s="115"/>
      <c r="R742" s="115"/>
      <c r="S742" s="115"/>
      <c r="T742" s="115"/>
      <c r="U742" s="115"/>
      <c r="V742" s="115" t="s">
        <v>82</v>
      </c>
      <c r="W742" s="115" t="s">
        <v>83</v>
      </c>
      <c r="X742" s="113">
        <f>IF(INDIRECT("W742")="Clássico","12%",IF(INDIRECT("W742")="Premium","17%","-"))</f>
      </c>
      <c r="Y742" s="113" t="s">
        <v>1180</v>
      </c>
    </row>
    <row r="743" ht="50.0" customHeight="true">
      <c r="A743" s="113" t="s">
        <v>1498</v>
      </c>
      <c r="B743" s="113" t="s">
        <v>2633</v>
      </c>
      <c r="C743" s="113" t="s">
        <v>2634</v>
      </c>
      <c r="D743" s="113"/>
      <c r="E743" s="114" t="s">
        <v>1501</v>
      </c>
      <c r="F743" s="113" t="s">
        <v>1502</v>
      </c>
      <c r="G743" s="113" t="s">
        <v>1502</v>
      </c>
      <c r="H743" s="113" t="s">
        <v>103</v>
      </c>
      <c r="I743" s="115" t="n">
        <v>135.32</v>
      </c>
      <c r="J743" s="115" t="s">
        <v>80</v>
      </c>
      <c r="K743" s="115" t="s">
        <v>81</v>
      </c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 t="s">
        <v>82</v>
      </c>
      <c r="W743" s="115" t="s">
        <v>83</v>
      </c>
      <c r="X743" s="113">
        <f>IF(INDIRECT("W743")="Clássico","12%",IF(INDIRECT("W743")="Premium","17%","-"))</f>
      </c>
      <c r="Y743" s="113" t="s">
        <v>1098</v>
      </c>
    </row>
    <row r="744" ht="50.0" customHeight="true">
      <c r="A744" s="113" t="s">
        <v>2635</v>
      </c>
      <c r="B744" s="113" t="s">
        <v>2636</v>
      </c>
      <c r="C744" s="113" t="s">
        <v>2637</v>
      </c>
      <c r="D744" s="113"/>
      <c r="E744" s="114" t="s">
        <v>1328</v>
      </c>
      <c r="F744" s="113" t="s">
        <v>2638</v>
      </c>
      <c r="G744" s="113" t="s">
        <v>2638</v>
      </c>
      <c r="H744" s="113" t="s">
        <v>103</v>
      </c>
      <c r="I744" s="115" t="n">
        <v>164.52</v>
      </c>
      <c r="J744" s="115" t="s">
        <v>80</v>
      </c>
      <c r="K744" s="115" t="s">
        <v>81</v>
      </c>
      <c r="L744" s="115" t="n">
        <v>159.52</v>
      </c>
      <c r="M744" s="115" t="n">
        <v>3.0</v>
      </c>
      <c r="N744" s="115"/>
      <c r="O744" s="115"/>
      <c r="P744" s="115"/>
      <c r="Q744" s="115"/>
      <c r="R744" s="115"/>
      <c r="S744" s="115"/>
      <c r="T744" s="115"/>
      <c r="U744" s="115"/>
      <c r="V744" s="115" t="s">
        <v>82</v>
      </c>
      <c r="W744" s="115" t="s">
        <v>83</v>
      </c>
      <c r="X744" s="113">
        <f>IF(INDIRECT("W744")="Clássico","12%",IF(INDIRECT("W744")="Premium","17%","-"))</f>
      </c>
      <c r="Y744" s="113" t="s">
        <v>1330</v>
      </c>
    </row>
    <row r="745" ht="50.0" customHeight="true">
      <c r="A745" s="113" t="s">
        <v>2639</v>
      </c>
      <c r="B745" s="113" t="s">
        <v>2640</v>
      </c>
      <c r="C745" s="113" t="s">
        <v>2641</v>
      </c>
      <c r="D745" s="113"/>
      <c r="E745" s="114" t="s">
        <v>2642</v>
      </c>
      <c r="F745" s="113" t="s">
        <v>2643</v>
      </c>
      <c r="G745" s="113" t="s">
        <v>2643</v>
      </c>
      <c r="H745" s="113" t="s">
        <v>103</v>
      </c>
      <c r="I745" s="115" t="n">
        <v>221.4</v>
      </c>
      <c r="J745" s="115" t="s">
        <v>80</v>
      </c>
      <c r="K745" s="115" t="s">
        <v>81</v>
      </c>
      <c r="L745" s="115" t="n">
        <v>226.65</v>
      </c>
      <c r="M745" s="115" t="n">
        <v>3.0</v>
      </c>
      <c r="N745" s="115"/>
      <c r="O745" s="115"/>
      <c r="P745" s="115"/>
      <c r="Q745" s="115"/>
      <c r="R745" s="115"/>
      <c r="S745" s="115"/>
      <c r="T745" s="115"/>
      <c r="U745" s="115"/>
      <c r="V745" s="115" t="s">
        <v>82</v>
      </c>
      <c r="W745" s="115" t="s">
        <v>92</v>
      </c>
      <c r="X745" s="113">
        <f>IF(INDIRECT("W745")="Clássico","12%",IF(INDIRECT("W745")="Premium","17%","-"))</f>
      </c>
      <c r="Y745" s="113" t="s">
        <v>482</v>
      </c>
    </row>
    <row r="746" ht="50.0" customHeight="true">
      <c r="A746" s="113" t="s">
        <v>2644</v>
      </c>
      <c r="B746" s="113" t="s">
        <v>2645</v>
      </c>
      <c r="C746" s="113" t="s">
        <v>2646</v>
      </c>
      <c r="D746" s="113"/>
      <c r="E746" s="114" t="s">
        <v>295</v>
      </c>
      <c r="F746" s="113" t="s">
        <v>2647</v>
      </c>
      <c r="G746" s="113" t="s">
        <v>2647</v>
      </c>
      <c r="H746" s="113" t="s">
        <v>103</v>
      </c>
      <c r="I746" s="115" t="n">
        <v>116.33</v>
      </c>
      <c r="J746" s="115" t="s">
        <v>80</v>
      </c>
      <c r="K746" s="115" t="s">
        <v>81</v>
      </c>
      <c r="L746" s="115" t="n">
        <v>111.33</v>
      </c>
      <c r="M746" s="115" t="n">
        <v>3.0</v>
      </c>
      <c r="N746" s="115"/>
      <c r="O746" s="115"/>
      <c r="P746" s="115"/>
      <c r="Q746" s="115"/>
      <c r="R746" s="115"/>
      <c r="S746" s="115"/>
      <c r="T746" s="115"/>
      <c r="U746" s="115"/>
      <c r="V746" s="115" t="s">
        <v>82</v>
      </c>
      <c r="W746" s="115" t="s">
        <v>92</v>
      </c>
      <c r="X746" s="113">
        <f>IF(INDIRECT("W746")="Clássico","12%",IF(INDIRECT("W746")="Premium","17%","-"))</f>
      </c>
      <c r="Y746" s="113" t="s">
        <v>297</v>
      </c>
    </row>
    <row r="747" ht="50.0" customHeight="true">
      <c r="A747" s="113" t="s">
        <v>2648</v>
      </c>
      <c r="B747" s="113" t="s">
        <v>2649</v>
      </c>
      <c r="C747" s="113" t="s">
        <v>2650</v>
      </c>
      <c r="D747" s="113"/>
      <c r="E747" s="114" t="s">
        <v>2651</v>
      </c>
      <c r="F747" s="113" t="s">
        <v>2652</v>
      </c>
      <c r="G747" s="113" t="s">
        <v>2652</v>
      </c>
      <c r="H747" s="113" t="s">
        <v>103</v>
      </c>
      <c r="I747" s="115" t="n">
        <v>235.32</v>
      </c>
      <c r="J747" s="115" t="s">
        <v>80</v>
      </c>
      <c r="K747" s="113" t="s">
        <v>81</v>
      </c>
      <c r="L747" s="115" t="n">
        <v>231.7</v>
      </c>
      <c r="M747" s="115" t="n">
        <v>3.0</v>
      </c>
      <c r="N747" s="115"/>
      <c r="O747" s="115"/>
      <c r="P747" s="115"/>
      <c r="Q747" s="115"/>
      <c r="R747" s="115"/>
      <c r="S747" s="115"/>
      <c r="T747" s="115"/>
      <c r="U747" s="115"/>
      <c r="V747" s="115" t="s">
        <v>82</v>
      </c>
      <c r="W747" s="115" t="s">
        <v>83</v>
      </c>
      <c r="X747" s="113">
        <f>IF(INDIRECT("W747")="Clássico","12%",IF(INDIRECT("W747")="Premium","17%","-"))</f>
      </c>
      <c r="Y747" s="113" t="s">
        <v>2653</v>
      </c>
    </row>
    <row r="748" ht="50.0" customHeight="true">
      <c r="A748" s="113" t="s">
        <v>826</v>
      </c>
      <c r="B748" s="113" t="s">
        <v>2654</v>
      </c>
      <c r="C748" s="113" t="s">
        <v>2655</v>
      </c>
      <c r="D748" s="113"/>
      <c r="E748" s="114" t="s">
        <v>829</v>
      </c>
      <c r="F748" s="113" t="s">
        <v>830</v>
      </c>
      <c r="G748" s="113" t="s">
        <v>830</v>
      </c>
      <c r="H748" s="113" t="s">
        <v>103</v>
      </c>
      <c r="I748" s="115" t="n">
        <v>722.67</v>
      </c>
      <c r="J748" s="115" t="s">
        <v>80</v>
      </c>
      <c r="K748" s="115" t="s">
        <v>81</v>
      </c>
      <c r="L748" s="115" t="n">
        <v>713.87</v>
      </c>
      <c r="M748" s="115" t="n">
        <v>3.0</v>
      </c>
      <c r="N748" s="115"/>
      <c r="O748" s="115"/>
      <c r="P748" s="115"/>
      <c r="Q748" s="115"/>
      <c r="R748" s="115"/>
      <c r="S748" s="115"/>
      <c r="T748" s="115"/>
      <c r="U748" s="115"/>
      <c r="V748" s="115" t="s">
        <v>82</v>
      </c>
      <c r="W748" s="115" t="s">
        <v>83</v>
      </c>
      <c r="X748" s="113">
        <f>IF(INDIRECT("W748")="Clássico","12%",IF(INDIRECT("W748")="Premium","17%","-"))</f>
      </c>
      <c r="Y748" s="113" t="s">
        <v>551</v>
      </c>
    </row>
    <row r="749" ht="50.0" customHeight="true">
      <c r="A749" s="113" t="s">
        <v>2656</v>
      </c>
      <c r="B749" s="113" t="s">
        <v>2657</v>
      </c>
      <c r="C749" s="113" t="s">
        <v>2658</v>
      </c>
      <c r="D749" s="113"/>
      <c r="E749" s="114" t="s">
        <v>1964</v>
      </c>
      <c r="F749" s="113" t="s">
        <v>2659</v>
      </c>
      <c r="G749" s="113" t="s">
        <v>1512</v>
      </c>
      <c r="H749" s="113" t="s">
        <v>103</v>
      </c>
      <c r="I749" s="115" t="n">
        <v>217.6</v>
      </c>
      <c r="J749" s="115" t="s">
        <v>80</v>
      </c>
      <c r="K749" s="115" t="s">
        <v>81</v>
      </c>
      <c r="L749" s="115" t="n">
        <v>229.05</v>
      </c>
      <c r="M749" s="115" t="n">
        <v>3.0</v>
      </c>
      <c r="N749" s="115"/>
      <c r="O749" s="115"/>
      <c r="P749" s="115"/>
      <c r="Q749" s="115"/>
      <c r="R749" s="115"/>
      <c r="S749" s="115"/>
      <c r="T749" s="115"/>
      <c r="U749" s="115"/>
      <c r="V749" s="115" t="s">
        <v>82</v>
      </c>
      <c r="W749" s="115" t="s">
        <v>83</v>
      </c>
      <c r="X749" s="113">
        <f>IF(INDIRECT("W749")="Clássico","12%",IF(INDIRECT("W749")="Premium","17%","-"))</f>
      </c>
      <c r="Y749" s="113" t="s">
        <v>662</v>
      </c>
    </row>
    <row r="750" ht="50.0" customHeight="true">
      <c r="A750" s="113" t="s">
        <v>2660</v>
      </c>
      <c r="B750" s="113" t="s">
        <v>2661</v>
      </c>
      <c r="C750" s="113" t="s">
        <v>2662</v>
      </c>
      <c r="D750" s="113"/>
      <c r="E750" s="114" t="s">
        <v>2098</v>
      </c>
      <c r="F750" s="113" t="s">
        <v>2663</v>
      </c>
      <c r="G750" s="113" t="s">
        <v>493</v>
      </c>
      <c r="H750" s="113" t="s">
        <v>103</v>
      </c>
      <c r="I750" s="115" t="n">
        <v>312.54</v>
      </c>
      <c r="J750" s="115" t="s">
        <v>80</v>
      </c>
      <c r="K750" s="115" t="s">
        <v>81</v>
      </c>
      <c r="L750" s="115" t="n">
        <v>308.92</v>
      </c>
      <c r="M750" s="115" t="n">
        <v>3.0</v>
      </c>
      <c r="N750" s="115"/>
      <c r="O750" s="115"/>
      <c r="P750" s="115"/>
      <c r="Q750" s="115"/>
      <c r="R750" s="115"/>
      <c r="S750" s="115"/>
      <c r="T750" s="115"/>
      <c r="U750" s="115"/>
      <c r="V750" s="115" t="s">
        <v>82</v>
      </c>
      <c r="W750" s="115" t="s">
        <v>92</v>
      </c>
      <c r="X750" s="113">
        <f>IF(INDIRECT("W750")="Clássico","12%",IF(INDIRECT("W750")="Premium","17%","-"))</f>
      </c>
      <c r="Y750" s="113" t="s">
        <v>229</v>
      </c>
    </row>
    <row r="751" ht="50.0" customHeight="true">
      <c r="A751" s="113" t="s">
        <v>2664</v>
      </c>
      <c r="B751" s="113" t="s">
        <v>2665</v>
      </c>
      <c r="C751" s="113" t="s">
        <v>2666</v>
      </c>
      <c r="D751" s="113"/>
      <c r="E751" s="114" t="s">
        <v>395</v>
      </c>
      <c r="F751" s="113" t="s">
        <v>2667</v>
      </c>
      <c r="G751" s="113" t="s">
        <v>2667</v>
      </c>
      <c r="H751" s="113" t="s">
        <v>103</v>
      </c>
      <c r="I751" s="115" t="n">
        <v>41.65</v>
      </c>
      <c r="J751" s="115" t="s">
        <v>80</v>
      </c>
      <c r="K751" s="115" t="s">
        <v>81</v>
      </c>
      <c r="L751" s="115" t="n">
        <v>50.06</v>
      </c>
      <c r="M751" s="115" t="n">
        <v>3.0</v>
      </c>
      <c r="N751" s="115"/>
      <c r="O751" s="115"/>
      <c r="P751" s="115"/>
      <c r="Q751" s="115"/>
      <c r="R751" s="115"/>
      <c r="S751" s="115"/>
      <c r="T751" s="115"/>
      <c r="U751" s="115"/>
      <c r="V751" s="115" t="s">
        <v>91</v>
      </c>
      <c r="W751" s="115" t="s">
        <v>92</v>
      </c>
      <c r="X751" s="113">
        <f>IF(INDIRECT("W751")="Clássico","12%",IF(INDIRECT("W751")="Premium","17%","-"))</f>
      </c>
      <c r="Y751" s="113" t="s">
        <v>397</v>
      </c>
    </row>
    <row r="752" ht="50.0" customHeight="true">
      <c r="A752" s="113" t="s">
        <v>2668</v>
      </c>
      <c r="B752" s="113" t="s">
        <v>2669</v>
      </c>
      <c r="C752" s="113" t="s">
        <v>2670</v>
      </c>
      <c r="D752" s="113"/>
      <c r="E752" s="114" t="s">
        <v>694</v>
      </c>
      <c r="F752" s="113" t="s">
        <v>2671</v>
      </c>
      <c r="G752" s="113" t="s">
        <v>2671</v>
      </c>
      <c r="H752" s="113" t="s">
        <v>103</v>
      </c>
      <c r="I752" s="115" t="n">
        <v>75.95</v>
      </c>
      <c r="J752" s="115" t="s">
        <v>80</v>
      </c>
      <c r="K752" s="115" t="s">
        <v>81</v>
      </c>
      <c r="L752" s="115" t="n">
        <v>105.12</v>
      </c>
      <c r="M752" s="115" t="n">
        <v>3.0</v>
      </c>
      <c r="N752" s="115"/>
      <c r="O752" s="115"/>
      <c r="P752" s="115"/>
      <c r="Q752" s="115"/>
      <c r="R752" s="115"/>
      <c r="S752" s="115"/>
      <c r="T752" s="115"/>
      <c r="U752" s="115"/>
      <c r="V752" s="115" t="s">
        <v>91</v>
      </c>
      <c r="W752" s="115" t="s">
        <v>83</v>
      </c>
      <c r="X752" s="113">
        <f>IF(INDIRECT("W752")="Clássico","12%",IF(INDIRECT("W752")="Premium","17%","-"))</f>
      </c>
      <c r="Y752" s="113" t="s">
        <v>245</v>
      </c>
    </row>
    <row r="753" ht="50.0" customHeight="true">
      <c r="A753" s="113" t="s">
        <v>1507</v>
      </c>
      <c r="B753" s="113" t="s">
        <v>2672</v>
      </c>
      <c r="C753" s="113" t="s">
        <v>2673</v>
      </c>
      <c r="D753" s="113"/>
      <c r="E753" s="114" t="s">
        <v>1510</v>
      </c>
      <c r="F753" s="113" t="s">
        <v>1511</v>
      </c>
      <c r="G753" s="113" t="s">
        <v>1512</v>
      </c>
      <c r="H753" s="113" t="s">
        <v>103</v>
      </c>
      <c r="I753" s="115" t="n">
        <v>150.51</v>
      </c>
      <c r="J753" s="115" t="s">
        <v>80</v>
      </c>
      <c r="K753" s="115" t="s">
        <v>81</v>
      </c>
      <c r="L753" s="115" t="n">
        <v>93.61</v>
      </c>
      <c r="M753" s="115" t="n">
        <v>3.0</v>
      </c>
      <c r="N753" s="115"/>
      <c r="O753" s="115"/>
      <c r="P753" s="115"/>
      <c r="Q753" s="115"/>
      <c r="R753" s="115"/>
      <c r="S753" s="115"/>
      <c r="T753" s="115"/>
      <c r="U753" s="115"/>
      <c r="V753" s="115" t="s">
        <v>82</v>
      </c>
      <c r="W753" s="115" t="s">
        <v>92</v>
      </c>
      <c r="X753" s="113">
        <f>IF(INDIRECT("W753")="Clássico","12%",IF(INDIRECT("W753")="Premium","17%","-"))</f>
      </c>
      <c r="Y753" s="113" t="s">
        <v>662</v>
      </c>
    </row>
    <row r="754" ht="50.0" customHeight="true">
      <c r="A754" s="113" t="s">
        <v>2168</v>
      </c>
      <c r="B754" s="113" t="s">
        <v>2674</v>
      </c>
      <c r="C754" s="113" t="s">
        <v>2675</v>
      </c>
      <c r="D754" s="113"/>
      <c r="E754" s="114" t="s">
        <v>1912</v>
      </c>
      <c r="F754" s="113" t="s">
        <v>2171</v>
      </c>
      <c r="G754" s="113" t="s">
        <v>2171</v>
      </c>
      <c r="H754" s="113" t="s">
        <v>103</v>
      </c>
      <c r="I754" s="115" t="n">
        <v>351.89</v>
      </c>
      <c r="J754" s="115" t="s">
        <v>80</v>
      </c>
      <c r="K754" s="115" t="s">
        <v>81</v>
      </c>
      <c r="L754" s="115" t="n">
        <v>346.89</v>
      </c>
      <c r="M754" s="115" t="n">
        <v>3.0</v>
      </c>
      <c r="N754" s="115"/>
      <c r="O754" s="115"/>
      <c r="P754" s="115"/>
      <c r="Q754" s="115"/>
      <c r="R754" s="115"/>
      <c r="S754" s="115"/>
      <c r="T754" s="115"/>
      <c r="U754" s="115"/>
      <c r="V754" s="115" t="s">
        <v>82</v>
      </c>
      <c r="W754" s="115" t="s">
        <v>92</v>
      </c>
      <c r="X754" s="113">
        <f>IF(INDIRECT("W754")="Clássico","13%",IF(INDIRECT("W754")="Premium","18%","-"))</f>
      </c>
      <c r="Y754" s="113" t="s">
        <v>1914</v>
      </c>
    </row>
    <row r="755" ht="50.0" customHeight="true">
      <c r="A755" s="113" t="s">
        <v>2676</v>
      </c>
      <c r="B755" s="113" t="s">
        <v>2677</v>
      </c>
      <c r="C755" s="113" t="s">
        <v>2678</v>
      </c>
      <c r="D755" s="113"/>
      <c r="E755" s="114" t="s">
        <v>2309</v>
      </c>
      <c r="F755" s="113" t="s">
        <v>2679</v>
      </c>
      <c r="G755" s="113" t="s">
        <v>518</v>
      </c>
      <c r="H755" s="113" t="s">
        <v>103</v>
      </c>
      <c r="I755" s="115" t="n">
        <v>25.9</v>
      </c>
      <c r="J755" s="115" t="s">
        <v>80</v>
      </c>
      <c r="K755" s="113" t="s">
        <v>81</v>
      </c>
      <c r="L755" s="115" t="n">
        <v>34.9</v>
      </c>
      <c r="M755" s="115" t="n">
        <v>3.0</v>
      </c>
      <c r="N755" s="115"/>
      <c r="O755" s="115"/>
      <c r="P755" s="115"/>
      <c r="Q755" s="115"/>
      <c r="R755" s="115"/>
      <c r="S755" s="115"/>
      <c r="T755" s="115"/>
      <c r="U755" s="115"/>
      <c r="V755" s="115" t="s">
        <v>91</v>
      </c>
      <c r="W755" s="115" t="s">
        <v>92</v>
      </c>
      <c r="X755" s="113">
        <f>IF(INDIRECT("W755")="Clássico","11.5%",IF(INDIRECT("W755")="Premium","16.5%","-"))</f>
      </c>
      <c r="Y755" s="113" t="s">
        <v>519</v>
      </c>
    </row>
    <row r="756" ht="50.0" customHeight="true">
      <c r="A756" s="113" t="s">
        <v>22</v>
      </c>
      <c r="B756" s="113" t="s">
        <v>2680</v>
      </c>
      <c r="C756" s="113"/>
      <c r="D756" s="113"/>
      <c r="E756" s="113" t="s">
        <v>22</v>
      </c>
      <c r="F756" s="113" t="s">
        <v>2681</v>
      </c>
      <c r="G756" s="113" t="s">
        <v>103</v>
      </c>
      <c r="H756" s="113" t="s">
        <v>103</v>
      </c>
      <c r="I756" s="115" t="n">
        <v>175.89</v>
      </c>
      <c r="J756" s="115" t="s">
        <v>80</v>
      </c>
      <c r="K756" s="113" t="s">
        <v>81</v>
      </c>
      <c r="L756" s="115" t="n">
        <v>170.89</v>
      </c>
      <c r="M756" s="115" t="n">
        <v>3.0</v>
      </c>
      <c r="N756" s="115"/>
      <c r="O756" s="115"/>
      <c r="P756" s="115"/>
      <c r="Q756" s="115"/>
      <c r="R756" s="115"/>
      <c r="S756" s="115"/>
      <c r="T756" s="115"/>
      <c r="U756" s="115"/>
      <c r="V756" s="115" t="s">
        <v>82</v>
      </c>
      <c r="W756" s="115" t="s">
        <v>92</v>
      </c>
      <c r="X756" s="113">
        <f>IF(INDIRECT("W756")="Clássico","12%",IF(INDIRECT("W756")="Premium","17%","-"))</f>
      </c>
      <c r="Y756" s="113" t="s">
        <v>2276</v>
      </c>
    </row>
    <row r="757" ht="50.0" customHeight="true">
      <c r="A757" s="113" t="s">
        <v>22</v>
      </c>
      <c r="B757" s="113" t="s">
        <v>2680</v>
      </c>
      <c r="C757" s="113" t="s">
        <v>2682</v>
      </c>
      <c r="D757" s="113" t="s">
        <v>2682</v>
      </c>
      <c r="E757" s="114" t="s">
        <v>1087</v>
      </c>
      <c r="F757" s="116">
        <f>"     "&amp;F756</f>
      </c>
      <c r="G757" s="113" t="s">
        <v>690</v>
      </c>
      <c r="H757" s="113" t="s">
        <v>103</v>
      </c>
      <c r="I757" s="113">
        <f>I756</f>
      </c>
      <c r="J757" s="113">
        <f>J756&amp;"     "</f>
      </c>
      <c r="K757" s="113" t="s">
        <v>81</v>
      </c>
      <c r="L757" s="113">
        <f>L756</f>
      </c>
      <c r="M757" s="113">
        <f>M756</f>
      </c>
      <c r="N757" s="113">
        <f>N756</f>
      </c>
      <c r="O757" s="113">
        <f>O756</f>
      </c>
      <c r="P757" s="113">
        <f>P756</f>
      </c>
      <c r="Q757" s="113">
        <f>Q756</f>
      </c>
      <c r="R757" s="113">
        <f>R756</f>
      </c>
      <c r="S757" s="113">
        <f>S756</f>
      </c>
      <c r="T757" s="113">
        <f>T756</f>
      </c>
      <c r="U757" s="113">
        <f>U756</f>
      </c>
      <c r="V757" s="113">
        <f>V756&amp;"     "</f>
      </c>
      <c r="W757" s="113">
        <f>W756&amp;"     "</f>
      </c>
      <c r="X757" s="113">
        <f>X756</f>
      </c>
      <c r="Y757" s="113" t="s">
        <v>2276</v>
      </c>
    </row>
    <row r="758" ht="50.0" customHeight="true">
      <c r="A758" s="113" t="s">
        <v>22</v>
      </c>
      <c r="B758" s="113" t="s">
        <v>2680</v>
      </c>
      <c r="C758" s="113" t="s">
        <v>2683</v>
      </c>
      <c r="D758" s="113" t="s">
        <v>2683</v>
      </c>
      <c r="E758" s="114" t="s">
        <v>1089</v>
      </c>
      <c r="F758" s="116">
        <f>"     "&amp;F756</f>
      </c>
      <c r="G758" s="113" t="s">
        <v>687</v>
      </c>
      <c r="H758" s="113" t="s">
        <v>103</v>
      </c>
      <c r="I758" s="113">
        <f>I756</f>
      </c>
      <c r="J758" s="113">
        <f>J756&amp;"     "</f>
      </c>
      <c r="K758" s="113" t="s">
        <v>81</v>
      </c>
      <c r="L758" s="113">
        <f>L756</f>
      </c>
      <c r="M758" s="113">
        <f>M756</f>
      </c>
      <c r="N758" s="113">
        <f>N756</f>
      </c>
      <c r="O758" s="113">
        <f>O756</f>
      </c>
      <c r="P758" s="113">
        <f>P756</f>
      </c>
      <c r="Q758" s="113">
        <f>Q756</f>
      </c>
      <c r="R758" s="113">
        <f>R756</f>
      </c>
      <c r="S758" s="113">
        <f>S756</f>
      </c>
      <c r="T758" s="113">
        <f>T756</f>
      </c>
      <c r="U758" s="113">
        <f>U756</f>
      </c>
      <c r="V758" s="113">
        <f>V756&amp;"     "</f>
      </c>
      <c r="W758" s="113">
        <f>W756&amp;"     "</f>
      </c>
      <c r="X758" s="113">
        <f>X756</f>
      </c>
      <c r="Y758" s="113" t="s">
        <v>2276</v>
      </c>
    </row>
    <row r="759" ht="50.0" customHeight="true">
      <c r="A759" s="113" t="s">
        <v>2684</v>
      </c>
      <c r="B759" s="113" t="s">
        <v>2685</v>
      </c>
      <c r="C759" s="113" t="s">
        <v>2686</v>
      </c>
      <c r="D759" s="113"/>
      <c r="E759" s="114" t="s">
        <v>411</v>
      </c>
      <c r="F759" s="113" t="s">
        <v>2687</v>
      </c>
      <c r="G759" s="113" t="s">
        <v>566</v>
      </c>
      <c r="H759" s="113" t="s">
        <v>103</v>
      </c>
      <c r="I759" s="115" t="n">
        <v>436.59</v>
      </c>
      <c r="J759" s="115" t="s">
        <v>80</v>
      </c>
      <c r="K759" s="115" t="s">
        <v>81</v>
      </c>
      <c r="L759" s="115" t="n">
        <v>430.85</v>
      </c>
      <c r="M759" s="115" t="n">
        <v>3.0</v>
      </c>
      <c r="N759" s="115"/>
      <c r="O759" s="115"/>
      <c r="P759" s="115"/>
      <c r="Q759" s="115"/>
      <c r="R759" s="115"/>
      <c r="S759" s="115"/>
      <c r="T759" s="115"/>
      <c r="U759" s="115"/>
      <c r="V759" s="115" t="s">
        <v>82</v>
      </c>
      <c r="W759" s="115" t="s">
        <v>92</v>
      </c>
      <c r="X759" s="113">
        <f>IF(INDIRECT("W759")="Clássico","12%",IF(INDIRECT("W759")="Premium","17%","-"))</f>
      </c>
      <c r="Y759" s="113" t="s">
        <v>414</v>
      </c>
    </row>
    <row r="760" ht="50.0" customHeight="true">
      <c r="A760" s="113" t="s">
        <v>2688</v>
      </c>
      <c r="B760" s="113" t="s">
        <v>2689</v>
      </c>
      <c r="C760" s="113" t="s">
        <v>2690</v>
      </c>
      <c r="D760" s="113"/>
      <c r="E760" s="114" t="s">
        <v>1749</v>
      </c>
      <c r="F760" s="113" t="s">
        <v>2691</v>
      </c>
      <c r="G760" s="113" t="s">
        <v>2691</v>
      </c>
      <c r="H760" s="113" t="s">
        <v>103</v>
      </c>
      <c r="I760" s="115" t="n">
        <v>65.7</v>
      </c>
      <c r="J760" s="115" t="s">
        <v>80</v>
      </c>
      <c r="K760" s="115" t="s">
        <v>81</v>
      </c>
      <c r="L760" s="115" t="n">
        <v>59.98</v>
      </c>
      <c r="M760" s="115" t="n">
        <v>3.0</v>
      </c>
      <c r="N760" s="115"/>
      <c r="O760" s="115"/>
      <c r="P760" s="115"/>
      <c r="Q760" s="115"/>
      <c r="R760" s="115"/>
      <c r="S760" s="115"/>
      <c r="T760" s="115"/>
      <c r="U760" s="115"/>
      <c r="V760" s="115" t="s">
        <v>91</v>
      </c>
      <c r="W760" s="115" t="s">
        <v>92</v>
      </c>
      <c r="X760" s="113">
        <f>IF(INDIRECT("W760")="Clássico","12%",IF(INDIRECT("W760")="Premium","17%","-"))</f>
      </c>
      <c r="Y760" s="113" t="s">
        <v>2692</v>
      </c>
    </row>
    <row r="761" ht="50.0" customHeight="true">
      <c r="A761" s="113" t="s">
        <v>2693</v>
      </c>
      <c r="B761" s="113" t="s">
        <v>2694</v>
      </c>
      <c r="C761" s="113" t="s">
        <v>2695</v>
      </c>
      <c r="D761" s="113"/>
      <c r="E761" s="114" t="s">
        <v>2696</v>
      </c>
      <c r="F761" s="113" t="s">
        <v>2697</v>
      </c>
      <c r="G761" s="113" t="s">
        <v>518</v>
      </c>
      <c r="H761" s="113" t="s">
        <v>103</v>
      </c>
      <c r="I761" s="115" t="n">
        <v>41.65</v>
      </c>
      <c r="J761" s="115" t="s">
        <v>80</v>
      </c>
      <c r="K761" s="113" t="s">
        <v>81</v>
      </c>
      <c r="L761" s="115" t="n">
        <v>36.65</v>
      </c>
      <c r="M761" s="115" t="n">
        <v>3.0</v>
      </c>
      <c r="N761" s="115"/>
      <c r="O761" s="115"/>
      <c r="P761" s="115"/>
      <c r="Q761" s="115"/>
      <c r="R761" s="115"/>
      <c r="S761" s="115"/>
      <c r="T761" s="115"/>
      <c r="U761" s="115"/>
      <c r="V761" s="115" t="s">
        <v>91</v>
      </c>
      <c r="W761" s="115" t="s">
        <v>92</v>
      </c>
      <c r="X761" s="113">
        <f>IF(INDIRECT("W761")="Clássico","11.5%",IF(INDIRECT("W761")="Premium","16.5%","-"))</f>
      </c>
      <c r="Y761" s="113" t="s">
        <v>519</v>
      </c>
    </row>
    <row r="762" ht="50.0" customHeight="true">
      <c r="A762" s="113" t="s">
        <v>2698</v>
      </c>
      <c r="B762" s="113" t="s">
        <v>2699</v>
      </c>
      <c r="C762" s="113" t="s">
        <v>2700</v>
      </c>
      <c r="D762" s="113"/>
      <c r="E762" s="114" t="s">
        <v>2701</v>
      </c>
      <c r="F762" s="113" t="s">
        <v>2702</v>
      </c>
      <c r="G762" s="113" t="s">
        <v>2702</v>
      </c>
      <c r="H762" s="113" t="s">
        <v>103</v>
      </c>
      <c r="I762" s="115" t="n">
        <v>53.9</v>
      </c>
      <c r="J762" s="115" t="s">
        <v>80</v>
      </c>
      <c r="K762" s="115" t="s">
        <v>81</v>
      </c>
      <c r="L762" s="115" t="n">
        <v>48.9</v>
      </c>
      <c r="M762" s="115" t="n">
        <v>3.0</v>
      </c>
      <c r="N762" s="115"/>
      <c r="O762" s="115"/>
      <c r="P762" s="115"/>
      <c r="Q762" s="115"/>
      <c r="R762" s="115"/>
      <c r="S762" s="115"/>
      <c r="T762" s="115"/>
      <c r="U762" s="115"/>
      <c r="V762" s="115" t="s">
        <v>91</v>
      </c>
      <c r="W762" s="115" t="s">
        <v>92</v>
      </c>
      <c r="X762" s="113">
        <f>IF(INDIRECT("W762")="Clássico","12%",IF(INDIRECT("W762")="Premium","17%","-"))</f>
      </c>
      <c r="Y762" s="113" t="s">
        <v>1979</v>
      </c>
    </row>
    <row r="763" ht="50.0" customHeight="true">
      <c r="A763" s="113" t="s">
        <v>2703</v>
      </c>
      <c r="B763" s="113" t="s">
        <v>2704</v>
      </c>
      <c r="C763" s="113" t="s">
        <v>2705</v>
      </c>
      <c r="D763" s="113"/>
      <c r="E763" s="114" t="s">
        <v>850</v>
      </c>
      <c r="F763" s="113" t="s">
        <v>2706</v>
      </c>
      <c r="G763" s="113" t="s">
        <v>493</v>
      </c>
      <c r="H763" s="113" t="s">
        <v>103</v>
      </c>
      <c r="I763" s="115" t="n">
        <v>427.73</v>
      </c>
      <c r="J763" s="115" t="s">
        <v>80</v>
      </c>
      <c r="K763" s="115" t="s">
        <v>81</v>
      </c>
      <c r="L763" s="115" t="n">
        <v>421.57</v>
      </c>
      <c r="M763" s="115" t="n">
        <v>3.0</v>
      </c>
      <c r="N763" s="115"/>
      <c r="O763" s="115"/>
      <c r="P763" s="115"/>
      <c r="Q763" s="115"/>
      <c r="R763" s="115"/>
      <c r="S763" s="115"/>
      <c r="T763" s="115"/>
      <c r="U763" s="115"/>
      <c r="V763" s="115" t="s">
        <v>82</v>
      </c>
      <c r="W763" s="115" t="s">
        <v>83</v>
      </c>
      <c r="X763" s="113">
        <f>IF(INDIRECT("W763")="Clássico","12%",IF(INDIRECT("W763")="Premium","17%","-"))</f>
      </c>
      <c r="Y763" s="113" t="s">
        <v>643</v>
      </c>
    </row>
    <row r="764" ht="50.0" customHeight="true">
      <c r="A764" s="113" t="s">
        <v>773</v>
      </c>
      <c r="B764" s="113" t="s">
        <v>2707</v>
      </c>
      <c r="C764" s="113" t="s">
        <v>775</v>
      </c>
      <c r="D764" s="113"/>
      <c r="E764" s="114" t="s">
        <v>588</v>
      </c>
      <c r="F764" s="113" t="s">
        <v>2708</v>
      </c>
      <c r="G764" s="113" t="s">
        <v>2708</v>
      </c>
      <c r="H764" s="113" t="s">
        <v>103</v>
      </c>
      <c r="I764" s="115" t="n">
        <v>99.87</v>
      </c>
      <c r="J764" s="115" t="s">
        <v>80</v>
      </c>
      <c r="K764" s="115" t="s">
        <v>81</v>
      </c>
      <c r="L764" s="115" t="n">
        <v>94.87</v>
      </c>
      <c r="M764" s="115" t="n">
        <v>3.0</v>
      </c>
      <c r="N764" s="115"/>
      <c r="O764" s="115"/>
      <c r="P764" s="115"/>
      <c r="Q764" s="115"/>
      <c r="R764" s="115"/>
      <c r="S764" s="115"/>
      <c r="T764" s="115"/>
      <c r="U764" s="115"/>
      <c r="V764" s="115" t="s">
        <v>91</v>
      </c>
      <c r="W764" s="115" t="s">
        <v>92</v>
      </c>
      <c r="X764" s="113">
        <f>IF(INDIRECT("W764")="Clássico","12%",IF(INDIRECT("W764")="Premium","17%","-"))</f>
      </c>
      <c r="Y764" s="113" t="s">
        <v>777</v>
      </c>
    </row>
    <row r="765" ht="50.0" customHeight="true">
      <c r="A765" s="113" t="s">
        <v>2709</v>
      </c>
      <c r="B765" s="113" t="s">
        <v>2710</v>
      </c>
      <c r="C765" s="113" t="s">
        <v>2711</v>
      </c>
      <c r="D765" s="113"/>
      <c r="E765" s="114" t="s">
        <v>2160</v>
      </c>
      <c r="F765" s="113" t="s">
        <v>2712</v>
      </c>
      <c r="G765" s="113" t="s">
        <v>2712</v>
      </c>
      <c r="H765" s="113" t="s">
        <v>103</v>
      </c>
      <c r="I765" s="115" t="n">
        <v>56.23</v>
      </c>
      <c r="J765" s="115" t="s">
        <v>80</v>
      </c>
      <c r="K765" s="115" t="s">
        <v>81</v>
      </c>
      <c r="L765" s="115" t="n">
        <v>51.23</v>
      </c>
      <c r="M765" s="115" t="n">
        <v>3.0</v>
      </c>
      <c r="N765" s="115"/>
      <c r="O765" s="115"/>
      <c r="P765" s="115"/>
      <c r="Q765" s="115"/>
      <c r="R765" s="115"/>
      <c r="S765" s="115"/>
      <c r="T765" s="115"/>
      <c r="U765" s="115"/>
      <c r="V765" s="115" t="s">
        <v>91</v>
      </c>
      <c r="W765" s="115" t="s">
        <v>83</v>
      </c>
      <c r="X765" s="113">
        <f>IF(INDIRECT("W765")="Clássico","11.5%",IF(INDIRECT("W765")="Premium","16.5%","-"))</f>
      </c>
      <c r="Y765" s="113" t="s">
        <v>2162</v>
      </c>
    </row>
    <row r="766" ht="50.0" customHeight="true">
      <c r="A766" s="113" t="s">
        <v>2713</v>
      </c>
      <c r="B766" s="113" t="s">
        <v>2714</v>
      </c>
      <c r="C766" s="113" t="s">
        <v>2715</v>
      </c>
      <c r="D766" s="113"/>
      <c r="E766" s="114" t="s">
        <v>616</v>
      </c>
      <c r="F766" s="113" t="s">
        <v>2716</v>
      </c>
      <c r="G766" s="113" t="s">
        <v>127</v>
      </c>
      <c r="H766" s="113" t="s">
        <v>103</v>
      </c>
      <c r="I766" s="115" t="n">
        <v>330.26</v>
      </c>
      <c r="J766" s="115" t="s">
        <v>80</v>
      </c>
      <c r="K766" s="115" t="s">
        <v>81</v>
      </c>
      <c r="L766" s="115" t="n">
        <v>338.75</v>
      </c>
      <c r="M766" s="115" t="n">
        <v>3.0</v>
      </c>
      <c r="N766" s="115"/>
      <c r="O766" s="115"/>
      <c r="P766" s="115"/>
      <c r="Q766" s="115"/>
      <c r="R766" s="115"/>
      <c r="S766" s="115"/>
      <c r="T766" s="115"/>
      <c r="U766" s="115"/>
      <c r="V766" s="115" t="s">
        <v>82</v>
      </c>
      <c r="W766" s="115" t="s">
        <v>92</v>
      </c>
      <c r="X766" s="113">
        <f>IF(INDIRECT("W766")="Clássico","12%",IF(INDIRECT("W766")="Premium","17%","-"))</f>
      </c>
      <c r="Y766" s="113" t="s">
        <v>158</v>
      </c>
    </row>
    <row r="767" ht="50.0" customHeight="true">
      <c r="A767" s="113" t="s">
        <v>2717</v>
      </c>
      <c r="B767" s="113" t="s">
        <v>2718</v>
      </c>
      <c r="C767" s="113" t="s">
        <v>2719</v>
      </c>
      <c r="D767" s="113"/>
      <c r="E767" s="114" t="s">
        <v>1030</v>
      </c>
      <c r="F767" s="113" t="s">
        <v>2720</v>
      </c>
      <c r="G767" s="113" t="s">
        <v>2720</v>
      </c>
      <c r="H767" s="113" t="s">
        <v>103</v>
      </c>
      <c r="I767" s="115" t="n">
        <v>184.8</v>
      </c>
      <c r="J767" s="115" t="s">
        <v>80</v>
      </c>
      <c r="K767" s="115" t="s">
        <v>81</v>
      </c>
      <c r="L767" s="115" t="n">
        <v>179.8</v>
      </c>
      <c r="M767" s="115" t="n">
        <v>3.0</v>
      </c>
      <c r="N767" s="115"/>
      <c r="O767" s="115"/>
      <c r="P767" s="115"/>
      <c r="Q767" s="115"/>
      <c r="R767" s="115"/>
      <c r="S767" s="115"/>
      <c r="T767" s="115"/>
      <c r="U767" s="115"/>
      <c r="V767" s="115" t="s">
        <v>82</v>
      </c>
      <c r="W767" s="115" t="s">
        <v>92</v>
      </c>
      <c r="X767" s="113">
        <f>IF(INDIRECT("W767")="Clássico","12%",IF(INDIRECT("W767")="Premium","17%","-"))</f>
      </c>
      <c r="Y767" s="113" t="s">
        <v>1032</v>
      </c>
    </row>
    <row r="768" ht="50.0" customHeight="true">
      <c r="A768" s="113" t="s">
        <v>2721</v>
      </c>
      <c r="B768" s="113" t="s">
        <v>2722</v>
      </c>
      <c r="C768" s="113" t="s">
        <v>2723</v>
      </c>
      <c r="D768" s="113"/>
      <c r="E768" s="114" t="s">
        <v>2104</v>
      </c>
      <c r="F768" s="113" t="s">
        <v>2724</v>
      </c>
      <c r="G768" s="113" t="s">
        <v>2724</v>
      </c>
      <c r="H768" s="113" t="s">
        <v>103</v>
      </c>
      <c r="I768" s="115" t="n">
        <v>154.31</v>
      </c>
      <c r="J768" s="115" t="s">
        <v>80</v>
      </c>
      <c r="K768" s="115" t="s">
        <v>81</v>
      </c>
      <c r="L768" s="115" t="n">
        <v>89.81</v>
      </c>
      <c r="M768" s="115" t="n">
        <v>3.0</v>
      </c>
      <c r="N768" s="115"/>
      <c r="O768" s="115"/>
      <c r="P768" s="115"/>
      <c r="Q768" s="115"/>
      <c r="R768" s="115"/>
      <c r="S768" s="115"/>
      <c r="T768" s="115"/>
      <c r="U768" s="115"/>
      <c r="V768" s="115" t="s">
        <v>82</v>
      </c>
      <c r="W768" s="115" t="s">
        <v>92</v>
      </c>
      <c r="X768" s="113">
        <f>IF(INDIRECT("W768")="Clássico","12%",IF(INDIRECT("W768")="Premium","17%","-"))</f>
      </c>
      <c r="Y768" s="113" t="s">
        <v>2193</v>
      </c>
    </row>
    <row r="769" ht="50.0" customHeight="true">
      <c r="A769" s="113" t="s">
        <v>2725</v>
      </c>
      <c r="B769" s="113" t="s">
        <v>2726</v>
      </c>
      <c r="C769" s="113" t="s">
        <v>2727</v>
      </c>
      <c r="D769" s="113"/>
      <c r="E769" s="114" t="s">
        <v>1722</v>
      </c>
      <c r="F769" s="113" t="s">
        <v>2728</v>
      </c>
      <c r="G769" s="113" t="s">
        <v>2728</v>
      </c>
      <c r="H769" s="113" t="s">
        <v>103</v>
      </c>
      <c r="I769" s="115" t="n">
        <v>136.2</v>
      </c>
      <c r="J769" s="115" t="s">
        <v>80</v>
      </c>
      <c r="K769" s="115" t="s">
        <v>81</v>
      </c>
      <c r="L769" s="115" t="n">
        <v>136.14</v>
      </c>
      <c r="M769" s="115" t="n">
        <v>3.0</v>
      </c>
      <c r="N769" s="115"/>
      <c r="O769" s="115"/>
      <c r="P769" s="115"/>
      <c r="Q769" s="115"/>
      <c r="R769" s="115"/>
      <c r="S769" s="115"/>
      <c r="T769" s="115"/>
      <c r="U769" s="115"/>
      <c r="V769" s="115" t="s">
        <v>82</v>
      </c>
      <c r="W769" s="115" t="s">
        <v>92</v>
      </c>
      <c r="X769" s="113">
        <f>IF(INDIRECT("W769")="Clássico","12%",IF(INDIRECT("W769")="Premium","17%","-"))</f>
      </c>
      <c r="Y769" s="113" t="s">
        <v>643</v>
      </c>
    </row>
    <row r="770" ht="50.0" customHeight="true">
      <c r="A770" s="113" t="s">
        <v>2729</v>
      </c>
      <c r="B770" s="113" t="s">
        <v>2730</v>
      </c>
      <c r="C770" s="113" t="s">
        <v>2731</v>
      </c>
      <c r="D770" s="113"/>
      <c r="E770" s="114" t="s">
        <v>672</v>
      </c>
      <c r="F770" s="113" t="s">
        <v>2732</v>
      </c>
      <c r="G770" s="113" t="s">
        <v>2732</v>
      </c>
      <c r="H770" s="113" t="s">
        <v>103</v>
      </c>
      <c r="I770" s="115" t="n">
        <v>170.76</v>
      </c>
      <c r="J770" s="115" t="s">
        <v>80</v>
      </c>
      <c r="K770" s="115" t="s">
        <v>81</v>
      </c>
      <c r="L770" s="115" t="n">
        <v>169.56</v>
      </c>
      <c r="M770" s="115" t="n">
        <v>3.0</v>
      </c>
      <c r="N770" s="115"/>
      <c r="O770" s="115"/>
      <c r="P770" s="115"/>
      <c r="Q770" s="115"/>
      <c r="R770" s="115"/>
      <c r="S770" s="115"/>
      <c r="T770" s="115"/>
      <c r="U770" s="115"/>
      <c r="V770" s="115" t="s">
        <v>82</v>
      </c>
      <c r="W770" s="115" t="s">
        <v>92</v>
      </c>
      <c r="X770" s="113">
        <f>IF(INDIRECT("W770")="Clássico","12%",IF(INDIRECT("W770")="Premium","17%","-"))</f>
      </c>
      <c r="Y770" s="113" t="s">
        <v>200</v>
      </c>
    </row>
    <row r="771" ht="50.0" customHeight="true">
      <c r="A771" s="113" t="s">
        <v>22</v>
      </c>
      <c r="B771" s="113" t="s">
        <v>2733</v>
      </c>
      <c r="C771" s="113"/>
      <c r="D771" s="113"/>
      <c r="E771" s="113" t="s">
        <v>1551</v>
      </c>
      <c r="F771" s="113" t="s">
        <v>2734</v>
      </c>
      <c r="G771" s="113" t="s">
        <v>103</v>
      </c>
      <c r="H771" s="113" t="s">
        <v>103</v>
      </c>
      <c r="I771" s="115" t="n">
        <v>815.07</v>
      </c>
      <c r="J771" s="115" t="s">
        <v>80</v>
      </c>
      <c r="K771" s="113" t="s">
        <v>81</v>
      </c>
      <c r="L771" s="115" t="n">
        <v>812.1</v>
      </c>
      <c r="M771" s="115" t="n">
        <v>3.0</v>
      </c>
      <c r="N771" s="115"/>
      <c r="O771" s="115"/>
      <c r="P771" s="115"/>
      <c r="Q771" s="115"/>
      <c r="R771" s="115"/>
      <c r="S771" s="115"/>
      <c r="T771" s="115"/>
      <c r="U771" s="115"/>
      <c r="V771" s="115" t="s">
        <v>82</v>
      </c>
      <c r="W771" s="115" t="s">
        <v>83</v>
      </c>
      <c r="X771" s="113">
        <f>IF(INDIRECT("W771")="Clássico","12%",IF(INDIRECT("W771")="Premium","17%","-"))</f>
      </c>
      <c r="Y771" s="113" t="s">
        <v>1180</v>
      </c>
    </row>
    <row r="772" ht="50.0" customHeight="true">
      <c r="A772" s="113" t="s">
        <v>22</v>
      </c>
      <c r="B772" s="113" t="s">
        <v>2733</v>
      </c>
      <c r="C772" s="113" t="s">
        <v>2735</v>
      </c>
      <c r="D772" s="113" t="s">
        <v>2735</v>
      </c>
      <c r="E772" s="114" t="s">
        <v>1551</v>
      </c>
      <c r="F772" s="116">
        <f>"     "&amp;F771</f>
      </c>
      <c r="G772" s="113" t="s">
        <v>1554</v>
      </c>
      <c r="H772" s="113" t="s">
        <v>103</v>
      </c>
      <c r="I772" s="113">
        <f>I771</f>
      </c>
      <c r="J772" s="113">
        <f>J771&amp;"     "</f>
      </c>
      <c r="K772" s="113" t="s">
        <v>81</v>
      </c>
      <c r="L772" s="113">
        <f>L771</f>
      </c>
      <c r="M772" s="113">
        <f>M771</f>
      </c>
      <c r="N772" s="113">
        <f>N771</f>
      </c>
      <c r="O772" s="113">
        <f>O771</f>
      </c>
      <c r="P772" s="113">
        <f>P771</f>
      </c>
      <c r="Q772" s="113">
        <f>Q771</f>
      </c>
      <c r="R772" s="113">
        <f>R771</f>
      </c>
      <c r="S772" s="113">
        <f>S771</f>
      </c>
      <c r="T772" s="113">
        <f>T771</f>
      </c>
      <c r="U772" s="113">
        <f>U771</f>
      </c>
      <c r="V772" s="113">
        <f>V771&amp;"     "</f>
      </c>
      <c r="W772" s="113">
        <f>W771&amp;"     "</f>
      </c>
      <c r="X772" s="113">
        <f>X771</f>
      </c>
      <c r="Y772" s="113" t="s">
        <v>1180</v>
      </c>
    </row>
    <row r="773" ht="50.0" customHeight="true">
      <c r="A773" s="113" t="s">
        <v>22</v>
      </c>
      <c r="B773" s="113" t="s">
        <v>2733</v>
      </c>
      <c r="C773" s="113" t="s">
        <v>2736</v>
      </c>
      <c r="D773" s="113" t="s">
        <v>2736</v>
      </c>
      <c r="E773" s="114" t="s">
        <v>1556</v>
      </c>
      <c r="F773" s="116">
        <f>"     "&amp;F771</f>
      </c>
      <c r="G773" s="113" t="s">
        <v>1557</v>
      </c>
      <c r="H773" s="113" t="s">
        <v>103</v>
      </c>
      <c r="I773" s="113">
        <f>I771</f>
      </c>
      <c r="J773" s="113">
        <f>J771&amp;"     "</f>
      </c>
      <c r="K773" s="113" t="s">
        <v>81</v>
      </c>
      <c r="L773" s="113">
        <f>L771</f>
      </c>
      <c r="M773" s="113">
        <f>M771</f>
      </c>
      <c r="N773" s="113">
        <f>N771</f>
      </c>
      <c r="O773" s="113">
        <f>O771</f>
      </c>
      <c r="P773" s="113">
        <f>P771</f>
      </c>
      <c r="Q773" s="113">
        <f>Q771</f>
      </c>
      <c r="R773" s="113">
        <f>R771</f>
      </c>
      <c r="S773" s="113">
        <f>S771</f>
      </c>
      <c r="T773" s="113">
        <f>T771</f>
      </c>
      <c r="U773" s="113">
        <f>U771</f>
      </c>
      <c r="V773" s="113">
        <f>V771&amp;"     "</f>
      </c>
      <c r="W773" s="113">
        <f>W771&amp;"     "</f>
      </c>
      <c r="X773" s="113">
        <f>X771</f>
      </c>
      <c r="Y773" s="113" t="s">
        <v>1180</v>
      </c>
    </row>
    <row r="774" ht="50.0" customHeight="true">
      <c r="A774" s="113" t="s">
        <v>2737</v>
      </c>
      <c r="B774" s="113" t="s">
        <v>2738</v>
      </c>
      <c r="C774" s="113" t="s">
        <v>2739</v>
      </c>
      <c r="D774" s="113"/>
      <c r="E774" s="114" t="s">
        <v>2166</v>
      </c>
      <c r="F774" s="113" t="s">
        <v>2740</v>
      </c>
      <c r="G774" s="113" t="s">
        <v>2740</v>
      </c>
      <c r="H774" s="113" t="s">
        <v>103</v>
      </c>
      <c r="I774" s="115" t="n">
        <v>179.62</v>
      </c>
      <c r="J774" s="115" t="s">
        <v>80</v>
      </c>
      <c r="K774" s="115" t="s">
        <v>81</v>
      </c>
      <c r="L774" s="115" t="n">
        <v>188.66</v>
      </c>
      <c r="M774" s="115" t="n">
        <v>3.0</v>
      </c>
      <c r="N774" s="115"/>
      <c r="O774" s="115"/>
      <c r="P774" s="115"/>
      <c r="Q774" s="115"/>
      <c r="R774" s="115"/>
      <c r="S774" s="115"/>
      <c r="T774" s="115"/>
      <c r="U774" s="115"/>
      <c r="V774" s="115" t="s">
        <v>82</v>
      </c>
      <c r="W774" s="115" t="s">
        <v>92</v>
      </c>
      <c r="X774" s="113">
        <f>IF(INDIRECT("W774")="Clássico","12%",IF(INDIRECT("W774")="Premium","17%","-"))</f>
      </c>
      <c r="Y774" s="113" t="s">
        <v>1098</v>
      </c>
    </row>
    <row r="775" ht="50.0" customHeight="true">
      <c r="A775" s="113" t="s">
        <v>2741</v>
      </c>
      <c r="B775" s="113" t="s">
        <v>2742</v>
      </c>
      <c r="C775" s="113" t="s">
        <v>2743</v>
      </c>
      <c r="D775" s="113"/>
      <c r="E775" s="114" t="s">
        <v>2309</v>
      </c>
      <c r="F775" s="113" t="s">
        <v>2744</v>
      </c>
      <c r="G775" s="113" t="s">
        <v>518</v>
      </c>
      <c r="H775" s="113" t="s">
        <v>103</v>
      </c>
      <c r="I775" s="115" t="n">
        <v>34.05</v>
      </c>
      <c r="J775" s="115" t="s">
        <v>80</v>
      </c>
      <c r="K775" s="113" t="s">
        <v>81</v>
      </c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 t="s">
        <v>91</v>
      </c>
      <c r="W775" s="115" t="s">
        <v>92</v>
      </c>
      <c r="X775" s="113">
        <f>IF(INDIRECT("W775")="Clássico","11.5%",IF(INDIRECT("W775")="Premium","16.5%","-"))</f>
      </c>
      <c r="Y775" s="113" t="s">
        <v>519</v>
      </c>
    </row>
    <row r="776" ht="50.0" customHeight="true">
      <c r="A776" s="113" t="s">
        <v>2745</v>
      </c>
      <c r="B776" s="113" t="s">
        <v>2746</v>
      </c>
      <c r="C776" s="113" t="s">
        <v>2747</v>
      </c>
      <c r="D776" s="113"/>
      <c r="E776" s="114" t="s">
        <v>2748</v>
      </c>
      <c r="F776" s="113" t="s">
        <v>2749</v>
      </c>
      <c r="G776" s="113" t="s">
        <v>2749</v>
      </c>
      <c r="H776" s="113" t="s">
        <v>103</v>
      </c>
      <c r="I776" s="115" t="n">
        <v>882.12</v>
      </c>
      <c r="J776" s="115" t="s">
        <v>80</v>
      </c>
      <c r="K776" s="115" t="s">
        <v>81</v>
      </c>
      <c r="L776" s="115" t="n">
        <v>877.12</v>
      </c>
      <c r="M776" s="115" t="n">
        <v>3.0</v>
      </c>
      <c r="N776" s="115"/>
      <c r="O776" s="115"/>
      <c r="P776" s="115"/>
      <c r="Q776" s="115"/>
      <c r="R776" s="115"/>
      <c r="S776" s="115"/>
      <c r="T776" s="115"/>
      <c r="U776" s="115"/>
      <c r="V776" s="115" t="s">
        <v>82</v>
      </c>
      <c r="W776" s="115" t="s">
        <v>92</v>
      </c>
      <c r="X776" s="113">
        <f>IF(INDIRECT("W776")="Clássico","12%",IF(INDIRECT("W776")="Premium","17%","-"))</f>
      </c>
      <c r="Y776" s="113" t="s">
        <v>783</v>
      </c>
    </row>
    <row r="777" ht="50.0" customHeight="true">
      <c r="A777" s="113" t="s">
        <v>2750</v>
      </c>
      <c r="B777" s="113" t="s">
        <v>2751</v>
      </c>
      <c r="C777" s="113" t="s">
        <v>2752</v>
      </c>
      <c r="D777" s="113"/>
      <c r="E777" s="114" t="s">
        <v>1912</v>
      </c>
      <c r="F777" s="113" t="s">
        <v>2753</v>
      </c>
      <c r="G777" s="113" t="s">
        <v>2753</v>
      </c>
      <c r="H777" s="113" t="s">
        <v>103</v>
      </c>
      <c r="I777" s="115" t="n">
        <v>336.59</v>
      </c>
      <c r="J777" s="115" t="s">
        <v>80</v>
      </c>
      <c r="K777" s="115" t="s">
        <v>81</v>
      </c>
      <c r="L777" s="115" t="n">
        <v>335.5</v>
      </c>
      <c r="M777" s="115" t="n">
        <v>3.0</v>
      </c>
      <c r="N777" s="115"/>
      <c r="O777" s="115"/>
      <c r="P777" s="115"/>
      <c r="Q777" s="115"/>
      <c r="R777" s="115"/>
      <c r="S777" s="115"/>
      <c r="T777" s="115"/>
      <c r="U777" s="115"/>
      <c r="V777" s="115" t="s">
        <v>82</v>
      </c>
      <c r="W777" s="115" t="s">
        <v>83</v>
      </c>
      <c r="X777" s="113">
        <f>IF(INDIRECT("W777")="Clássico","13%",IF(INDIRECT("W777")="Premium","18%","-"))</f>
      </c>
      <c r="Y777" s="113" t="s">
        <v>1914</v>
      </c>
    </row>
    <row r="778" ht="50.0" customHeight="true">
      <c r="A778" s="113" t="s">
        <v>2754</v>
      </c>
      <c r="B778" s="113" t="s">
        <v>2755</v>
      </c>
      <c r="C778" s="113" t="s">
        <v>2756</v>
      </c>
      <c r="D778" s="113"/>
      <c r="E778" s="114" t="s">
        <v>2757</v>
      </c>
      <c r="F778" s="113" t="s">
        <v>2758</v>
      </c>
      <c r="G778" s="113" t="s">
        <v>2758</v>
      </c>
      <c r="H778" s="113" t="s">
        <v>103</v>
      </c>
      <c r="I778" s="115" t="n">
        <v>646.72</v>
      </c>
      <c r="J778" s="115" t="s">
        <v>80</v>
      </c>
      <c r="K778" s="115" t="s">
        <v>81</v>
      </c>
      <c r="L778" s="115" t="n">
        <v>645.89</v>
      </c>
      <c r="M778" s="115" t="n">
        <v>3.0</v>
      </c>
      <c r="N778" s="115"/>
      <c r="O778" s="115"/>
      <c r="P778" s="115"/>
      <c r="Q778" s="115"/>
      <c r="R778" s="115"/>
      <c r="S778" s="115"/>
      <c r="T778" s="115"/>
      <c r="U778" s="115"/>
      <c r="V778" s="115" t="s">
        <v>82</v>
      </c>
      <c r="W778" s="115" t="s">
        <v>92</v>
      </c>
      <c r="X778" s="113">
        <f>IF(INDIRECT("W778")="Clássico","12%",IF(INDIRECT("W778")="Premium","17%","-"))</f>
      </c>
      <c r="Y778" s="113" t="s">
        <v>2126</v>
      </c>
    </row>
    <row r="779" ht="50.0" customHeight="true">
      <c r="A779" s="113" t="s">
        <v>2759</v>
      </c>
      <c r="B779" s="113" t="s">
        <v>2760</v>
      </c>
      <c r="C779" s="113" t="s">
        <v>2761</v>
      </c>
      <c r="D779" s="113"/>
      <c r="E779" s="114" t="s">
        <v>2104</v>
      </c>
      <c r="F779" s="113" t="s">
        <v>2762</v>
      </c>
      <c r="G779" s="113" t="s">
        <v>2762</v>
      </c>
      <c r="H779" s="113" t="s">
        <v>103</v>
      </c>
      <c r="I779" s="115" t="n">
        <v>95.57</v>
      </c>
      <c r="J779" s="115" t="s">
        <v>80</v>
      </c>
      <c r="K779" s="115" t="s">
        <v>81</v>
      </c>
      <c r="L779" s="115" t="n">
        <v>90.57</v>
      </c>
      <c r="M779" s="115" t="n">
        <v>3.0</v>
      </c>
      <c r="N779" s="115"/>
      <c r="O779" s="115"/>
      <c r="P779" s="115"/>
      <c r="Q779" s="115"/>
      <c r="R779" s="115"/>
      <c r="S779" s="115"/>
      <c r="T779" s="115"/>
      <c r="U779" s="115"/>
      <c r="V779" s="115" t="s">
        <v>91</v>
      </c>
      <c r="W779" s="115" t="s">
        <v>92</v>
      </c>
      <c r="X779" s="113">
        <f>IF(INDIRECT("W779")="Clássico","12%",IF(INDIRECT("W779")="Premium","17%","-"))</f>
      </c>
      <c r="Y779" s="113" t="s">
        <v>836</v>
      </c>
    </row>
    <row r="780" ht="50.0" customHeight="true">
      <c r="A780" s="113" t="s">
        <v>2763</v>
      </c>
      <c r="B780" s="113" t="s">
        <v>2764</v>
      </c>
      <c r="C780" s="113" t="s">
        <v>2765</v>
      </c>
      <c r="D780" s="113"/>
      <c r="E780" s="114" t="s">
        <v>1739</v>
      </c>
      <c r="F780" s="113" t="s">
        <v>2766</v>
      </c>
      <c r="G780" s="113" t="s">
        <v>2766</v>
      </c>
      <c r="H780" s="113" t="s">
        <v>103</v>
      </c>
      <c r="I780" s="115" t="n">
        <v>174.56</v>
      </c>
      <c r="J780" s="115" t="s">
        <v>80</v>
      </c>
      <c r="K780" s="115" t="s">
        <v>81</v>
      </c>
      <c r="L780" s="115" t="n">
        <v>216.4</v>
      </c>
      <c r="M780" s="115" t="n">
        <v>3.0</v>
      </c>
      <c r="N780" s="115"/>
      <c r="O780" s="115"/>
      <c r="P780" s="115"/>
      <c r="Q780" s="115"/>
      <c r="R780" s="115"/>
      <c r="S780" s="115"/>
      <c r="T780" s="115"/>
      <c r="U780" s="115"/>
      <c r="V780" s="115" t="s">
        <v>82</v>
      </c>
      <c r="W780" s="115" t="s">
        <v>83</v>
      </c>
      <c r="X780" s="113">
        <f>IF(INDIRECT("W780")="Clássico","12%",IF(INDIRECT("W780")="Premium","17%","-"))</f>
      </c>
      <c r="Y780" s="113" t="s">
        <v>1741</v>
      </c>
    </row>
    <row r="781" ht="50.0" customHeight="true">
      <c r="A781" s="113" t="s">
        <v>2767</v>
      </c>
      <c r="B781" s="113" t="s">
        <v>2768</v>
      </c>
      <c r="C781" s="113" t="s">
        <v>2769</v>
      </c>
      <c r="D781" s="113"/>
      <c r="E781" s="114" t="s">
        <v>1045</v>
      </c>
      <c r="F781" s="113" t="s">
        <v>2770</v>
      </c>
      <c r="G781" s="113" t="s">
        <v>1047</v>
      </c>
      <c r="H781" s="113" t="s">
        <v>103</v>
      </c>
      <c r="I781" s="115" t="n">
        <v>137.85</v>
      </c>
      <c r="J781" s="115" t="s">
        <v>80</v>
      </c>
      <c r="K781" s="115" t="s">
        <v>81</v>
      </c>
      <c r="L781" s="115" t="n">
        <v>112.6</v>
      </c>
      <c r="M781" s="115" t="n">
        <v>3.0</v>
      </c>
      <c r="N781" s="115"/>
      <c r="O781" s="115"/>
      <c r="P781" s="115"/>
      <c r="Q781" s="115"/>
      <c r="R781" s="115"/>
      <c r="S781" s="115"/>
      <c r="T781" s="115"/>
      <c r="U781" s="115"/>
      <c r="V781" s="115" t="s">
        <v>82</v>
      </c>
      <c r="W781" s="115" t="s">
        <v>92</v>
      </c>
      <c r="X781" s="113">
        <f>IF(INDIRECT("W781")="Clássico","12%",IF(INDIRECT("W781")="Premium","17%","-"))</f>
      </c>
      <c r="Y781" s="113" t="s">
        <v>1048</v>
      </c>
    </row>
    <row r="782" ht="50.0" customHeight="true">
      <c r="A782" s="113" t="s">
        <v>2771</v>
      </c>
      <c r="B782" s="113" t="s">
        <v>2772</v>
      </c>
      <c r="C782" s="113" t="s">
        <v>2773</v>
      </c>
      <c r="D782" s="113"/>
      <c r="E782" s="114" t="s">
        <v>2774</v>
      </c>
      <c r="F782" s="113" t="s">
        <v>2775</v>
      </c>
      <c r="G782" s="113" t="s">
        <v>566</v>
      </c>
      <c r="H782" s="113" t="s">
        <v>103</v>
      </c>
      <c r="I782" s="115" t="n">
        <v>754.31</v>
      </c>
      <c r="J782" s="115" t="s">
        <v>80</v>
      </c>
      <c r="K782" s="115" t="s">
        <v>81</v>
      </c>
      <c r="L782" s="115" t="n">
        <v>745.01</v>
      </c>
      <c r="M782" s="115" t="n">
        <v>3.0</v>
      </c>
      <c r="N782" s="115"/>
      <c r="O782" s="115"/>
      <c r="P782" s="115"/>
      <c r="Q782" s="115"/>
      <c r="R782" s="115"/>
      <c r="S782" s="115"/>
      <c r="T782" s="115"/>
      <c r="U782" s="115"/>
      <c r="V782" s="115" t="s">
        <v>82</v>
      </c>
      <c r="W782" s="115" t="s">
        <v>92</v>
      </c>
      <c r="X782" s="113">
        <f>IF(INDIRECT("W782")="Clássico","12%",IF(INDIRECT("W782")="Premium","17%","-"))</f>
      </c>
      <c r="Y782" s="113" t="s">
        <v>414</v>
      </c>
    </row>
    <row r="783" ht="50.0" customHeight="true">
      <c r="A783" s="113" t="s">
        <v>2776</v>
      </c>
      <c r="B783" s="113" t="s">
        <v>2777</v>
      </c>
      <c r="C783" s="113" t="s">
        <v>2778</v>
      </c>
      <c r="D783" s="113"/>
      <c r="E783" s="114" t="s">
        <v>2390</v>
      </c>
      <c r="F783" s="113" t="s">
        <v>2779</v>
      </c>
      <c r="G783" s="113" t="s">
        <v>2779</v>
      </c>
      <c r="H783" s="113" t="s">
        <v>103</v>
      </c>
      <c r="I783" s="115" t="n">
        <v>122.77</v>
      </c>
      <c r="J783" s="115" t="s">
        <v>80</v>
      </c>
      <c r="K783" s="115" t="s">
        <v>81</v>
      </c>
      <c r="L783" s="115" t="n">
        <v>117.77</v>
      </c>
      <c r="M783" s="115" t="n">
        <v>3.0</v>
      </c>
      <c r="N783" s="115"/>
      <c r="O783" s="115"/>
      <c r="P783" s="115"/>
      <c r="Q783" s="115"/>
      <c r="R783" s="115"/>
      <c r="S783" s="115"/>
      <c r="T783" s="115"/>
      <c r="U783" s="115"/>
      <c r="V783" s="115" t="s">
        <v>82</v>
      </c>
      <c r="W783" s="115" t="s">
        <v>83</v>
      </c>
      <c r="X783" s="113">
        <f>IF(INDIRECT("W783")="Clássico","12%",IF(INDIRECT("W783")="Premium","17%","-"))</f>
      </c>
      <c r="Y783" s="113" t="s">
        <v>2126</v>
      </c>
    </row>
    <row r="784" ht="50.0" customHeight="true">
      <c r="A784" s="113" t="s">
        <v>2780</v>
      </c>
      <c r="B784" s="113" t="s">
        <v>2781</v>
      </c>
      <c r="C784" s="113" t="s">
        <v>2782</v>
      </c>
      <c r="D784" s="113"/>
      <c r="E784" s="114" t="s">
        <v>1846</v>
      </c>
      <c r="F784" s="113" t="s">
        <v>2783</v>
      </c>
      <c r="G784" s="113" t="s">
        <v>2783</v>
      </c>
      <c r="H784" s="113" t="s">
        <v>103</v>
      </c>
      <c r="I784" s="115" t="n">
        <v>297.35</v>
      </c>
      <c r="J784" s="115" t="s">
        <v>80</v>
      </c>
      <c r="K784" s="115" t="s">
        <v>81</v>
      </c>
      <c r="L784" s="115" t="n">
        <v>292.35</v>
      </c>
      <c r="M784" s="115" t="n">
        <v>3.0</v>
      </c>
      <c r="N784" s="115"/>
      <c r="O784" s="115"/>
      <c r="P784" s="115"/>
      <c r="Q784" s="115"/>
      <c r="R784" s="115"/>
      <c r="S784" s="115"/>
      <c r="T784" s="115"/>
      <c r="U784" s="115"/>
      <c r="V784" s="115" t="s">
        <v>82</v>
      </c>
      <c r="W784" s="115" t="s">
        <v>83</v>
      </c>
      <c r="X784" s="113">
        <f>IF(INDIRECT("W784")="Clássico","12%",IF(INDIRECT("W784")="Premium","17%","-"))</f>
      </c>
      <c r="Y784" s="113" t="s">
        <v>2269</v>
      </c>
    </row>
    <row r="785" ht="50.0" customHeight="true">
      <c r="A785" s="113" t="s">
        <v>2327</v>
      </c>
      <c r="B785" s="113" t="s">
        <v>2784</v>
      </c>
      <c r="C785" s="113" t="s">
        <v>2785</v>
      </c>
      <c r="D785" s="113"/>
      <c r="E785" s="114" t="s">
        <v>1964</v>
      </c>
      <c r="F785" s="113" t="s">
        <v>1858</v>
      </c>
      <c r="G785" s="113" t="s">
        <v>1512</v>
      </c>
      <c r="H785" s="113" t="s">
        <v>103</v>
      </c>
      <c r="I785" s="115" t="n">
        <v>196.9</v>
      </c>
      <c r="J785" s="115" t="s">
        <v>80</v>
      </c>
      <c r="K785" s="115" t="s">
        <v>81</v>
      </c>
      <c r="L785" s="115" t="n">
        <v>191.0</v>
      </c>
      <c r="M785" s="115" t="n">
        <v>3.0</v>
      </c>
      <c r="N785" s="115"/>
      <c r="O785" s="115"/>
      <c r="P785" s="115"/>
      <c r="Q785" s="115"/>
      <c r="R785" s="115"/>
      <c r="S785" s="115"/>
      <c r="T785" s="115"/>
      <c r="U785" s="115"/>
      <c r="V785" s="115" t="s">
        <v>82</v>
      </c>
      <c r="W785" s="115" t="s">
        <v>83</v>
      </c>
      <c r="X785" s="113">
        <f>IF(INDIRECT("W785")="Clássico","12%",IF(INDIRECT("W785")="Premium","17%","-"))</f>
      </c>
      <c r="Y785" s="113" t="s">
        <v>662</v>
      </c>
    </row>
    <row r="786" ht="50.0" customHeight="true">
      <c r="A786" s="113" t="s">
        <v>2786</v>
      </c>
      <c r="B786" s="113" t="s">
        <v>2787</v>
      </c>
      <c r="C786" s="113" t="s">
        <v>2788</v>
      </c>
      <c r="D786" s="113"/>
      <c r="E786" s="114" t="s">
        <v>2042</v>
      </c>
      <c r="F786" s="113" t="s">
        <v>2789</v>
      </c>
      <c r="G786" s="113" t="s">
        <v>2789</v>
      </c>
      <c r="H786" s="113" t="s">
        <v>103</v>
      </c>
      <c r="I786" s="115" t="n">
        <v>354.31</v>
      </c>
      <c r="J786" s="115" t="s">
        <v>80</v>
      </c>
      <c r="K786" s="115" t="s">
        <v>81</v>
      </c>
      <c r="L786" s="115" t="n">
        <v>349.43</v>
      </c>
      <c r="M786" s="115" t="n">
        <v>3.0</v>
      </c>
      <c r="N786" s="115"/>
      <c r="O786" s="115"/>
      <c r="P786" s="115"/>
      <c r="Q786" s="115"/>
      <c r="R786" s="115"/>
      <c r="S786" s="115"/>
      <c r="T786" s="115"/>
      <c r="U786" s="115"/>
      <c r="V786" s="115" t="s">
        <v>82</v>
      </c>
      <c r="W786" s="115" t="s">
        <v>92</v>
      </c>
      <c r="X786" s="113">
        <f>IF(INDIRECT("W786")="Clássico","12%",IF(INDIRECT("W786")="Premium","17%","-"))</f>
      </c>
      <c r="Y786" s="113" t="s">
        <v>512</v>
      </c>
    </row>
    <row r="787" ht="50.0" customHeight="true">
      <c r="A787" s="113" t="s">
        <v>2790</v>
      </c>
      <c r="B787" s="113" t="s">
        <v>2791</v>
      </c>
      <c r="C787" s="113" t="s">
        <v>2792</v>
      </c>
      <c r="D787" s="113"/>
      <c r="E787" s="114" t="s">
        <v>2568</v>
      </c>
      <c r="F787" s="113" t="s">
        <v>2793</v>
      </c>
      <c r="G787" s="113" t="s">
        <v>2507</v>
      </c>
      <c r="H787" s="113" t="s">
        <v>103</v>
      </c>
      <c r="I787" s="115" t="n">
        <v>223.93</v>
      </c>
      <c r="J787" s="115" t="s">
        <v>80</v>
      </c>
      <c r="K787" s="115" t="s">
        <v>81</v>
      </c>
      <c r="L787" s="115" t="n">
        <v>235.38</v>
      </c>
      <c r="M787" s="115" t="n">
        <v>3.0</v>
      </c>
      <c r="N787" s="115"/>
      <c r="O787" s="115"/>
      <c r="P787" s="115"/>
      <c r="Q787" s="115"/>
      <c r="R787" s="115"/>
      <c r="S787" s="115"/>
      <c r="T787" s="115"/>
      <c r="U787" s="115"/>
      <c r="V787" s="115" t="s">
        <v>82</v>
      </c>
      <c r="W787" s="115" t="s">
        <v>92</v>
      </c>
      <c r="X787" s="113">
        <f>IF(INDIRECT("W787")="Clássico","12%",IF(INDIRECT("W787")="Premium","17%","-"))</f>
      </c>
      <c r="Y787" s="113" t="s">
        <v>1904</v>
      </c>
    </row>
    <row r="788" ht="50.0" customHeight="true">
      <c r="A788" s="113" t="s">
        <v>2794</v>
      </c>
      <c r="B788" s="113" t="s">
        <v>2795</v>
      </c>
      <c r="C788" s="113" t="s">
        <v>2796</v>
      </c>
      <c r="D788" s="113"/>
      <c r="E788" s="114" t="s">
        <v>1722</v>
      </c>
      <c r="F788" s="113" t="s">
        <v>2797</v>
      </c>
      <c r="G788" s="113" t="s">
        <v>1512</v>
      </c>
      <c r="H788" s="113" t="s">
        <v>103</v>
      </c>
      <c r="I788" s="115" t="n">
        <v>198.61</v>
      </c>
      <c r="J788" s="115" t="s">
        <v>80</v>
      </c>
      <c r="K788" s="115" t="s">
        <v>81</v>
      </c>
      <c r="L788" s="115" t="n">
        <v>219.04</v>
      </c>
      <c r="M788" s="115" t="n">
        <v>3.0</v>
      </c>
      <c r="N788" s="115"/>
      <c r="O788" s="115"/>
      <c r="P788" s="115"/>
      <c r="Q788" s="115"/>
      <c r="R788" s="115"/>
      <c r="S788" s="115"/>
      <c r="T788" s="115"/>
      <c r="U788" s="115"/>
      <c r="V788" s="115" t="s">
        <v>82</v>
      </c>
      <c r="W788" s="115" t="s">
        <v>92</v>
      </c>
      <c r="X788" s="113">
        <f>IF(INDIRECT("W788")="Clássico","12%",IF(INDIRECT("W788")="Premium","17%","-"))</f>
      </c>
      <c r="Y788" s="113" t="s">
        <v>662</v>
      </c>
    </row>
    <row r="789" ht="50.0" customHeight="true">
      <c r="A789" s="113" t="s">
        <v>2798</v>
      </c>
      <c r="B789" s="113" t="s">
        <v>2799</v>
      </c>
      <c r="C789" s="113" t="s">
        <v>2800</v>
      </c>
      <c r="D789" s="113"/>
      <c r="E789" s="114" t="s">
        <v>1178</v>
      </c>
      <c r="F789" s="113" t="s">
        <v>2801</v>
      </c>
      <c r="G789" s="113" t="s">
        <v>2801</v>
      </c>
      <c r="H789" s="113" t="s">
        <v>103</v>
      </c>
      <c r="I789" s="115" t="n">
        <v>1570.78</v>
      </c>
      <c r="J789" s="115" t="s">
        <v>80</v>
      </c>
      <c r="K789" s="115" t="s">
        <v>81</v>
      </c>
      <c r="L789" s="115" t="n">
        <v>1625.39</v>
      </c>
      <c r="M789" s="115" t="n">
        <v>3.0</v>
      </c>
      <c r="N789" s="115"/>
      <c r="O789" s="115"/>
      <c r="P789" s="115"/>
      <c r="Q789" s="115"/>
      <c r="R789" s="115"/>
      <c r="S789" s="115"/>
      <c r="T789" s="115"/>
      <c r="U789" s="115"/>
      <c r="V789" s="115" t="s">
        <v>82</v>
      </c>
      <c r="W789" s="115" t="s">
        <v>92</v>
      </c>
      <c r="X789" s="113">
        <f>IF(INDIRECT("W789")="Clássico","12%",IF(INDIRECT("W789")="Premium","17%","-"))</f>
      </c>
      <c r="Y789" s="113" t="s">
        <v>1180</v>
      </c>
    </row>
    <row r="790" ht="50.0" customHeight="true">
      <c r="A790" s="113" t="s">
        <v>2802</v>
      </c>
      <c r="B790" s="113" t="s">
        <v>2803</v>
      </c>
      <c r="C790" s="113" t="s">
        <v>2804</v>
      </c>
      <c r="D790" s="113"/>
      <c r="E790" s="114" t="s">
        <v>1437</v>
      </c>
      <c r="F790" s="113" t="s">
        <v>2805</v>
      </c>
      <c r="G790" s="113" t="s">
        <v>2805</v>
      </c>
      <c r="H790" s="113" t="s">
        <v>103</v>
      </c>
      <c r="I790" s="115" t="n">
        <v>570.77</v>
      </c>
      <c r="J790" s="115" t="s">
        <v>80</v>
      </c>
      <c r="K790" s="115" t="s">
        <v>81</v>
      </c>
      <c r="L790" s="115" t="n">
        <v>493.6</v>
      </c>
      <c r="M790" s="115" t="n">
        <v>3.0</v>
      </c>
      <c r="N790" s="115"/>
      <c r="O790" s="115"/>
      <c r="P790" s="115"/>
      <c r="Q790" s="115"/>
      <c r="R790" s="115"/>
      <c r="S790" s="115"/>
      <c r="T790" s="115"/>
      <c r="U790" s="115"/>
      <c r="V790" s="115" t="s">
        <v>82</v>
      </c>
      <c r="W790" s="115" t="s">
        <v>83</v>
      </c>
      <c r="X790" s="113">
        <f>IF(INDIRECT("W790")="Clássico","12%",IF(INDIRECT("W790")="Premium","17%","-"))</f>
      </c>
      <c r="Y790" s="113" t="s">
        <v>958</v>
      </c>
    </row>
    <row r="791" ht="50.0" customHeight="true">
      <c r="A791" s="113" t="s">
        <v>1434</v>
      </c>
      <c r="B791" s="113" t="s">
        <v>2806</v>
      </c>
      <c r="C791" s="113" t="s">
        <v>2807</v>
      </c>
      <c r="D791" s="113"/>
      <c r="E791" s="114" t="s">
        <v>1437</v>
      </c>
      <c r="F791" s="113" t="s">
        <v>1438</v>
      </c>
      <c r="G791" s="113" t="s">
        <v>1438</v>
      </c>
      <c r="H791" s="113" t="s">
        <v>103</v>
      </c>
      <c r="I791" s="115" t="n">
        <v>439.23</v>
      </c>
      <c r="J791" s="115" t="s">
        <v>80</v>
      </c>
      <c r="K791" s="115" t="s">
        <v>81</v>
      </c>
      <c r="L791" s="115" t="n">
        <v>434.23</v>
      </c>
      <c r="M791" s="115" t="n">
        <v>3.0</v>
      </c>
      <c r="N791" s="115"/>
      <c r="O791" s="115"/>
      <c r="P791" s="115"/>
      <c r="Q791" s="115"/>
      <c r="R791" s="115"/>
      <c r="S791" s="115"/>
      <c r="T791" s="115"/>
      <c r="U791" s="115"/>
      <c r="V791" s="115" t="s">
        <v>82</v>
      </c>
      <c r="W791" s="115" t="s">
        <v>83</v>
      </c>
      <c r="X791" s="113">
        <f>IF(INDIRECT("W791")="Clássico","12%",IF(INDIRECT("W791")="Premium","17%","-"))</f>
      </c>
      <c r="Y791" s="113" t="s">
        <v>958</v>
      </c>
    </row>
    <row r="792" ht="50.0" customHeight="true">
      <c r="A792" s="113" t="s">
        <v>2808</v>
      </c>
      <c r="B792" s="113" t="s">
        <v>2809</v>
      </c>
      <c r="C792" s="113" t="s">
        <v>2810</v>
      </c>
      <c r="D792" s="113"/>
      <c r="E792" s="114" t="s">
        <v>1958</v>
      </c>
      <c r="F792" s="113" t="s">
        <v>2811</v>
      </c>
      <c r="G792" s="113" t="s">
        <v>2811</v>
      </c>
      <c r="H792" s="113" t="s">
        <v>103</v>
      </c>
      <c r="I792" s="115" t="n">
        <v>236.59</v>
      </c>
      <c r="J792" s="115" t="s">
        <v>80</v>
      </c>
      <c r="K792" s="115" t="s">
        <v>81</v>
      </c>
      <c r="L792" s="115" t="n">
        <v>231.7</v>
      </c>
      <c r="M792" s="115" t="n">
        <v>3.0</v>
      </c>
      <c r="N792" s="115"/>
      <c r="O792" s="115"/>
      <c r="P792" s="115"/>
      <c r="Q792" s="115"/>
      <c r="R792" s="115"/>
      <c r="S792" s="115"/>
      <c r="T792" s="115"/>
      <c r="U792" s="115"/>
      <c r="V792" s="115" t="s">
        <v>82</v>
      </c>
      <c r="W792" s="115" t="s">
        <v>83</v>
      </c>
      <c r="X792" s="113">
        <f>IF(INDIRECT("W792")="Clássico","12%",IF(INDIRECT("W792")="Premium","17%","-"))</f>
      </c>
      <c r="Y792" s="113" t="s">
        <v>1960</v>
      </c>
    </row>
    <row r="793" ht="50.0" customHeight="true">
      <c r="A793" s="113" t="s">
        <v>2812</v>
      </c>
      <c r="B793" s="113" t="s">
        <v>2813</v>
      </c>
      <c r="C793" s="113" t="s">
        <v>2814</v>
      </c>
      <c r="D793" s="113"/>
      <c r="E793" s="114" t="s">
        <v>1437</v>
      </c>
      <c r="F793" s="113" t="s">
        <v>2815</v>
      </c>
      <c r="G793" s="113" t="s">
        <v>2815</v>
      </c>
      <c r="H793" s="113" t="s">
        <v>103</v>
      </c>
      <c r="I793" s="115" t="n">
        <v>465.7</v>
      </c>
      <c r="J793" s="115" t="s">
        <v>80</v>
      </c>
      <c r="K793" s="115" t="s">
        <v>81</v>
      </c>
      <c r="L793" s="115" t="n">
        <v>459.55</v>
      </c>
      <c r="M793" s="115" t="n">
        <v>3.0</v>
      </c>
      <c r="N793" s="115"/>
      <c r="O793" s="115"/>
      <c r="P793" s="115"/>
      <c r="Q793" s="115"/>
      <c r="R793" s="115"/>
      <c r="S793" s="115"/>
      <c r="T793" s="115"/>
      <c r="U793" s="115"/>
      <c r="V793" s="115" t="s">
        <v>82</v>
      </c>
      <c r="W793" s="115" t="s">
        <v>92</v>
      </c>
      <c r="X793" s="113">
        <f>IF(INDIRECT("W793")="Clássico","12%",IF(INDIRECT("W793")="Premium","17%","-"))</f>
      </c>
      <c r="Y793" s="113" t="s">
        <v>958</v>
      </c>
    </row>
    <row r="794" ht="50.0" customHeight="true">
      <c r="A794" s="113" t="s">
        <v>2816</v>
      </c>
      <c r="B794" s="113" t="s">
        <v>2817</v>
      </c>
      <c r="C794" s="113" t="s">
        <v>2818</v>
      </c>
      <c r="D794" s="113"/>
      <c r="E794" s="114" t="s">
        <v>2390</v>
      </c>
      <c r="F794" s="113" t="s">
        <v>2819</v>
      </c>
      <c r="G794" s="113" t="s">
        <v>2819</v>
      </c>
      <c r="H794" s="113" t="s">
        <v>103</v>
      </c>
      <c r="I794" s="115" t="n">
        <v>135.32</v>
      </c>
      <c r="J794" s="115" t="s">
        <v>80</v>
      </c>
      <c r="K794" s="115" t="s">
        <v>81</v>
      </c>
      <c r="L794" s="115" t="n">
        <v>130.32</v>
      </c>
      <c r="M794" s="115" t="n">
        <v>3.0</v>
      </c>
      <c r="N794" s="115"/>
      <c r="O794" s="115"/>
      <c r="P794" s="115"/>
      <c r="Q794" s="115"/>
      <c r="R794" s="115"/>
      <c r="S794" s="115"/>
      <c r="T794" s="115"/>
      <c r="U794" s="115"/>
      <c r="V794" s="115" t="s">
        <v>82</v>
      </c>
      <c r="W794" s="115" t="s">
        <v>92</v>
      </c>
      <c r="X794" s="113">
        <f>IF(INDIRECT("W794")="Clássico","12%",IF(INDIRECT("W794")="Premium","17%","-"))</f>
      </c>
      <c r="Y794" s="113" t="s">
        <v>2126</v>
      </c>
    </row>
    <row r="795" ht="50.0" customHeight="true">
      <c r="A795" s="113" t="s">
        <v>2820</v>
      </c>
      <c r="B795" s="113" t="s">
        <v>2821</v>
      </c>
      <c r="C795" s="113" t="s">
        <v>2822</v>
      </c>
      <c r="D795" s="113"/>
      <c r="E795" s="114" t="s">
        <v>781</v>
      </c>
      <c r="F795" s="113" t="s">
        <v>2823</v>
      </c>
      <c r="G795" s="113" t="s">
        <v>2823</v>
      </c>
      <c r="H795" s="113" t="s">
        <v>103</v>
      </c>
      <c r="I795" s="115" t="n">
        <v>450.51</v>
      </c>
      <c r="J795" s="115" t="s">
        <v>80</v>
      </c>
      <c r="K795" s="115" t="s">
        <v>81</v>
      </c>
      <c r="L795" s="115" t="n">
        <v>572.1</v>
      </c>
      <c r="M795" s="115" t="n">
        <v>3.0</v>
      </c>
      <c r="N795" s="115"/>
      <c r="O795" s="115"/>
      <c r="P795" s="115"/>
      <c r="Q795" s="115"/>
      <c r="R795" s="115"/>
      <c r="S795" s="115"/>
      <c r="T795" s="115"/>
      <c r="U795" s="115"/>
      <c r="V795" s="115" t="s">
        <v>82</v>
      </c>
      <c r="W795" s="115" t="s">
        <v>83</v>
      </c>
      <c r="X795" s="113">
        <f>IF(INDIRECT("W795")="Clássico","12%",IF(INDIRECT("W795")="Premium","17%","-"))</f>
      </c>
      <c r="Y795" s="113" t="s">
        <v>783</v>
      </c>
    </row>
    <row r="796" ht="50.0" customHeight="true">
      <c r="A796" s="113" t="s">
        <v>2824</v>
      </c>
      <c r="B796" s="113" t="s">
        <v>2825</v>
      </c>
      <c r="C796" s="113" t="s">
        <v>2826</v>
      </c>
      <c r="D796" s="113"/>
      <c r="E796" s="114" t="s">
        <v>1556</v>
      </c>
      <c r="F796" s="113" t="s">
        <v>2827</v>
      </c>
      <c r="G796" s="113" t="s">
        <v>687</v>
      </c>
      <c r="H796" s="113" t="s">
        <v>103</v>
      </c>
      <c r="I796" s="115" t="n">
        <v>1272.03</v>
      </c>
      <c r="J796" s="115" t="s">
        <v>80</v>
      </c>
      <c r="K796" s="115" t="s">
        <v>81</v>
      </c>
      <c r="L796" s="115" t="n">
        <v>1267.03</v>
      </c>
      <c r="M796" s="115" t="n">
        <v>3.0</v>
      </c>
      <c r="N796" s="115"/>
      <c r="O796" s="115"/>
      <c r="P796" s="115"/>
      <c r="Q796" s="115"/>
      <c r="R796" s="115"/>
      <c r="S796" s="115"/>
      <c r="T796" s="115"/>
      <c r="U796" s="115"/>
      <c r="V796" s="115" t="s">
        <v>82</v>
      </c>
      <c r="W796" s="115" t="s">
        <v>83</v>
      </c>
      <c r="X796" s="113">
        <f>IF(INDIRECT("W796")="Clássico","12%",IF(INDIRECT("W796")="Premium","17%","-"))</f>
      </c>
      <c r="Y796" s="113" t="s">
        <v>1180</v>
      </c>
    </row>
    <row r="797" ht="50.0" customHeight="true">
      <c r="A797" s="113" t="s">
        <v>2828</v>
      </c>
      <c r="B797" s="113" t="s">
        <v>2829</v>
      </c>
      <c r="C797" s="113" t="s">
        <v>2830</v>
      </c>
      <c r="D797" s="113"/>
      <c r="E797" s="114" t="s">
        <v>1551</v>
      </c>
      <c r="F797" s="113" t="s">
        <v>2831</v>
      </c>
      <c r="G797" s="113" t="s">
        <v>1554</v>
      </c>
      <c r="H797" s="113" t="s">
        <v>103</v>
      </c>
      <c r="I797" s="115" t="n">
        <v>851.9</v>
      </c>
      <c r="J797" s="115" t="s">
        <v>80</v>
      </c>
      <c r="K797" s="115" t="s">
        <v>81</v>
      </c>
      <c r="L797" s="115" t="n">
        <v>846.9</v>
      </c>
      <c r="M797" s="115" t="n">
        <v>3.0</v>
      </c>
      <c r="N797" s="115"/>
      <c r="O797" s="115"/>
      <c r="P797" s="115"/>
      <c r="Q797" s="115"/>
      <c r="R797" s="115"/>
      <c r="S797" s="115"/>
      <c r="T797" s="115"/>
      <c r="U797" s="115"/>
      <c r="V797" s="115" t="s">
        <v>82</v>
      </c>
      <c r="W797" s="115" t="s">
        <v>92</v>
      </c>
      <c r="X797" s="113">
        <f>IF(INDIRECT("W797")="Clássico","12%",IF(INDIRECT("W797")="Premium","17%","-"))</f>
      </c>
      <c r="Y797" s="113" t="s">
        <v>1180</v>
      </c>
    </row>
    <row r="798" ht="50.0" customHeight="true">
      <c r="A798" s="113" t="s">
        <v>2832</v>
      </c>
      <c r="B798" s="113" t="s">
        <v>2833</v>
      </c>
      <c r="C798" s="113" t="s">
        <v>2834</v>
      </c>
      <c r="D798" s="113"/>
      <c r="E798" s="114" t="s">
        <v>1706</v>
      </c>
      <c r="F798" s="113" t="s">
        <v>2835</v>
      </c>
      <c r="G798" s="113" t="s">
        <v>2835</v>
      </c>
      <c r="H798" s="113" t="s">
        <v>103</v>
      </c>
      <c r="I798" s="115" t="n">
        <v>246.71</v>
      </c>
      <c r="J798" s="115" t="s">
        <v>80</v>
      </c>
      <c r="K798" s="115" t="s">
        <v>81</v>
      </c>
      <c r="L798" s="115" t="n">
        <v>249.31</v>
      </c>
      <c r="M798" s="115" t="n">
        <v>3.0</v>
      </c>
      <c r="N798" s="115"/>
      <c r="O798" s="115"/>
      <c r="P798" s="115"/>
      <c r="Q798" s="115"/>
      <c r="R798" s="115"/>
      <c r="S798" s="115"/>
      <c r="T798" s="115"/>
      <c r="U798" s="115"/>
      <c r="V798" s="115" t="s">
        <v>82</v>
      </c>
      <c r="W798" s="115" t="s">
        <v>92</v>
      </c>
      <c r="X798" s="113">
        <f>IF(INDIRECT("W798")="Clássico","12%",IF(INDIRECT("W798")="Premium","17%","-"))</f>
      </c>
      <c r="Y798" s="113" t="s">
        <v>1293</v>
      </c>
    </row>
    <row r="799" ht="50.0" customHeight="true">
      <c r="A799" s="113" t="s">
        <v>2836</v>
      </c>
      <c r="B799" s="113" t="s">
        <v>2837</v>
      </c>
      <c r="C799" s="113" t="s">
        <v>2838</v>
      </c>
      <c r="D799" s="113"/>
      <c r="E799" s="114" t="s">
        <v>1305</v>
      </c>
      <c r="F799" s="113" t="s">
        <v>2839</v>
      </c>
      <c r="G799" s="113" t="s">
        <v>2839</v>
      </c>
      <c r="H799" s="113" t="s">
        <v>103</v>
      </c>
      <c r="I799" s="115" t="n">
        <v>710.01</v>
      </c>
      <c r="J799" s="115" t="s">
        <v>80</v>
      </c>
      <c r="K799" s="115" t="s">
        <v>81</v>
      </c>
      <c r="L799" s="115" t="n">
        <v>920.31</v>
      </c>
      <c r="M799" s="115" t="n">
        <v>3.0</v>
      </c>
      <c r="N799" s="115"/>
      <c r="O799" s="115"/>
      <c r="P799" s="115"/>
      <c r="Q799" s="115"/>
      <c r="R799" s="115"/>
      <c r="S799" s="115"/>
      <c r="T799" s="115"/>
      <c r="U799" s="115"/>
      <c r="V799" s="115" t="s">
        <v>82</v>
      </c>
      <c r="W799" s="115" t="s">
        <v>92</v>
      </c>
      <c r="X799" s="113">
        <f>IF(INDIRECT("W799")="Clássico","12%",IF(INDIRECT("W799")="Premium","17%","-"))</f>
      </c>
      <c r="Y799" s="113" t="s">
        <v>1307</v>
      </c>
    </row>
    <row r="800" ht="50.0" customHeight="true">
      <c r="A800" s="113" t="s">
        <v>2840</v>
      </c>
      <c r="B800" s="113" t="s">
        <v>2841</v>
      </c>
      <c r="C800" s="113" t="s">
        <v>2842</v>
      </c>
      <c r="D800" s="113"/>
      <c r="E800" s="114" t="s">
        <v>1912</v>
      </c>
      <c r="F800" s="113" t="s">
        <v>1913</v>
      </c>
      <c r="G800" s="113" t="s">
        <v>1913</v>
      </c>
      <c r="H800" s="113" t="s">
        <v>103</v>
      </c>
      <c r="I800" s="115" t="n">
        <v>337.85</v>
      </c>
      <c r="J800" s="115" t="s">
        <v>80</v>
      </c>
      <c r="K800" s="115" t="s">
        <v>81</v>
      </c>
      <c r="L800" s="115" t="n">
        <v>297.52</v>
      </c>
      <c r="M800" s="115" t="n">
        <v>3.0</v>
      </c>
      <c r="N800" s="115"/>
      <c r="O800" s="115"/>
      <c r="P800" s="115"/>
      <c r="Q800" s="115"/>
      <c r="R800" s="115"/>
      <c r="S800" s="115"/>
      <c r="T800" s="115"/>
      <c r="U800" s="115"/>
      <c r="V800" s="115" t="s">
        <v>82</v>
      </c>
      <c r="W800" s="115" t="s">
        <v>83</v>
      </c>
      <c r="X800" s="113">
        <f>IF(INDIRECT("W800")="Clássico","13%",IF(INDIRECT("W800")="Premium","18%","-"))</f>
      </c>
      <c r="Y800" s="113" t="s">
        <v>706</v>
      </c>
    </row>
    <row r="801" ht="50.0" customHeight="true">
      <c r="A801" s="113" t="s">
        <v>2843</v>
      </c>
      <c r="B801" s="113" t="s">
        <v>2844</v>
      </c>
      <c r="C801" s="113" t="s">
        <v>2845</v>
      </c>
      <c r="D801" s="113"/>
      <c r="E801" s="114" t="s">
        <v>1208</v>
      </c>
      <c r="F801" s="113" t="s">
        <v>2846</v>
      </c>
      <c r="G801" s="113" t="s">
        <v>1791</v>
      </c>
      <c r="H801" s="113" t="s">
        <v>103</v>
      </c>
      <c r="I801" s="115" t="n">
        <v>35.9</v>
      </c>
      <c r="J801" s="115" t="s">
        <v>80</v>
      </c>
      <c r="K801" s="115" t="s">
        <v>81</v>
      </c>
      <c r="L801" s="115" t="n">
        <v>28.9</v>
      </c>
      <c r="M801" s="115" t="n">
        <v>3.0</v>
      </c>
      <c r="N801" s="115"/>
      <c r="O801" s="115"/>
      <c r="P801" s="115"/>
      <c r="Q801" s="115"/>
      <c r="R801" s="115"/>
      <c r="S801" s="115"/>
      <c r="T801" s="115"/>
      <c r="U801" s="115"/>
      <c r="V801" s="115" t="s">
        <v>91</v>
      </c>
      <c r="W801" s="115" t="s">
        <v>92</v>
      </c>
      <c r="X801" s="113">
        <f>IF(INDIRECT("W801")="Clássico","12%",IF(INDIRECT("W801")="Premium","17%","-"))</f>
      </c>
      <c r="Y801" s="113" t="s">
        <v>662</v>
      </c>
    </row>
    <row r="802" ht="50.0" customHeight="true">
      <c r="A802" s="113" t="s">
        <v>2847</v>
      </c>
      <c r="B802" s="113" t="s">
        <v>2848</v>
      </c>
      <c r="C802" s="113" t="s">
        <v>2849</v>
      </c>
      <c r="D802" s="113"/>
      <c r="E802" s="114" t="s">
        <v>840</v>
      </c>
      <c r="F802" s="113" t="s">
        <v>2850</v>
      </c>
      <c r="G802" s="113" t="s">
        <v>2850</v>
      </c>
      <c r="H802" s="113" t="s">
        <v>103</v>
      </c>
      <c r="I802" s="115" t="n">
        <v>184.69</v>
      </c>
      <c r="J802" s="115" t="s">
        <v>80</v>
      </c>
      <c r="K802" s="115" t="s">
        <v>81</v>
      </c>
      <c r="L802" s="115" t="n">
        <v>140.99</v>
      </c>
      <c r="M802" s="115" t="n">
        <v>3.0</v>
      </c>
      <c r="N802" s="115"/>
      <c r="O802" s="115"/>
      <c r="P802" s="115"/>
      <c r="Q802" s="115"/>
      <c r="R802" s="115"/>
      <c r="S802" s="115"/>
      <c r="T802" s="115"/>
      <c r="U802" s="115"/>
      <c r="V802" s="115" t="s">
        <v>82</v>
      </c>
      <c r="W802" s="115" t="s">
        <v>92</v>
      </c>
      <c r="X802" s="113">
        <f>IF(INDIRECT("W802")="Clássico","12%",IF(INDIRECT("W802")="Premium","17%","-"))</f>
      </c>
      <c r="Y802" s="113" t="s">
        <v>2851</v>
      </c>
    </row>
    <row r="803" ht="50.0" customHeight="true">
      <c r="A803" s="113" t="s">
        <v>2573</v>
      </c>
      <c r="B803" s="113" t="s">
        <v>2852</v>
      </c>
      <c r="C803" s="113" t="s">
        <v>2575</v>
      </c>
      <c r="D803" s="113"/>
      <c r="E803" s="114" t="s">
        <v>2576</v>
      </c>
      <c r="F803" s="113" t="s">
        <v>2577</v>
      </c>
      <c r="G803" s="113" t="s">
        <v>493</v>
      </c>
      <c r="H803" s="113" t="s">
        <v>103</v>
      </c>
      <c r="I803" s="115" t="n">
        <v>558.11</v>
      </c>
      <c r="J803" s="115" t="s">
        <v>80</v>
      </c>
      <c r="K803" s="115" t="s">
        <v>81</v>
      </c>
      <c r="L803" s="115" t="n">
        <v>500.98</v>
      </c>
      <c r="M803" s="115" t="n">
        <v>3.0</v>
      </c>
      <c r="N803" s="115"/>
      <c r="O803" s="115"/>
      <c r="P803" s="115"/>
      <c r="Q803" s="115"/>
      <c r="R803" s="115"/>
      <c r="S803" s="115"/>
      <c r="T803" s="115"/>
      <c r="U803" s="115"/>
      <c r="V803" s="115" t="s">
        <v>82</v>
      </c>
      <c r="W803" s="115" t="s">
        <v>83</v>
      </c>
      <c r="X803" s="113">
        <f>IF(INDIRECT("W803")="Clássico","12%",IF(INDIRECT("W803")="Premium","17%","-"))</f>
      </c>
      <c r="Y803" s="113" t="s">
        <v>2578</v>
      </c>
    </row>
    <row r="804" ht="50.0" customHeight="true">
      <c r="A804" s="113" t="s">
        <v>2853</v>
      </c>
      <c r="B804" s="113" t="s">
        <v>2854</v>
      </c>
      <c r="C804" s="113" t="s">
        <v>2855</v>
      </c>
      <c r="D804" s="113"/>
      <c r="E804" s="114" t="s">
        <v>925</v>
      </c>
      <c r="F804" s="113" t="s">
        <v>2856</v>
      </c>
      <c r="G804" s="113" t="s">
        <v>566</v>
      </c>
      <c r="H804" s="113" t="s">
        <v>103</v>
      </c>
      <c r="I804" s="115" t="n">
        <v>444.18</v>
      </c>
      <c r="J804" s="115" t="s">
        <v>80</v>
      </c>
      <c r="K804" s="115" t="s">
        <v>81</v>
      </c>
      <c r="L804" s="115" t="n">
        <v>444.25</v>
      </c>
      <c r="M804" s="115" t="n">
        <v>3.0</v>
      </c>
      <c r="N804" s="115"/>
      <c r="O804" s="115"/>
      <c r="P804" s="115"/>
      <c r="Q804" s="115"/>
      <c r="R804" s="115"/>
      <c r="S804" s="115"/>
      <c r="T804" s="115"/>
      <c r="U804" s="115"/>
      <c r="V804" s="115" t="s">
        <v>82</v>
      </c>
      <c r="W804" s="115" t="s">
        <v>92</v>
      </c>
      <c r="X804" s="113">
        <f>IF(INDIRECT("W804")="Clássico","12%",IF(INDIRECT("W804")="Premium","17%","-"))</f>
      </c>
      <c r="Y804" s="113" t="s">
        <v>414</v>
      </c>
    </row>
    <row r="805" ht="50.0" customHeight="true">
      <c r="A805" s="113" t="s">
        <v>2857</v>
      </c>
      <c r="B805" s="113" t="s">
        <v>2858</v>
      </c>
      <c r="C805" s="113" t="s">
        <v>2859</v>
      </c>
      <c r="D805" s="113"/>
      <c r="E805" s="114" t="s">
        <v>2166</v>
      </c>
      <c r="F805" s="113" t="s">
        <v>2860</v>
      </c>
      <c r="G805" s="113" t="s">
        <v>2860</v>
      </c>
      <c r="H805" s="113" t="s">
        <v>103</v>
      </c>
      <c r="I805" s="115" t="n">
        <v>246.71</v>
      </c>
      <c r="J805" s="115" t="s">
        <v>80</v>
      </c>
      <c r="K805" s="115" t="s">
        <v>81</v>
      </c>
      <c r="L805" s="115" t="n">
        <v>240.56</v>
      </c>
      <c r="M805" s="115" t="n">
        <v>3.0</v>
      </c>
      <c r="N805" s="115"/>
      <c r="O805" s="115"/>
      <c r="P805" s="115"/>
      <c r="Q805" s="115"/>
      <c r="R805" s="115"/>
      <c r="S805" s="115"/>
      <c r="T805" s="115"/>
      <c r="U805" s="115"/>
      <c r="V805" s="115" t="s">
        <v>82</v>
      </c>
      <c r="W805" s="115" t="s">
        <v>92</v>
      </c>
      <c r="X805" s="113">
        <f>IF(INDIRECT("W805")="Clássico","12%",IF(INDIRECT("W805")="Premium","17%","-"))</f>
      </c>
      <c r="Y805" s="113" t="s">
        <v>1098</v>
      </c>
    </row>
    <row r="806" ht="50.0" customHeight="true">
      <c r="A806" s="113" t="s">
        <v>2861</v>
      </c>
      <c r="B806" s="113" t="s">
        <v>2862</v>
      </c>
      <c r="C806" s="113" t="s">
        <v>2863</v>
      </c>
      <c r="D806" s="113"/>
      <c r="E806" s="114" t="s">
        <v>155</v>
      </c>
      <c r="F806" s="113" t="s">
        <v>2864</v>
      </c>
      <c r="G806" s="113" t="s">
        <v>127</v>
      </c>
      <c r="H806" s="113" t="s">
        <v>103</v>
      </c>
      <c r="I806" s="115" t="n">
        <v>435.44</v>
      </c>
      <c r="J806" s="115" t="s">
        <v>80</v>
      </c>
      <c r="K806" s="115" t="s">
        <v>81</v>
      </c>
      <c r="L806" s="115" t="n">
        <v>430.44</v>
      </c>
      <c r="M806" s="115" t="n">
        <v>3.0</v>
      </c>
      <c r="N806" s="115"/>
      <c r="O806" s="115"/>
      <c r="P806" s="115"/>
      <c r="Q806" s="115"/>
      <c r="R806" s="115"/>
      <c r="S806" s="115"/>
      <c r="T806" s="115"/>
      <c r="U806" s="115"/>
      <c r="V806" s="115" t="s">
        <v>82</v>
      </c>
      <c r="W806" s="115" t="s">
        <v>83</v>
      </c>
      <c r="X806" s="113">
        <f>IF(INDIRECT("W806")="Clássico","12%",IF(INDIRECT("W806")="Premium","17%","-"))</f>
      </c>
      <c r="Y806" s="113" t="s">
        <v>158</v>
      </c>
    </row>
    <row r="807" ht="50.0" customHeight="true">
      <c r="A807" s="113" t="s">
        <v>2865</v>
      </c>
      <c r="B807" s="113" t="s">
        <v>2866</v>
      </c>
      <c r="C807" s="113" t="s">
        <v>2867</v>
      </c>
      <c r="D807" s="113"/>
      <c r="E807" s="114" t="s">
        <v>1265</v>
      </c>
      <c r="F807" s="113" t="s">
        <v>2868</v>
      </c>
      <c r="G807" s="113" t="s">
        <v>127</v>
      </c>
      <c r="H807" s="113" t="s">
        <v>103</v>
      </c>
      <c r="I807" s="115" t="n">
        <v>125.19</v>
      </c>
      <c r="J807" s="115" t="s">
        <v>80</v>
      </c>
      <c r="K807" s="115" t="s">
        <v>81</v>
      </c>
      <c r="L807" s="115" t="n">
        <v>115.13</v>
      </c>
      <c r="M807" s="115" t="n">
        <v>3.0</v>
      </c>
      <c r="N807" s="115"/>
      <c r="O807" s="115"/>
      <c r="P807" s="115"/>
      <c r="Q807" s="115"/>
      <c r="R807" s="115"/>
      <c r="S807" s="115"/>
      <c r="T807" s="115"/>
      <c r="U807" s="115"/>
      <c r="V807" s="115" t="s">
        <v>82</v>
      </c>
      <c r="W807" s="115" t="s">
        <v>83</v>
      </c>
      <c r="X807" s="113">
        <f>IF(INDIRECT("W807")="Clássico","12%",IF(INDIRECT("W807")="Premium","17%","-"))</f>
      </c>
      <c r="Y807" s="113" t="s">
        <v>576</v>
      </c>
    </row>
    <row r="808" ht="50.0" customHeight="true">
      <c r="A808" s="113" t="s">
        <v>2869</v>
      </c>
      <c r="B808" s="113" t="s">
        <v>2870</v>
      </c>
      <c r="C808" s="113" t="s">
        <v>2871</v>
      </c>
      <c r="D808" s="113"/>
      <c r="E808" s="114" t="s">
        <v>2205</v>
      </c>
      <c r="F808" s="113" t="s">
        <v>2872</v>
      </c>
      <c r="G808" s="113" t="s">
        <v>2872</v>
      </c>
      <c r="H808" s="113" t="s">
        <v>103</v>
      </c>
      <c r="I808" s="115" t="n">
        <v>45.44</v>
      </c>
      <c r="J808" s="115" t="s">
        <v>80</v>
      </c>
      <c r="K808" s="113" t="s">
        <v>81</v>
      </c>
      <c r="L808" s="115" t="n">
        <v>37.41</v>
      </c>
      <c r="M808" s="115" t="n">
        <v>3.0</v>
      </c>
      <c r="N808" s="115"/>
      <c r="O808" s="115"/>
      <c r="P808" s="115"/>
      <c r="Q808" s="115"/>
      <c r="R808" s="115"/>
      <c r="S808" s="115"/>
      <c r="T808" s="115"/>
      <c r="U808" s="115"/>
      <c r="V808" s="115" t="s">
        <v>91</v>
      </c>
      <c r="W808" s="115" t="s">
        <v>92</v>
      </c>
      <c r="X808" s="113">
        <f>IF(INDIRECT("W808")="Clássico","12%",IF(INDIRECT("W808")="Premium","17%","-"))</f>
      </c>
      <c r="Y808" s="113" t="s">
        <v>245</v>
      </c>
    </row>
    <row r="809" ht="50.0" customHeight="true">
      <c r="A809" s="113" t="s">
        <v>2873</v>
      </c>
      <c r="B809" s="113" t="s">
        <v>2874</v>
      </c>
      <c r="C809" s="113" t="s">
        <v>2875</v>
      </c>
      <c r="D809" s="113"/>
      <c r="E809" s="114" t="s">
        <v>808</v>
      </c>
      <c r="F809" s="114" t="s">
        <v>2876</v>
      </c>
      <c r="G809" s="113" t="s">
        <v>2876</v>
      </c>
      <c r="H809" s="113" t="s">
        <v>103</v>
      </c>
      <c r="I809" s="115" t="n">
        <v>199.88</v>
      </c>
      <c r="J809" s="115" t="s">
        <v>80</v>
      </c>
      <c r="K809" s="115" t="s">
        <v>81</v>
      </c>
      <c r="L809" s="115" t="n">
        <v>207.53</v>
      </c>
      <c r="M809" s="115" t="n">
        <v>3.0</v>
      </c>
      <c r="N809" s="115"/>
      <c r="O809" s="115"/>
      <c r="P809" s="115"/>
      <c r="Q809" s="115"/>
      <c r="R809" s="115"/>
      <c r="S809" s="115"/>
      <c r="T809" s="115"/>
      <c r="U809" s="115"/>
      <c r="V809" s="115" t="s">
        <v>82</v>
      </c>
      <c r="W809" s="115" t="s">
        <v>83</v>
      </c>
      <c r="X809" s="113">
        <f>IF(INDIRECT("W809")="Clássico","12%",IF(INDIRECT("W809")="Premium","17%","-"))</f>
      </c>
      <c r="Y809" s="113" t="s">
        <v>482</v>
      </c>
    </row>
    <row r="810" ht="50.0" customHeight="true">
      <c r="A810" s="113" t="s">
        <v>2877</v>
      </c>
      <c r="B810" s="113" t="s">
        <v>2878</v>
      </c>
      <c r="C810" s="113" t="s">
        <v>2879</v>
      </c>
      <c r="D810" s="113"/>
      <c r="E810" s="114" t="s">
        <v>983</v>
      </c>
      <c r="F810" s="114" t="s">
        <v>2880</v>
      </c>
      <c r="G810" s="113" t="s">
        <v>2880</v>
      </c>
      <c r="H810" s="113" t="s">
        <v>103</v>
      </c>
      <c r="I810" s="115" t="n">
        <v>51.77</v>
      </c>
      <c r="J810" s="115" t="s">
        <v>80</v>
      </c>
      <c r="K810" s="115" t="s">
        <v>81</v>
      </c>
      <c r="L810" s="115" t="n">
        <v>46.77</v>
      </c>
      <c r="M810" s="115" t="n">
        <v>3.0</v>
      </c>
      <c r="N810" s="115"/>
      <c r="O810" s="115"/>
      <c r="P810" s="115"/>
      <c r="Q810" s="115"/>
      <c r="R810" s="115"/>
      <c r="S810" s="115"/>
      <c r="T810" s="115"/>
      <c r="U810" s="115"/>
      <c r="V810" s="115" t="s">
        <v>91</v>
      </c>
      <c r="W810" s="115" t="s">
        <v>92</v>
      </c>
      <c r="X810" s="113">
        <f>IF(INDIRECT("W810")="Clássico","11.5%",IF(INDIRECT("W810")="Premium","16.5%","-"))</f>
      </c>
      <c r="Y810" s="113" t="s">
        <v>985</v>
      </c>
    </row>
    <row r="811" ht="50.0" customHeight="true">
      <c r="A811" s="113" t="s">
        <v>2881</v>
      </c>
      <c r="B811" s="113" t="s">
        <v>2882</v>
      </c>
      <c r="C811" s="113" t="s">
        <v>2883</v>
      </c>
      <c r="D811" s="113"/>
      <c r="E811" s="114" t="s">
        <v>2884</v>
      </c>
      <c r="F811" s="114" t="s">
        <v>2885</v>
      </c>
      <c r="G811" s="113" t="s">
        <v>2885</v>
      </c>
      <c r="H811" s="113" t="s">
        <v>103</v>
      </c>
      <c r="I811" s="115" t="n">
        <v>60.63</v>
      </c>
      <c r="J811" s="115" t="s">
        <v>80</v>
      </c>
      <c r="K811" s="115" t="s">
        <v>81</v>
      </c>
      <c r="L811" s="115" t="n">
        <v>79.68</v>
      </c>
      <c r="M811" s="115" t="n">
        <v>3.0</v>
      </c>
      <c r="N811" s="115"/>
      <c r="O811" s="115"/>
      <c r="P811" s="115"/>
      <c r="Q811" s="115"/>
      <c r="R811" s="115"/>
      <c r="S811" s="115"/>
      <c r="T811" s="115"/>
      <c r="U811" s="115"/>
      <c r="V811" s="115" t="s">
        <v>91</v>
      </c>
      <c r="W811" s="115" t="s">
        <v>92</v>
      </c>
      <c r="X811" s="113">
        <f>IF(INDIRECT("W811")="Clássico","12%",IF(INDIRECT("W811")="Premium","17%","-"))</f>
      </c>
      <c r="Y811" s="113" t="s">
        <v>2886</v>
      </c>
    </row>
    <row r="812" ht="50.0" customHeight="true">
      <c r="A812" s="113" t="s">
        <v>2887</v>
      </c>
      <c r="B812" s="113" t="s">
        <v>2888</v>
      </c>
      <c r="C812" s="113" t="s">
        <v>2889</v>
      </c>
      <c r="D812" s="113"/>
      <c r="E812" s="114" t="s">
        <v>486</v>
      </c>
      <c r="F812" s="114" t="s">
        <v>2890</v>
      </c>
      <c r="G812" s="113" t="s">
        <v>2890</v>
      </c>
      <c r="H812" s="113" t="s">
        <v>103</v>
      </c>
      <c r="I812" s="115" t="n">
        <v>599.0</v>
      </c>
      <c r="J812" s="115" t="s">
        <v>80</v>
      </c>
      <c r="K812" s="115" t="s">
        <v>81</v>
      </c>
      <c r="L812" s="115" t="n">
        <v>594.0</v>
      </c>
      <c r="M812" s="115" t="n">
        <v>3.0</v>
      </c>
      <c r="N812" s="115"/>
      <c r="O812" s="115"/>
      <c r="P812" s="115"/>
      <c r="Q812" s="115"/>
      <c r="R812" s="115"/>
      <c r="S812" s="115"/>
      <c r="T812" s="115"/>
      <c r="U812" s="115"/>
      <c r="V812" s="115" t="s">
        <v>82</v>
      </c>
      <c r="W812" s="115" t="s">
        <v>83</v>
      </c>
      <c r="X812" s="113">
        <f>IF(INDIRECT("W812")="Clássico","12%",IF(INDIRECT("W812")="Premium","17%","-"))</f>
      </c>
      <c r="Y812" s="113" t="s">
        <v>488</v>
      </c>
    </row>
    <row r="813" ht="50.0" customHeight="true">
      <c r="A813" s="113" t="s">
        <v>2891</v>
      </c>
      <c r="B813" s="113" t="s">
        <v>2892</v>
      </c>
      <c r="C813" s="113" t="s">
        <v>2893</v>
      </c>
      <c r="D813" s="113"/>
      <c r="E813" s="114" t="s">
        <v>2651</v>
      </c>
      <c r="F813" s="114" t="s">
        <v>2894</v>
      </c>
      <c r="G813" s="113" t="s">
        <v>2894</v>
      </c>
      <c r="H813" s="113" t="s">
        <v>103</v>
      </c>
      <c r="I813" s="115" t="n">
        <v>170.9</v>
      </c>
      <c r="J813" s="115" t="s">
        <v>80</v>
      </c>
      <c r="K813" s="113" t="s">
        <v>81</v>
      </c>
      <c r="L813" s="115" t="n">
        <v>214.9</v>
      </c>
      <c r="M813" s="115" t="n">
        <v>3.0</v>
      </c>
      <c r="N813" s="115"/>
      <c r="O813" s="115"/>
      <c r="P813" s="115"/>
      <c r="Q813" s="115"/>
      <c r="R813" s="115"/>
      <c r="S813" s="115"/>
      <c r="T813" s="115"/>
      <c r="U813" s="115"/>
      <c r="V813" s="115" t="s">
        <v>82</v>
      </c>
      <c r="W813" s="115" t="s">
        <v>92</v>
      </c>
      <c r="X813" s="113">
        <f>IF(INDIRECT("W813")="Clássico","12%",IF(INDIRECT("W813")="Premium","17%","-"))</f>
      </c>
      <c r="Y813" s="113" t="s">
        <v>2653</v>
      </c>
    </row>
    <row r="814" ht="50.0" customHeight="true">
      <c r="A814" s="113" t="s">
        <v>2895</v>
      </c>
      <c r="B814" s="113" t="s">
        <v>2896</v>
      </c>
      <c r="C814" s="113" t="s">
        <v>2897</v>
      </c>
      <c r="D814" s="113"/>
      <c r="E814" s="114" t="s">
        <v>1133</v>
      </c>
      <c r="F814" s="114" t="s">
        <v>2898</v>
      </c>
      <c r="G814" s="113" t="s">
        <v>127</v>
      </c>
      <c r="H814" s="113" t="s">
        <v>103</v>
      </c>
      <c r="I814" s="115" t="n">
        <v>131.9</v>
      </c>
      <c r="J814" s="115" t="s">
        <v>80</v>
      </c>
      <c r="K814" s="115" t="s">
        <v>81</v>
      </c>
      <c r="L814" s="115" t="n">
        <v>122.84</v>
      </c>
      <c r="M814" s="115" t="n">
        <v>3.0</v>
      </c>
      <c r="N814" s="115"/>
      <c r="O814" s="115"/>
      <c r="P814" s="115"/>
      <c r="Q814" s="115"/>
      <c r="R814" s="115"/>
      <c r="S814" s="115"/>
      <c r="T814" s="115"/>
      <c r="U814" s="115"/>
      <c r="V814" s="115" t="s">
        <v>82</v>
      </c>
      <c r="W814" s="115" t="s">
        <v>83</v>
      </c>
      <c r="X814" s="113">
        <f>IF(INDIRECT("W814")="Clássico","12%",IF(INDIRECT("W814")="Premium","17%","-"))</f>
      </c>
      <c r="Y814" s="113" t="s">
        <v>128</v>
      </c>
    </row>
    <row r="815" ht="50.0" customHeight="true">
      <c r="A815" s="113" t="s">
        <v>2899</v>
      </c>
      <c r="B815" s="113" t="s">
        <v>2900</v>
      </c>
      <c r="C815" s="113" t="s">
        <v>2901</v>
      </c>
      <c r="D815" s="113"/>
      <c r="E815" s="114" t="s">
        <v>285</v>
      </c>
      <c r="F815" s="114" t="s">
        <v>2902</v>
      </c>
      <c r="G815" s="113" t="s">
        <v>518</v>
      </c>
      <c r="H815" s="113" t="s">
        <v>103</v>
      </c>
      <c r="I815" s="115" t="n">
        <v>126.1</v>
      </c>
      <c r="J815" s="115" t="s">
        <v>80</v>
      </c>
      <c r="K815" s="115" t="s">
        <v>81</v>
      </c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 t="s">
        <v>91</v>
      </c>
      <c r="W815" s="115" t="s">
        <v>83</v>
      </c>
      <c r="X815" s="113">
        <f>IF(INDIRECT("W815")="Clássico","12%",IF(INDIRECT("W815")="Premium","17%","-"))</f>
      </c>
      <c r="Y815" s="113" t="s">
        <v>229</v>
      </c>
    </row>
    <row r="816" ht="50.0" customHeight="true">
      <c r="A816" s="113" t="s">
        <v>2903</v>
      </c>
      <c r="B816" s="113" t="s">
        <v>2904</v>
      </c>
      <c r="C816" s="113" t="s">
        <v>2905</v>
      </c>
      <c r="D816" s="113"/>
      <c r="E816" s="114" t="s">
        <v>2906</v>
      </c>
      <c r="F816" s="114" t="s">
        <v>2907</v>
      </c>
      <c r="G816" s="113" t="s">
        <v>2907</v>
      </c>
      <c r="H816" s="113" t="s">
        <v>103</v>
      </c>
      <c r="I816" s="115" t="n">
        <v>405.9</v>
      </c>
      <c r="J816" s="115" t="s">
        <v>80</v>
      </c>
      <c r="K816" s="113" t="s">
        <v>81</v>
      </c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 t="s">
        <v>2908</v>
      </c>
      <c r="W816" s="115" t="s">
        <v>92</v>
      </c>
      <c r="X816" s="113">
        <f>IF(INDIRECT("W816")="Clássico","12%",IF(INDIRECT("W816")="Premium","17%","-"))</f>
      </c>
      <c r="Y816" s="113" t="s">
        <v>1041</v>
      </c>
    </row>
    <row r="817" ht="50.0" customHeight="true">
      <c r="A817" s="113" t="s">
        <v>2909</v>
      </c>
      <c r="B817" s="113" t="s">
        <v>2910</v>
      </c>
      <c r="C817" s="113" t="s">
        <v>2911</v>
      </c>
      <c r="D817" s="113"/>
      <c r="E817" s="114" t="s">
        <v>2912</v>
      </c>
      <c r="F817" s="114" t="s">
        <v>2913</v>
      </c>
      <c r="G817" s="113" t="s">
        <v>127</v>
      </c>
      <c r="H817" s="113" t="s">
        <v>103</v>
      </c>
      <c r="I817" s="115" t="n">
        <v>315.07</v>
      </c>
      <c r="J817" s="115" t="s">
        <v>80</v>
      </c>
      <c r="K817" s="115" t="s">
        <v>81</v>
      </c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 t="s">
        <v>82</v>
      </c>
      <c r="W817" s="115" t="s">
        <v>83</v>
      </c>
      <c r="X817" s="113">
        <f>IF(INDIRECT("W817")="Clássico","12%",IF(INDIRECT("W817")="Premium","17%","-"))</f>
      </c>
      <c r="Y817" s="113" t="s">
        <v>414</v>
      </c>
    </row>
    <row r="818" ht="50.0" customHeight="true">
      <c r="A818" s="113" t="s">
        <v>2914</v>
      </c>
      <c r="B818" s="113" t="s">
        <v>2915</v>
      </c>
      <c r="C818" s="113" t="s">
        <v>2916</v>
      </c>
      <c r="D818" s="113"/>
      <c r="E818" s="114" t="s">
        <v>2912</v>
      </c>
      <c r="F818" s="114" t="s">
        <v>2917</v>
      </c>
      <c r="G818" s="113" t="s">
        <v>127</v>
      </c>
      <c r="H818" s="113" t="s">
        <v>103</v>
      </c>
      <c r="I818" s="115" t="n">
        <v>251.78</v>
      </c>
      <c r="J818" s="115" t="s">
        <v>80</v>
      </c>
      <c r="K818" s="115" t="s">
        <v>81</v>
      </c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 t="s">
        <v>82</v>
      </c>
      <c r="W818" s="115" t="s">
        <v>92</v>
      </c>
      <c r="X818" s="113">
        <f>IF(INDIRECT("W818")="Clássico","12%",IF(INDIRECT("W818")="Premium","17%","-"))</f>
      </c>
      <c r="Y818" s="113" t="s">
        <v>414</v>
      </c>
    </row>
    <row r="819" ht="50.0" customHeight="true">
      <c r="A819" s="113" t="s">
        <v>2918</v>
      </c>
      <c r="B819" s="113" t="s">
        <v>2919</v>
      </c>
      <c r="C819" s="113" t="s">
        <v>2920</v>
      </c>
      <c r="D819" s="113"/>
      <c r="E819" s="114" t="s">
        <v>2921</v>
      </c>
      <c r="F819" s="114" t="s">
        <v>2922</v>
      </c>
      <c r="G819" s="113" t="s">
        <v>2922</v>
      </c>
      <c r="H819" s="113" t="s">
        <v>103</v>
      </c>
      <c r="I819" s="115" t="n">
        <v>68.99</v>
      </c>
      <c r="J819" s="115" t="s">
        <v>80</v>
      </c>
      <c r="K819" s="113" t="s">
        <v>81</v>
      </c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 t="s">
        <v>91</v>
      </c>
      <c r="W819" s="115" t="s">
        <v>92</v>
      </c>
      <c r="X819" s="113">
        <f>IF(INDIRECT("W819")="Clássico","12%",IF(INDIRECT("W819")="Premium","17%","-"))</f>
      </c>
      <c r="Y819" s="113" t="s">
        <v>836</v>
      </c>
    </row>
    <row r="820" ht="50.0" customHeight="true">
      <c r="A820" s="113" t="s">
        <v>2923</v>
      </c>
      <c r="B820" s="113" t="s">
        <v>2924</v>
      </c>
      <c r="C820" s="113" t="s">
        <v>2925</v>
      </c>
      <c r="D820" s="113"/>
      <c r="E820" s="114" t="s">
        <v>2921</v>
      </c>
      <c r="F820" s="114" t="s">
        <v>2926</v>
      </c>
      <c r="G820" s="113" t="s">
        <v>2926</v>
      </c>
      <c r="H820" s="113" t="s">
        <v>103</v>
      </c>
      <c r="I820" s="115" t="n">
        <v>77.9</v>
      </c>
      <c r="J820" s="115" t="s">
        <v>80</v>
      </c>
      <c r="K820" s="113" t="s">
        <v>81</v>
      </c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 t="s">
        <v>91</v>
      </c>
      <c r="W820" s="115" t="s">
        <v>83</v>
      </c>
      <c r="X820" s="113">
        <f>IF(INDIRECT("W820")="Clássico","12%",IF(INDIRECT("W820")="Premium","17%","-"))</f>
      </c>
      <c r="Y820" s="113" t="s">
        <v>836</v>
      </c>
    </row>
    <row r="821" ht="50.0" customHeight="true">
      <c r="A821" s="113" t="s">
        <v>2927</v>
      </c>
      <c r="B821" s="113" t="s">
        <v>2928</v>
      </c>
      <c r="C821" s="113" t="s">
        <v>2929</v>
      </c>
      <c r="D821" s="113"/>
      <c r="E821" s="114" t="s">
        <v>920</v>
      </c>
      <c r="F821" s="114" t="s">
        <v>2930</v>
      </c>
      <c r="G821" s="113" t="s">
        <v>2930</v>
      </c>
      <c r="H821" s="113" t="s">
        <v>103</v>
      </c>
      <c r="I821" s="115" t="n">
        <v>211.27</v>
      </c>
      <c r="J821" s="115" t="s">
        <v>80</v>
      </c>
      <c r="K821" s="115" t="s">
        <v>81</v>
      </c>
      <c r="L821" s="115" t="n">
        <v>215.12</v>
      </c>
      <c r="M821" s="115" t="n">
        <v>3.0</v>
      </c>
      <c r="N821" s="115"/>
      <c r="O821" s="115"/>
      <c r="P821" s="115"/>
      <c r="Q821" s="115"/>
      <c r="R821" s="115"/>
      <c r="S821" s="115"/>
      <c r="T821" s="115"/>
      <c r="U821" s="115"/>
      <c r="V821" s="115" t="s">
        <v>82</v>
      </c>
      <c r="W821" s="115" t="s">
        <v>92</v>
      </c>
      <c r="X821" s="113">
        <f>IF(INDIRECT("W821")="Clássico","12%",IF(INDIRECT("W821")="Premium","17%","-"))</f>
      </c>
      <c r="Y821" s="113" t="s">
        <v>482</v>
      </c>
    </row>
    <row r="822" ht="50.0" customHeight="true">
      <c r="A822" s="113" t="s">
        <v>669</v>
      </c>
      <c r="B822" s="113" t="s">
        <v>2931</v>
      </c>
      <c r="C822" s="113" t="s">
        <v>671</v>
      </c>
      <c r="D822" s="113"/>
      <c r="E822" s="114" t="s">
        <v>672</v>
      </c>
      <c r="F822" s="114" t="s">
        <v>673</v>
      </c>
      <c r="G822" s="113" t="s">
        <v>673</v>
      </c>
      <c r="H822" s="113" t="s">
        <v>304</v>
      </c>
      <c r="I822" s="115" t="n">
        <v>82.9</v>
      </c>
      <c r="J822" s="115" t="s">
        <v>80</v>
      </c>
      <c r="K822" s="115" t="s">
        <v>81</v>
      </c>
      <c r="L822" s="115" t="n">
        <v>150.69</v>
      </c>
      <c r="M822" s="115" t="n">
        <v>3.0</v>
      </c>
      <c r="N822" s="115"/>
      <c r="O822" s="115"/>
      <c r="P822" s="115"/>
      <c r="Q822" s="115"/>
      <c r="R822" s="115"/>
      <c r="S822" s="115"/>
      <c r="T822" s="115"/>
      <c r="U822" s="115"/>
      <c r="V822" s="115" t="s">
        <v>82</v>
      </c>
      <c r="W822" s="115" t="s">
        <v>83</v>
      </c>
      <c r="X822" s="113">
        <f>IF(INDIRECT("W822")="Clássico","12%",IF(INDIRECT("W822")="Premium","17%","-"))</f>
      </c>
      <c r="Y822" s="113" t="s">
        <v>200</v>
      </c>
    </row>
    <row r="823" ht="50.0" customHeight="true">
      <c r="A823" s="113" t="s">
        <v>669</v>
      </c>
      <c r="B823" s="113" t="s">
        <v>2932</v>
      </c>
      <c r="C823" s="113" t="s">
        <v>671</v>
      </c>
      <c r="D823" s="113"/>
      <c r="E823" s="114" t="s">
        <v>672</v>
      </c>
      <c r="F823" s="114" t="s">
        <v>673</v>
      </c>
      <c r="G823" s="113" t="s">
        <v>673</v>
      </c>
      <c r="H823" s="113" t="s">
        <v>304</v>
      </c>
      <c r="I823" s="115" t="n">
        <v>228.99</v>
      </c>
      <c r="J823" s="115" t="s">
        <v>80</v>
      </c>
      <c r="K823" s="115" t="s">
        <v>81</v>
      </c>
      <c r="L823" s="115" t="n">
        <v>133.61</v>
      </c>
      <c r="M823" s="115" t="n">
        <v>3.0</v>
      </c>
      <c r="N823" s="115"/>
      <c r="O823" s="115"/>
      <c r="P823" s="115"/>
      <c r="Q823" s="115"/>
      <c r="R823" s="115"/>
      <c r="S823" s="115"/>
      <c r="T823" s="115"/>
      <c r="U823" s="115"/>
      <c r="V823" s="115" t="s">
        <v>82</v>
      </c>
      <c r="W823" s="115" t="s">
        <v>83</v>
      </c>
      <c r="X823" s="113">
        <f>IF(INDIRECT("W823")="Clássico","12%",IF(INDIRECT("W823")="Premium","17%","-"))</f>
      </c>
      <c r="Y823" s="113" t="s">
        <v>200</v>
      </c>
    </row>
    <row r="824" ht="50.0" customHeight="true">
      <c r="A824" s="113" t="s">
        <v>2933</v>
      </c>
      <c r="B824" s="113" t="s">
        <v>2934</v>
      </c>
      <c r="C824" s="113" t="s">
        <v>2935</v>
      </c>
      <c r="D824" s="113"/>
      <c r="E824" s="114" t="s">
        <v>2884</v>
      </c>
      <c r="F824" s="114" t="s">
        <v>2936</v>
      </c>
      <c r="G824" s="113" t="s">
        <v>2936</v>
      </c>
      <c r="H824" s="113" t="s">
        <v>103</v>
      </c>
      <c r="I824" s="115" t="n">
        <v>73.29</v>
      </c>
      <c r="J824" s="115" t="s">
        <v>80</v>
      </c>
      <c r="K824" s="115" t="s">
        <v>81</v>
      </c>
      <c r="L824" s="115" t="n">
        <v>55.63</v>
      </c>
      <c r="M824" s="115" t="n">
        <v>3.0</v>
      </c>
      <c r="N824" s="115"/>
      <c r="O824" s="115"/>
      <c r="P824" s="115"/>
      <c r="Q824" s="115"/>
      <c r="R824" s="115"/>
      <c r="S824" s="115"/>
      <c r="T824" s="115"/>
      <c r="U824" s="115"/>
      <c r="V824" s="115" t="s">
        <v>91</v>
      </c>
      <c r="W824" s="115" t="s">
        <v>83</v>
      </c>
      <c r="X824" s="113">
        <f>IF(INDIRECT("W824")="Clássico","12%",IF(INDIRECT("W824")="Premium","17%","-"))</f>
      </c>
      <c r="Y824" s="113" t="s">
        <v>2886</v>
      </c>
    </row>
    <row r="825" ht="50.0" customHeight="true">
      <c r="A825" s="113" t="s">
        <v>2937</v>
      </c>
      <c r="B825" s="113" t="s">
        <v>2938</v>
      </c>
      <c r="C825" s="113" t="s">
        <v>2939</v>
      </c>
      <c r="D825" s="113"/>
      <c r="E825" s="114" t="s">
        <v>2651</v>
      </c>
      <c r="F825" s="114" t="s">
        <v>2940</v>
      </c>
      <c r="G825" s="113" t="s">
        <v>2940</v>
      </c>
      <c r="H825" s="113" t="s">
        <v>103</v>
      </c>
      <c r="I825" s="115" t="n">
        <v>187.9</v>
      </c>
      <c r="J825" s="115" t="s">
        <v>80</v>
      </c>
      <c r="K825" s="113" t="s">
        <v>81</v>
      </c>
      <c r="L825" s="115" t="n">
        <v>174.9</v>
      </c>
      <c r="M825" s="115" t="n">
        <v>3.0</v>
      </c>
      <c r="N825" s="115"/>
      <c r="O825" s="115"/>
      <c r="P825" s="115"/>
      <c r="Q825" s="115"/>
      <c r="R825" s="115"/>
      <c r="S825" s="115"/>
      <c r="T825" s="115"/>
      <c r="U825" s="115"/>
      <c r="V825" s="115" t="s">
        <v>82</v>
      </c>
      <c r="W825" s="115" t="s">
        <v>83</v>
      </c>
      <c r="X825" s="113">
        <f>IF(INDIRECT("W825")="Clássico","12%",IF(INDIRECT("W825")="Premium","17%","-"))</f>
      </c>
      <c r="Y825" s="113" t="s">
        <v>2653</v>
      </c>
    </row>
    <row r="826" ht="50.0" customHeight="true">
      <c r="A826" s="113" t="s">
        <v>2941</v>
      </c>
      <c r="B826" s="113" t="s">
        <v>2942</v>
      </c>
      <c r="C826" s="113" t="s">
        <v>2943</v>
      </c>
      <c r="D826" s="113"/>
      <c r="E826" s="114" t="s">
        <v>2651</v>
      </c>
      <c r="F826" s="114" t="s">
        <v>2944</v>
      </c>
      <c r="G826" s="113" t="s">
        <v>2944</v>
      </c>
      <c r="H826" s="113" t="s">
        <v>103</v>
      </c>
      <c r="I826" s="115" t="n">
        <v>210.0</v>
      </c>
      <c r="J826" s="115" t="s">
        <v>80</v>
      </c>
      <c r="K826" s="113" t="s">
        <v>81</v>
      </c>
      <c r="L826" s="115" t="n">
        <v>243.09</v>
      </c>
      <c r="M826" s="115" t="n">
        <v>3.0</v>
      </c>
      <c r="N826" s="115"/>
      <c r="O826" s="115"/>
      <c r="P826" s="115"/>
      <c r="Q826" s="115"/>
      <c r="R826" s="115"/>
      <c r="S826" s="115"/>
      <c r="T826" s="115"/>
      <c r="U826" s="115"/>
      <c r="V826" s="115" t="s">
        <v>82</v>
      </c>
      <c r="W826" s="115" t="s">
        <v>92</v>
      </c>
      <c r="X826" s="113">
        <f>IF(INDIRECT("W826")="Clássico","12%",IF(INDIRECT("W826")="Premium","17%","-"))</f>
      </c>
      <c r="Y826" s="113" t="s">
        <v>2653</v>
      </c>
    </row>
    <row r="827" ht="50.0" customHeight="true">
      <c r="A827" s="113" t="s">
        <v>2945</v>
      </c>
      <c r="B827" s="113" t="s">
        <v>2946</v>
      </c>
      <c r="C827" s="113" t="s">
        <v>2947</v>
      </c>
      <c r="D827" s="113"/>
      <c r="E827" s="114" t="s">
        <v>1496</v>
      </c>
      <c r="F827" s="114" t="s">
        <v>2948</v>
      </c>
      <c r="G827" s="113" t="s">
        <v>2948</v>
      </c>
      <c r="H827" s="113" t="s">
        <v>103</v>
      </c>
      <c r="I827" s="115" t="n">
        <v>351.78</v>
      </c>
      <c r="J827" s="115" t="s">
        <v>80</v>
      </c>
      <c r="K827" s="115" t="s">
        <v>81</v>
      </c>
      <c r="L827" s="115" t="n">
        <v>272.99</v>
      </c>
      <c r="M827" s="115" t="n">
        <v>3.0</v>
      </c>
      <c r="N827" s="115"/>
      <c r="O827" s="115"/>
      <c r="P827" s="115"/>
      <c r="Q827" s="115"/>
      <c r="R827" s="115"/>
      <c r="S827" s="115"/>
      <c r="T827" s="115"/>
      <c r="U827" s="115"/>
      <c r="V827" s="115" t="s">
        <v>82</v>
      </c>
      <c r="W827" s="115" t="s">
        <v>83</v>
      </c>
      <c r="X827" s="113">
        <f>IF(INDIRECT("W827")="Clássico","12%",IF(INDIRECT("W827")="Premium","17%","-"))</f>
      </c>
      <c r="Y827" s="113" t="s">
        <v>221</v>
      </c>
    </row>
    <row r="828" ht="50.0" customHeight="true">
      <c r="A828" s="113" t="s">
        <v>2949</v>
      </c>
      <c r="B828" s="113" t="s">
        <v>2950</v>
      </c>
      <c r="C828" s="113" t="s">
        <v>2951</v>
      </c>
      <c r="D828" s="113"/>
      <c r="E828" s="114" t="s">
        <v>1496</v>
      </c>
      <c r="F828" s="114" t="s">
        <v>2952</v>
      </c>
      <c r="G828" s="113" t="s">
        <v>2952</v>
      </c>
      <c r="H828" s="113" t="s">
        <v>103</v>
      </c>
      <c r="I828" s="115" t="n">
        <v>207.47</v>
      </c>
      <c r="J828" s="115" t="s">
        <v>80</v>
      </c>
      <c r="K828" s="115" t="s">
        <v>81</v>
      </c>
      <c r="L828" s="115" t="n">
        <v>158.9</v>
      </c>
      <c r="M828" s="115" t="n">
        <v>3.0</v>
      </c>
      <c r="N828" s="115"/>
      <c r="O828" s="115"/>
      <c r="P828" s="115"/>
      <c r="Q828" s="115"/>
      <c r="R828" s="115"/>
      <c r="S828" s="115"/>
      <c r="T828" s="115"/>
      <c r="U828" s="115"/>
      <c r="V828" s="115" t="s">
        <v>82</v>
      </c>
      <c r="W828" s="115" t="s">
        <v>83</v>
      </c>
      <c r="X828" s="113">
        <f>IF(INDIRECT("W828")="Clássico","12%",IF(INDIRECT("W828")="Premium","17%","-"))</f>
      </c>
      <c r="Y828" s="113" t="s">
        <v>221</v>
      </c>
    </row>
    <row r="829" ht="50.0" customHeight="true">
      <c r="A829" s="113" t="s">
        <v>2953</v>
      </c>
      <c r="B829" s="113" t="s">
        <v>2954</v>
      </c>
      <c r="C829" s="113" t="s">
        <v>2955</v>
      </c>
      <c r="D829" s="113"/>
      <c r="E829" s="114" t="s">
        <v>1188</v>
      </c>
      <c r="F829" s="114" t="s">
        <v>2956</v>
      </c>
      <c r="G829" s="113" t="s">
        <v>2956</v>
      </c>
      <c r="H829" s="113" t="s">
        <v>103</v>
      </c>
      <c r="I829" s="115" t="n">
        <v>351.78</v>
      </c>
      <c r="J829" s="115" t="s">
        <v>80</v>
      </c>
      <c r="K829" s="115" t="s">
        <v>81</v>
      </c>
      <c r="L829" s="115" t="n">
        <v>369.68</v>
      </c>
      <c r="M829" s="115" t="n">
        <v>3.0</v>
      </c>
      <c r="N829" s="115"/>
      <c r="O829" s="115"/>
      <c r="P829" s="115"/>
      <c r="Q829" s="115"/>
      <c r="R829" s="115"/>
      <c r="S829" s="115"/>
      <c r="T829" s="115"/>
      <c r="U829" s="115"/>
      <c r="V829" s="115" t="s">
        <v>82</v>
      </c>
      <c r="W829" s="115" t="s">
        <v>83</v>
      </c>
      <c r="X829" s="113">
        <f>IF(INDIRECT("W829")="Clássico","12%",IF(INDIRECT("W829")="Premium","17%","-"))</f>
      </c>
      <c r="Y829" s="113" t="s">
        <v>221</v>
      </c>
    </row>
    <row r="830" ht="50.0" customHeight="true">
      <c r="A830" s="113" t="s">
        <v>2957</v>
      </c>
      <c r="B830" s="113" t="s">
        <v>2958</v>
      </c>
      <c r="C830" s="113" t="s">
        <v>2959</v>
      </c>
      <c r="D830" s="113"/>
      <c r="E830" s="114" t="s">
        <v>2522</v>
      </c>
      <c r="F830" s="114" t="s">
        <v>2960</v>
      </c>
      <c r="G830" s="113" t="s">
        <v>518</v>
      </c>
      <c r="H830" s="113" t="s">
        <v>103</v>
      </c>
      <c r="I830" s="115" t="n">
        <v>32.9</v>
      </c>
      <c r="J830" s="115" t="s">
        <v>80</v>
      </c>
      <c r="K830" s="113" t="s">
        <v>81</v>
      </c>
      <c r="L830" s="115" t="n">
        <v>21.5</v>
      </c>
      <c r="M830" s="115" t="n">
        <v>3.0</v>
      </c>
      <c r="N830" s="115"/>
      <c r="O830" s="115"/>
      <c r="P830" s="115"/>
      <c r="Q830" s="115"/>
      <c r="R830" s="115"/>
      <c r="S830" s="115"/>
      <c r="T830" s="115"/>
      <c r="U830" s="115"/>
      <c r="V830" s="115" t="s">
        <v>91</v>
      </c>
      <c r="W830" s="115" t="s">
        <v>92</v>
      </c>
      <c r="X830" s="113">
        <f>IF(INDIRECT("W830")="Clássico","11.5%",IF(INDIRECT("W830")="Premium","16.5%","-"))</f>
      </c>
      <c r="Y830" s="113" t="s">
        <v>519</v>
      </c>
    </row>
    <row r="831" ht="50.0" customHeight="true">
      <c r="A831" s="113" t="s">
        <v>2961</v>
      </c>
      <c r="B831" s="113" t="s">
        <v>2962</v>
      </c>
      <c r="C831" s="113" t="s">
        <v>2963</v>
      </c>
      <c r="D831" s="113"/>
      <c r="E831" s="114" t="s">
        <v>2696</v>
      </c>
      <c r="F831" s="114" t="s">
        <v>2964</v>
      </c>
      <c r="G831" s="113" t="s">
        <v>518</v>
      </c>
      <c r="H831" s="113" t="s">
        <v>103</v>
      </c>
      <c r="I831" s="115" t="n">
        <v>42.41</v>
      </c>
      <c r="J831" s="115" t="s">
        <v>80</v>
      </c>
      <c r="K831" s="113" t="s">
        <v>81</v>
      </c>
      <c r="L831" s="115" t="n">
        <v>37.41</v>
      </c>
      <c r="M831" s="115" t="n">
        <v>3.0</v>
      </c>
      <c r="N831" s="115"/>
      <c r="O831" s="115"/>
      <c r="P831" s="115"/>
      <c r="Q831" s="115"/>
      <c r="R831" s="115"/>
      <c r="S831" s="115"/>
      <c r="T831" s="115"/>
      <c r="U831" s="115"/>
      <c r="V831" s="115" t="s">
        <v>91</v>
      </c>
      <c r="W831" s="115" t="s">
        <v>92</v>
      </c>
      <c r="X831" s="113">
        <f>IF(INDIRECT("W831")="Clássico","11.5%",IF(INDIRECT("W831")="Premium","16.5%","-"))</f>
      </c>
      <c r="Y831" s="113" t="s">
        <v>519</v>
      </c>
    </row>
    <row r="832" ht="50.0" customHeight="true">
      <c r="A832" s="113" t="s">
        <v>2965</v>
      </c>
      <c r="B832" s="113" t="s">
        <v>2966</v>
      </c>
      <c r="C832" s="113" t="s">
        <v>2967</v>
      </c>
      <c r="D832" s="113"/>
      <c r="E832" s="114" t="s">
        <v>2696</v>
      </c>
      <c r="F832" s="114" t="s">
        <v>2968</v>
      </c>
      <c r="G832" s="113" t="s">
        <v>518</v>
      </c>
      <c r="H832" s="113" t="s">
        <v>103</v>
      </c>
      <c r="I832" s="115" t="n">
        <v>41.14</v>
      </c>
      <c r="J832" s="115" t="s">
        <v>80</v>
      </c>
      <c r="K832" s="113" t="s">
        <v>81</v>
      </c>
      <c r="L832" s="115" t="n">
        <v>36.14</v>
      </c>
      <c r="M832" s="115" t="n">
        <v>3.0</v>
      </c>
      <c r="N832" s="115"/>
      <c r="O832" s="115"/>
      <c r="P832" s="115"/>
      <c r="Q832" s="115"/>
      <c r="R832" s="115"/>
      <c r="S832" s="115"/>
      <c r="T832" s="115"/>
      <c r="U832" s="115"/>
      <c r="V832" s="115" t="s">
        <v>91</v>
      </c>
      <c r="W832" s="115" t="s">
        <v>92</v>
      </c>
      <c r="X832" s="113">
        <f>IF(INDIRECT("W832")="Clássico","11.5%",IF(INDIRECT("W832")="Premium","16.5%","-"))</f>
      </c>
      <c r="Y832" s="113" t="s">
        <v>519</v>
      </c>
    </row>
    <row r="833" ht="50.0" customHeight="true">
      <c r="A833" s="113" t="s">
        <v>2969</v>
      </c>
      <c r="B833" s="113" t="s">
        <v>2970</v>
      </c>
      <c r="C833" s="113" t="s">
        <v>2971</v>
      </c>
      <c r="D833" s="113"/>
      <c r="E833" s="114" t="s">
        <v>2224</v>
      </c>
      <c r="F833" s="114" t="s">
        <v>2972</v>
      </c>
      <c r="G833" s="113" t="s">
        <v>2973</v>
      </c>
      <c r="H833" s="113" t="s">
        <v>103</v>
      </c>
      <c r="I833" s="115" t="n">
        <v>396.99</v>
      </c>
      <c r="J833" s="115" t="s">
        <v>80</v>
      </c>
      <c r="K833" s="115" t="s">
        <v>81</v>
      </c>
      <c r="L833" s="115" t="n">
        <v>235.99</v>
      </c>
      <c r="M833" s="115" t="n">
        <v>3.0</v>
      </c>
      <c r="N833" s="115"/>
      <c r="O833" s="115"/>
      <c r="P833" s="115"/>
      <c r="Q833" s="115"/>
      <c r="R833" s="115"/>
      <c r="S833" s="115"/>
      <c r="T833" s="115"/>
      <c r="U833" s="115"/>
      <c r="V833" s="115" t="s">
        <v>82</v>
      </c>
      <c r="W833" s="115" t="s">
        <v>83</v>
      </c>
      <c r="X833" s="113">
        <f>IF(INDIRECT("W833")="Clássico","12%",IF(INDIRECT("W833")="Premium","17%","-"))</f>
      </c>
      <c r="Y833" s="113" t="s">
        <v>22</v>
      </c>
    </row>
    <row r="834" ht="50.0" customHeight="true">
      <c r="A834" s="113" t="s">
        <v>2974</v>
      </c>
      <c r="B834" s="113" t="s">
        <v>2975</v>
      </c>
      <c r="C834" s="113" t="s">
        <v>2976</v>
      </c>
      <c r="D834" s="113"/>
      <c r="E834" s="114" t="s">
        <v>1950</v>
      </c>
      <c r="F834" s="114" t="s">
        <v>2977</v>
      </c>
      <c r="G834" s="113" t="s">
        <v>518</v>
      </c>
      <c r="H834" s="113" t="s">
        <v>103</v>
      </c>
      <c r="I834" s="115" t="n">
        <v>687.9</v>
      </c>
      <c r="J834" s="115" t="s">
        <v>80</v>
      </c>
      <c r="K834" s="115" t="s">
        <v>81</v>
      </c>
      <c r="L834" s="115" t="n">
        <v>475.99</v>
      </c>
      <c r="M834" s="115" t="n">
        <v>3.0</v>
      </c>
      <c r="N834" s="115"/>
      <c r="O834" s="115"/>
      <c r="P834" s="115"/>
      <c r="Q834" s="115"/>
      <c r="R834" s="115"/>
      <c r="S834" s="115"/>
      <c r="T834" s="115"/>
      <c r="U834" s="115"/>
      <c r="V834" s="115" t="s">
        <v>82</v>
      </c>
      <c r="W834" s="115" t="s">
        <v>83</v>
      </c>
      <c r="X834" s="113">
        <f>IF(INDIRECT("W834")="Clássico","12%",IF(INDIRECT("W834")="Premium","17%","-"))</f>
      </c>
      <c r="Y834" s="113" t="s">
        <v>1952</v>
      </c>
    </row>
    <row r="835" ht="50.0" customHeight="true">
      <c r="A835" s="113" t="s">
        <v>2978</v>
      </c>
      <c r="B835" s="113" t="s">
        <v>2979</v>
      </c>
      <c r="C835" s="113" t="s">
        <v>2980</v>
      </c>
      <c r="D835" s="113"/>
      <c r="E835" s="114" t="s">
        <v>2981</v>
      </c>
      <c r="F835" s="114" t="s">
        <v>2982</v>
      </c>
      <c r="G835" s="113" t="s">
        <v>2982</v>
      </c>
      <c r="H835" s="113" t="s">
        <v>103</v>
      </c>
      <c r="I835" s="115" t="n">
        <v>5000.0</v>
      </c>
      <c r="J835" s="115" t="s">
        <v>80</v>
      </c>
      <c r="K835" s="113" t="s">
        <v>81</v>
      </c>
      <c r="L835" s="115" t="n">
        <v>4995.0</v>
      </c>
      <c r="M835" s="115" t="n">
        <v>3.0</v>
      </c>
      <c r="N835" s="115"/>
      <c r="O835" s="115"/>
      <c r="P835" s="115"/>
      <c r="Q835" s="115"/>
      <c r="R835" s="115"/>
      <c r="S835" s="115"/>
      <c r="T835" s="115"/>
      <c r="U835" s="115"/>
      <c r="V835" s="115" t="s">
        <v>82</v>
      </c>
      <c r="W835" s="115" t="s">
        <v>83</v>
      </c>
      <c r="X835" s="113">
        <f>IF(INDIRECT("W835")="Clássico","12%",IF(INDIRECT("W835")="Premium","17%","-"))</f>
      </c>
      <c r="Y835" s="113" t="s">
        <v>1404</v>
      </c>
    </row>
    <row r="836" ht="50.0" customHeight="true">
      <c r="A836" s="113" t="s">
        <v>2983</v>
      </c>
      <c r="B836" s="113" t="s">
        <v>2984</v>
      </c>
      <c r="C836" s="113" t="s">
        <v>2985</v>
      </c>
      <c r="D836" s="113"/>
      <c r="E836" s="114" t="s">
        <v>1772</v>
      </c>
      <c r="F836" s="114" t="s">
        <v>2986</v>
      </c>
      <c r="G836" s="113" t="s">
        <v>2986</v>
      </c>
      <c r="H836" s="113" t="s">
        <v>103</v>
      </c>
      <c r="I836" s="115" t="n">
        <v>1165.9</v>
      </c>
      <c r="J836" s="115" t="s">
        <v>80</v>
      </c>
      <c r="K836" s="115" t="s">
        <v>81</v>
      </c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 t="s">
        <v>82</v>
      </c>
      <c r="W836" s="115" t="s">
        <v>83</v>
      </c>
      <c r="X836" s="113">
        <f>IF(INDIRECT("W836")="Clássico","12%",IF(INDIRECT("W836")="Premium","17%","-"))</f>
      </c>
      <c r="Y836" s="113" t="s">
        <v>1774</v>
      </c>
    </row>
    <row r="837" ht="50.0" customHeight="true">
      <c r="A837" s="113" t="s">
        <v>2987</v>
      </c>
      <c r="B837" s="113" t="s">
        <v>2988</v>
      </c>
      <c r="C837" s="113" t="s">
        <v>2989</v>
      </c>
      <c r="D837" s="113"/>
      <c r="E837" s="114" t="s">
        <v>2757</v>
      </c>
      <c r="F837" s="114" t="s">
        <v>2990</v>
      </c>
      <c r="G837" s="113" t="s">
        <v>2990</v>
      </c>
      <c r="H837" s="113" t="s">
        <v>103</v>
      </c>
      <c r="I837" s="115" t="n">
        <v>646.72</v>
      </c>
      <c r="J837" s="115" t="s">
        <v>80</v>
      </c>
      <c r="K837" s="115" t="s">
        <v>81</v>
      </c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 t="s">
        <v>82</v>
      </c>
      <c r="W837" s="115" t="s">
        <v>92</v>
      </c>
      <c r="X837" s="113">
        <f>IF(INDIRECT("W837")="Clássico","12%",IF(INDIRECT("W837")="Premium","17%","-"))</f>
      </c>
      <c r="Y837" s="113" t="s">
        <v>2126</v>
      </c>
    </row>
    <row r="838" ht="50.0" customHeight="true">
      <c r="A838" s="113" t="s">
        <v>2991</v>
      </c>
      <c r="B838" s="113" t="s">
        <v>2992</v>
      </c>
      <c r="C838" s="113" t="s">
        <v>2993</v>
      </c>
      <c r="D838" s="113"/>
      <c r="E838" s="114" t="s">
        <v>2757</v>
      </c>
      <c r="F838" s="114" t="s">
        <v>2994</v>
      </c>
      <c r="G838" s="113" t="s">
        <v>2994</v>
      </c>
      <c r="H838" s="113" t="s">
        <v>103</v>
      </c>
      <c r="I838" s="115" t="n">
        <v>647.98</v>
      </c>
      <c r="J838" s="115" t="s">
        <v>80</v>
      </c>
      <c r="K838" s="115" t="s">
        <v>81</v>
      </c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 t="s">
        <v>82</v>
      </c>
      <c r="W838" s="115" t="s">
        <v>92</v>
      </c>
      <c r="X838" s="113">
        <f>IF(INDIRECT("W838")="Clássico","12%",IF(INDIRECT("W838")="Premium","17%","-"))</f>
      </c>
      <c r="Y838" s="113" t="s">
        <v>2126</v>
      </c>
    </row>
    <row r="839" ht="50.0" customHeight="true">
      <c r="A839" s="113" t="s">
        <v>2995</v>
      </c>
      <c r="B839" s="113" t="s">
        <v>2996</v>
      </c>
      <c r="C839" s="113" t="s">
        <v>2997</v>
      </c>
      <c r="D839" s="113"/>
      <c r="E839" s="114" t="s">
        <v>285</v>
      </c>
      <c r="F839" s="114" t="s">
        <v>2998</v>
      </c>
      <c r="G839" s="113" t="s">
        <v>2998</v>
      </c>
      <c r="H839" s="113" t="s">
        <v>103</v>
      </c>
      <c r="I839" s="115" t="n">
        <v>127.9</v>
      </c>
      <c r="J839" s="115" t="s">
        <v>80</v>
      </c>
      <c r="K839" s="115" t="s">
        <v>81</v>
      </c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 t="s">
        <v>82</v>
      </c>
      <c r="W839" s="115" t="s">
        <v>83</v>
      </c>
      <c r="X839" s="113">
        <f>IF(INDIRECT("W839")="Clássico","12%",IF(INDIRECT("W839")="Premium","17%","-"))</f>
      </c>
      <c r="Y839" s="113" t="s">
        <v>287</v>
      </c>
    </row>
    <row r="840" ht="50.0" customHeight="true">
      <c r="A840" s="113" t="s">
        <v>2999</v>
      </c>
      <c r="B840" s="113" t="s">
        <v>3000</v>
      </c>
      <c r="C840" s="113" t="s">
        <v>3001</v>
      </c>
      <c r="D840" s="113"/>
      <c r="E840" s="114" t="s">
        <v>2906</v>
      </c>
      <c r="F840" s="114" t="s">
        <v>3002</v>
      </c>
      <c r="G840" s="113" t="s">
        <v>3002</v>
      </c>
      <c r="H840" s="113" t="s">
        <v>103</v>
      </c>
      <c r="I840" s="115" t="n">
        <v>400.9</v>
      </c>
      <c r="J840" s="115" t="s">
        <v>80</v>
      </c>
      <c r="K840" s="113" t="s">
        <v>81</v>
      </c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 t="s">
        <v>2908</v>
      </c>
      <c r="W840" s="115" t="s">
        <v>92</v>
      </c>
      <c r="X840" s="113">
        <f>IF(INDIRECT("W840")="Clássico","12%",IF(INDIRECT("W840")="Premium","17%","-"))</f>
      </c>
      <c r="Y840" s="113" t="s">
        <v>1041</v>
      </c>
    </row>
    <row r="841" ht="50.0" customHeight="true">
      <c r="A841" s="113" t="s">
        <v>3003</v>
      </c>
      <c r="B841" s="113" t="s">
        <v>3004</v>
      </c>
      <c r="C841" s="113" t="s">
        <v>3005</v>
      </c>
      <c r="D841" s="113"/>
      <c r="E841" s="114" t="s">
        <v>2906</v>
      </c>
      <c r="F841" s="114" t="s">
        <v>2907</v>
      </c>
      <c r="G841" s="113" t="s">
        <v>2907</v>
      </c>
      <c r="H841" s="113" t="s">
        <v>103</v>
      </c>
      <c r="I841" s="115" t="n">
        <v>410.9</v>
      </c>
      <c r="J841" s="115" t="s">
        <v>80</v>
      </c>
      <c r="K841" s="113" t="s">
        <v>81</v>
      </c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 t="s">
        <v>2908</v>
      </c>
      <c r="W841" s="115" t="s">
        <v>83</v>
      </c>
      <c r="X841" s="113">
        <f>IF(INDIRECT("W841")="Clássico","12%",IF(INDIRECT("W841")="Premium","17%","-"))</f>
      </c>
      <c r="Y841" s="113" t="s">
        <v>1041</v>
      </c>
    </row>
    <row r="842" ht="50.0" customHeight="true">
      <c r="A842" s="113" t="s">
        <v>3006</v>
      </c>
      <c r="B842" s="113" t="s">
        <v>3007</v>
      </c>
      <c r="C842" s="113" t="s">
        <v>3008</v>
      </c>
      <c r="D842" s="113"/>
      <c r="E842" s="114" t="s">
        <v>2912</v>
      </c>
      <c r="F842" s="114" t="s">
        <v>3009</v>
      </c>
      <c r="G842" s="113" t="s">
        <v>127</v>
      </c>
      <c r="H842" s="113" t="s">
        <v>103</v>
      </c>
      <c r="I842" s="115" t="n">
        <v>252.9</v>
      </c>
      <c r="J842" s="115" t="s">
        <v>80</v>
      </c>
      <c r="K842" s="115" t="s">
        <v>81</v>
      </c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 t="s">
        <v>82</v>
      </c>
      <c r="W842" s="115" t="s">
        <v>83</v>
      </c>
      <c r="X842" s="113">
        <f>IF(INDIRECT("W842")="Clássico","12%",IF(INDIRECT("W842")="Premium","17%","-"))</f>
      </c>
      <c r="Y842" s="113" t="s">
        <v>414</v>
      </c>
    </row>
    <row r="843" ht="50.0" customHeight="true">
      <c r="A843" s="113" t="s">
        <v>3010</v>
      </c>
      <c r="B843" s="113" t="s">
        <v>3011</v>
      </c>
      <c r="C843" s="113" t="s">
        <v>3012</v>
      </c>
      <c r="D843" s="113"/>
      <c r="E843" s="114" t="s">
        <v>2912</v>
      </c>
      <c r="F843" s="114" t="s">
        <v>3013</v>
      </c>
      <c r="G843" s="113" t="s">
        <v>127</v>
      </c>
      <c r="H843" s="113" t="s">
        <v>103</v>
      </c>
      <c r="I843" s="115" t="n">
        <v>278.36</v>
      </c>
      <c r="J843" s="115" t="s">
        <v>80</v>
      </c>
      <c r="K843" s="115" t="s">
        <v>81</v>
      </c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 t="s">
        <v>82</v>
      </c>
      <c r="W843" s="115" t="s">
        <v>83</v>
      </c>
      <c r="X843" s="113">
        <f>IF(INDIRECT("W843")="Clássico","12%",IF(INDIRECT("W843")="Premium","17%","-"))</f>
      </c>
      <c r="Y843" s="113" t="s">
        <v>414</v>
      </c>
    </row>
    <row r="844" ht="50.0" customHeight="true">
      <c r="A844" s="113" t="s">
        <v>3014</v>
      </c>
      <c r="B844" s="113" t="s">
        <v>3015</v>
      </c>
      <c r="C844" s="113" t="s">
        <v>3016</v>
      </c>
      <c r="D844" s="113"/>
      <c r="E844" s="114" t="s">
        <v>2912</v>
      </c>
      <c r="F844" s="114" t="s">
        <v>2913</v>
      </c>
      <c r="G844" s="113" t="s">
        <v>127</v>
      </c>
      <c r="H844" s="113" t="s">
        <v>103</v>
      </c>
      <c r="I844" s="115" t="n">
        <v>191.9</v>
      </c>
      <c r="J844" s="115" t="s">
        <v>80</v>
      </c>
      <c r="K844" s="115" t="s">
        <v>81</v>
      </c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 t="s">
        <v>82</v>
      </c>
      <c r="W844" s="115" t="s">
        <v>92</v>
      </c>
      <c r="X844" s="113">
        <f>IF(INDIRECT("W844")="Clássico","12%",IF(INDIRECT("W844")="Premium","17%","-"))</f>
      </c>
      <c r="Y844" s="113" t="s">
        <v>414</v>
      </c>
    </row>
    <row r="845" ht="50.0" customHeight="true">
      <c r="A845" s="113" t="s">
        <v>3017</v>
      </c>
      <c r="B845" s="113" t="s">
        <v>3018</v>
      </c>
      <c r="C845" s="113" t="s">
        <v>3019</v>
      </c>
      <c r="D845" s="113"/>
      <c r="E845" s="114" t="s">
        <v>2921</v>
      </c>
      <c r="F845" s="114" t="s">
        <v>3020</v>
      </c>
      <c r="G845" s="113" t="s">
        <v>3020</v>
      </c>
      <c r="H845" s="113" t="s">
        <v>103</v>
      </c>
      <c r="I845" s="115" t="n">
        <v>78.8</v>
      </c>
      <c r="J845" s="115" t="s">
        <v>80</v>
      </c>
      <c r="K845" s="113" t="s">
        <v>81</v>
      </c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 t="s">
        <v>91</v>
      </c>
      <c r="W845" s="115" t="s">
        <v>92</v>
      </c>
      <c r="X845" s="113">
        <f>IF(INDIRECT("W845")="Clássico","12%",IF(INDIRECT("W845")="Premium","17%","-"))</f>
      </c>
      <c r="Y845" s="113" t="s">
        <v>836</v>
      </c>
    </row>
    <row r="846" ht="50.0" customHeight="true">
      <c r="A846" s="113" t="s">
        <v>3017</v>
      </c>
      <c r="B846" s="113" t="s">
        <v>3021</v>
      </c>
      <c r="C846" s="113" t="s">
        <v>3022</v>
      </c>
      <c r="D846" s="113"/>
      <c r="E846" s="114" t="s">
        <v>2921</v>
      </c>
      <c r="F846" s="114" t="s">
        <v>3020</v>
      </c>
      <c r="G846" s="113" t="s">
        <v>3020</v>
      </c>
      <c r="H846" s="113" t="s">
        <v>103</v>
      </c>
      <c r="I846" s="115" t="n">
        <v>75.44</v>
      </c>
      <c r="J846" s="115" t="s">
        <v>80</v>
      </c>
      <c r="K846" s="113" t="s">
        <v>81</v>
      </c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 t="s">
        <v>91</v>
      </c>
      <c r="W846" s="115" t="s">
        <v>83</v>
      </c>
      <c r="X846" s="113">
        <f>IF(INDIRECT("W846")="Clássico","12%",IF(INDIRECT("W846")="Premium","17%","-"))</f>
      </c>
      <c r="Y846" s="113" t="s">
        <v>836</v>
      </c>
    </row>
    <row r="847" ht="50.0" customHeight="true">
      <c r="A847" s="113" t="s">
        <v>3023</v>
      </c>
      <c r="B847" s="113" t="s">
        <v>3024</v>
      </c>
      <c r="C847" s="113" t="s">
        <v>3025</v>
      </c>
      <c r="D847" s="113"/>
      <c r="E847" s="114" t="s">
        <v>2921</v>
      </c>
      <c r="F847" s="114" t="s">
        <v>3026</v>
      </c>
      <c r="G847" s="113" t="s">
        <v>3026</v>
      </c>
      <c r="H847" s="113" t="s">
        <v>103</v>
      </c>
      <c r="I847" s="115" t="n">
        <v>90.9</v>
      </c>
      <c r="J847" s="115" t="s">
        <v>80</v>
      </c>
      <c r="K847" s="113" t="s">
        <v>81</v>
      </c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 t="s">
        <v>82</v>
      </c>
      <c r="W847" s="115" t="s">
        <v>83</v>
      </c>
      <c r="X847" s="113">
        <f>IF(INDIRECT("W847")="Clássico","12%",IF(INDIRECT("W847")="Premium","17%","-"))</f>
      </c>
      <c r="Y847" s="113" t="s">
        <v>836</v>
      </c>
    </row>
    <row r="848" ht="50.0" customHeight="true">
      <c r="A848" s="113" t="s">
        <v>22</v>
      </c>
      <c r="B848" s="113" t="s">
        <v>3027</v>
      </c>
      <c r="C848" s="113"/>
      <c r="D848" s="113"/>
      <c r="E848" s="113" t="s">
        <v>22</v>
      </c>
      <c r="F848" s="113" t="s">
        <v>3028</v>
      </c>
      <c r="G848" s="113" t="s">
        <v>103</v>
      </c>
      <c r="H848" s="113" t="s">
        <v>103</v>
      </c>
      <c r="I848" s="115" t="n">
        <v>110.12</v>
      </c>
      <c r="J848" s="115" t="s">
        <v>80</v>
      </c>
      <c r="K848" s="113" t="s">
        <v>81</v>
      </c>
      <c r="L848" s="115" t="n">
        <v>105.12</v>
      </c>
      <c r="M848" s="115" t="n">
        <v>3.0</v>
      </c>
      <c r="N848" s="115"/>
      <c r="O848" s="115"/>
      <c r="P848" s="115"/>
      <c r="Q848" s="115"/>
      <c r="R848" s="115"/>
      <c r="S848" s="115"/>
      <c r="T848" s="115"/>
      <c r="U848" s="115"/>
      <c r="V848" s="115" t="s">
        <v>82</v>
      </c>
      <c r="W848" s="115" t="s">
        <v>92</v>
      </c>
      <c r="X848" s="113">
        <f>IF(INDIRECT("W848")="Clássico","11.5%","-")</f>
      </c>
      <c r="Y848" s="113" t="s">
        <v>3029</v>
      </c>
    </row>
    <row r="849" ht="50.0" customHeight="true">
      <c r="A849" s="113" t="s">
        <v>22</v>
      </c>
      <c r="B849" s="113" t="s">
        <v>3027</v>
      </c>
      <c r="C849" s="113" t="s">
        <v>3030</v>
      </c>
      <c r="D849" s="113" t="s">
        <v>3030</v>
      </c>
      <c r="E849" s="114" t="s">
        <v>3031</v>
      </c>
      <c r="F849" s="116">
        <f>"     "&amp;F848</f>
      </c>
      <c r="G849" s="113" t="s">
        <v>3032</v>
      </c>
      <c r="H849" s="113" t="s">
        <v>103</v>
      </c>
      <c r="I849" s="113">
        <f>I848</f>
      </c>
      <c r="J849" s="113">
        <f>J848&amp;"     "</f>
      </c>
      <c r="K849" s="113" t="s">
        <v>81</v>
      </c>
      <c r="L849" s="113">
        <f>L848</f>
      </c>
      <c r="M849" s="113">
        <f>M848</f>
      </c>
      <c r="N849" s="113">
        <f>N848</f>
      </c>
      <c r="O849" s="113">
        <f>O848</f>
      </c>
      <c r="P849" s="113">
        <f>P848</f>
      </c>
      <c r="Q849" s="113">
        <f>Q848</f>
      </c>
      <c r="R849" s="113">
        <f>R848</f>
      </c>
      <c r="S849" s="113">
        <f>S848</f>
      </c>
      <c r="T849" s="113">
        <f>T848</f>
      </c>
      <c r="U849" s="113">
        <f>U848</f>
      </c>
      <c r="V849" s="113">
        <f>V848&amp;"     "</f>
      </c>
      <c r="W849" s="113">
        <f>W848&amp;"     "</f>
      </c>
      <c r="X849" s="113">
        <f>X848</f>
      </c>
      <c r="Y849" s="113" t="s">
        <v>3029</v>
      </c>
    </row>
    <row r="850" ht="50.0" customHeight="true">
      <c r="A850" s="113" t="s">
        <v>22</v>
      </c>
      <c r="B850" s="113" t="s">
        <v>3027</v>
      </c>
      <c r="C850" s="113" t="s">
        <v>3033</v>
      </c>
      <c r="D850" s="113" t="s">
        <v>3033</v>
      </c>
      <c r="E850" s="114" t="s">
        <v>3034</v>
      </c>
      <c r="F850" s="116">
        <f>"     "&amp;F848</f>
      </c>
      <c r="G850" s="113" t="s">
        <v>3035</v>
      </c>
      <c r="H850" s="113" t="s">
        <v>103</v>
      </c>
      <c r="I850" s="113">
        <f>I848</f>
      </c>
      <c r="J850" s="113">
        <f>J848&amp;"     "</f>
      </c>
      <c r="K850" s="113" t="s">
        <v>81</v>
      </c>
      <c r="L850" s="113">
        <f>L848</f>
      </c>
      <c r="M850" s="113">
        <f>M848</f>
      </c>
      <c r="N850" s="113">
        <f>N848</f>
      </c>
      <c r="O850" s="113">
        <f>O848</f>
      </c>
      <c r="P850" s="113">
        <f>P848</f>
      </c>
      <c r="Q850" s="113">
        <f>Q848</f>
      </c>
      <c r="R850" s="113">
        <f>R848</f>
      </c>
      <c r="S850" s="113">
        <f>S848</f>
      </c>
      <c r="T850" s="113">
        <f>T848</f>
      </c>
      <c r="U850" s="113">
        <f>U848</f>
      </c>
      <c r="V850" s="113">
        <f>V848&amp;"     "</f>
      </c>
      <c r="W850" s="113">
        <f>W848&amp;"     "</f>
      </c>
      <c r="X850" s="113">
        <f>X848</f>
      </c>
      <c r="Y850" s="113" t="s">
        <v>3029</v>
      </c>
    </row>
    <row r="851" ht="50.0" customHeight="true">
      <c r="A851" s="113" t="s">
        <v>22</v>
      </c>
      <c r="B851" s="113" t="s">
        <v>3027</v>
      </c>
      <c r="C851" s="113" t="s">
        <v>3036</v>
      </c>
      <c r="D851" s="113" t="s">
        <v>3036</v>
      </c>
      <c r="E851" s="114" t="s">
        <v>3037</v>
      </c>
      <c r="F851" s="116">
        <f>"     "&amp;F848</f>
      </c>
      <c r="G851" s="113" t="s">
        <v>3038</v>
      </c>
      <c r="H851" s="113" t="s">
        <v>103</v>
      </c>
      <c r="I851" s="113">
        <f>I848</f>
      </c>
      <c r="J851" s="113">
        <f>J848&amp;"     "</f>
      </c>
      <c r="K851" s="113" t="s">
        <v>81</v>
      </c>
      <c r="L851" s="113">
        <f>L848</f>
      </c>
      <c r="M851" s="113">
        <f>M848</f>
      </c>
      <c r="N851" s="113">
        <f>N848</f>
      </c>
      <c r="O851" s="113">
        <f>O848</f>
      </c>
      <c r="P851" s="113">
        <f>P848</f>
      </c>
      <c r="Q851" s="113">
        <f>Q848</f>
      </c>
      <c r="R851" s="113">
        <f>R848</f>
      </c>
      <c r="S851" s="113">
        <f>S848</f>
      </c>
      <c r="T851" s="113">
        <f>T848</f>
      </c>
      <c r="U851" s="113">
        <f>U848</f>
      </c>
      <c r="V851" s="113">
        <f>V848&amp;"     "</f>
      </c>
      <c r="W851" s="113">
        <f>W848&amp;"     "</f>
      </c>
      <c r="X851" s="113">
        <f>X848</f>
      </c>
      <c r="Y851" s="113" t="s">
        <v>3029</v>
      </c>
    </row>
    <row r="852" ht="50.0" customHeight="true">
      <c r="A852" s="113" t="s">
        <v>22</v>
      </c>
      <c r="B852" s="113" t="s">
        <v>3027</v>
      </c>
      <c r="C852" s="113" t="s">
        <v>3039</v>
      </c>
      <c r="D852" s="113" t="s">
        <v>3039</v>
      </c>
      <c r="E852" s="114" t="s">
        <v>3040</v>
      </c>
      <c r="F852" s="116">
        <f>"     "&amp;F848</f>
      </c>
      <c r="G852" s="113" t="s">
        <v>3041</v>
      </c>
      <c r="H852" s="113" t="s">
        <v>103</v>
      </c>
      <c r="I852" s="113">
        <f>I848</f>
      </c>
      <c r="J852" s="113">
        <f>J848&amp;"     "</f>
      </c>
      <c r="K852" s="113" t="s">
        <v>81</v>
      </c>
      <c r="L852" s="113">
        <f>L848</f>
      </c>
      <c r="M852" s="113">
        <f>M848</f>
      </c>
      <c r="N852" s="113">
        <f>N848</f>
      </c>
      <c r="O852" s="113">
        <f>O848</f>
      </c>
      <c r="P852" s="113">
        <f>P848</f>
      </c>
      <c r="Q852" s="113">
        <f>Q848</f>
      </c>
      <c r="R852" s="113">
        <f>R848</f>
      </c>
      <c r="S852" s="113">
        <f>S848</f>
      </c>
      <c r="T852" s="113">
        <f>T848</f>
      </c>
      <c r="U852" s="113">
        <f>U848</f>
      </c>
      <c r="V852" s="113">
        <f>V848&amp;"     "</f>
      </c>
      <c r="W852" s="113">
        <f>W848&amp;"     "</f>
      </c>
      <c r="X852" s="113">
        <f>X848</f>
      </c>
      <c r="Y852" s="113" t="s">
        <v>3029</v>
      </c>
    </row>
    <row r="853" ht="50.0" customHeight="true">
      <c r="A853" s="113" t="s">
        <v>22</v>
      </c>
      <c r="B853" s="113" t="s">
        <v>3042</v>
      </c>
      <c r="C853" s="113"/>
      <c r="D853" s="113"/>
      <c r="E853" s="113" t="s">
        <v>22</v>
      </c>
      <c r="F853" s="113" t="s">
        <v>3043</v>
      </c>
      <c r="G853" s="113" t="s">
        <v>103</v>
      </c>
      <c r="H853" s="113" t="s">
        <v>103</v>
      </c>
      <c r="I853" s="115" t="n">
        <v>164.55</v>
      </c>
      <c r="J853" s="115" t="s">
        <v>80</v>
      </c>
      <c r="K853" s="113" t="s">
        <v>81</v>
      </c>
      <c r="L853" s="115" t="n">
        <v>159.55</v>
      </c>
      <c r="M853" s="115" t="n">
        <v>3.0</v>
      </c>
      <c r="N853" s="115"/>
      <c r="O853" s="115"/>
      <c r="P853" s="115"/>
      <c r="Q853" s="115"/>
      <c r="R853" s="115"/>
      <c r="S853" s="115"/>
      <c r="T853" s="115"/>
      <c r="U853" s="115"/>
      <c r="V853" s="115" t="s">
        <v>82</v>
      </c>
      <c r="W853" s="115" t="s">
        <v>92</v>
      </c>
      <c r="X853" s="113">
        <f>IF(INDIRECT("W853")="Clássico","11.5%","-")</f>
      </c>
      <c r="Y853" s="113" t="s">
        <v>3029</v>
      </c>
    </row>
    <row r="854" ht="50.0" customHeight="true">
      <c r="A854" s="113" t="s">
        <v>22</v>
      </c>
      <c r="B854" s="113" t="s">
        <v>3042</v>
      </c>
      <c r="C854" s="113" t="s">
        <v>3044</v>
      </c>
      <c r="D854" s="113" t="s">
        <v>3044</v>
      </c>
      <c r="E854" s="114" t="s">
        <v>3045</v>
      </c>
      <c r="F854" s="116">
        <f>"     "&amp;F853</f>
      </c>
      <c r="G854" s="113" t="s">
        <v>3046</v>
      </c>
      <c r="H854" s="113" t="s">
        <v>103</v>
      </c>
      <c r="I854" s="113">
        <f>I853</f>
      </c>
      <c r="J854" s="113">
        <f>J853&amp;"     "</f>
      </c>
      <c r="K854" s="113" t="s">
        <v>81</v>
      </c>
      <c r="L854" s="113">
        <f>L853</f>
      </c>
      <c r="M854" s="113">
        <f>M853</f>
      </c>
      <c r="N854" s="113">
        <f>N853</f>
      </c>
      <c r="O854" s="113">
        <f>O853</f>
      </c>
      <c r="P854" s="113">
        <f>P853</f>
      </c>
      <c r="Q854" s="113">
        <f>Q853</f>
      </c>
      <c r="R854" s="113">
        <f>R853</f>
      </c>
      <c r="S854" s="113">
        <f>S853</f>
      </c>
      <c r="T854" s="113">
        <f>T853</f>
      </c>
      <c r="U854" s="113">
        <f>U853</f>
      </c>
      <c r="V854" s="113">
        <f>V853&amp;"     "</f>
      </c>
      <c r="W854" s="113">
        <f>W853&amp;"     "</f>
      </c>
      <c r="X854" s="113">
        <f>X853</f>
      </c>
      <c r="Y854" s="113" t="s">
        <v>3029</v>
      </c>
    </row>
    <row r="855" ht="50.0" customHeight="true">
      <c r="A855" s="113" t="s">
        <v>22</v>
      </c>
      <c r="B855" s="113" t="s">
        <v>3042</v>
      </c>
      <c r="C855" s="113" t="s">
        <v>3047</v>
      </c>
      <c r="D855" s="113" t="s">
        <v>3047</v>
      </c>
      <c r="E855" s="114" t="s">
        <v>3048</v>
      </c>
      <c r="F855" s="116">
        <f>"     "&amp;F853</f>
      </c>
      <c r="G855" s="113" t="s">
        <v>3049</v>
      </c>
      <c r="H855" s="113" t="s">
        <v>103</v>
      </c>
      <c r="I855" s="113">
        <f>I853</f>
      </c>
      <c r="J855" s="113">
        <f>J853&amp;"     "</f>
      </c>
      <c r="K855" s="113" t="s">
        <v>81</v>
      </c>
      <c r="L855" s="113">
        <f>L853</f>
      </c>
      <c r="M855" s="113">
        <f>M853</f>
      </c>
      <c r="N855" s="113">
        <f>N853</f>
      </c>
      <c r="O855" s="113">
        <f>O853</f>
      </c>
      <c r="P855" s="113">
        <f>P853</f>
      </c>
      <c r="Q855" s="113">
        <f>Q853</f>
      </c>
      <c r="R855" s="113">
        <f>R853</f>
      </c>
      <c r="S855" s="113">
        <f>S853</f>
      </c>
      <c r="T855" s="113">
        <f>T853</f>
      </c>
      <c r="U855" s="113">
        <f>U853</f>
      </c>
      <c r="V855" s="113">
        <f>V853&amp;"     "</f>
      </c>
      <c r="W855" s="113">
        <f>W853&amp;"     "</f>
      </c>
      <c r="X855" s="113">
        <f>X853</f>
      </c>
      <c r="Y855" s="113" t="s">
        <v>3029</v>
      </c>
    </row>
    <row r="856" ht="50.0" customHeight="true">
      <c r="A856" s="113" t="s">
        <v>22</v>
      </c>
      <c r="B856" s="113" t="s">
        <v>3042</v>
      </c>
      <c r="C856" s="113" t="s">
        <v>3050</v>
      </c>
      <c r="D856" s="113" t="s">
        <v>3050</v>
      </c>
      <c r="E856" s="114" t="s">
        <v>3051</v>
      </c>
      <c r="F856" s="116">
        <f>"     "&amp;F853</f>
      </c>
      <c r="G856" s="113" t="s">
        <v>3052</v>
      </c>
      <c r="H856" s="113" t="s">
        <v>103</v>
      </c>
      <c r="I856" s="113">
        <f>I853</f>
      </c>
      <c r="J856" s="113">
        <f>J853&amp;"     "</f>
      </c>
      <c r="K856" s="113" t="s">
        <v>81</v>
      </c>
      <c r="L856" s="113">
        <f>L853</f>
      </c>
      <c r="M856" s="113">
        <f>M853</f>
      </c>
      <c r="N856" s="113">
        <f>N853</f>
      </c>
      <c r="O856" s="113">
        <f>O853</f>
      </c>
      <c r="P856" s="113">
        <f>P853</f>
      </c>
      <c r="Q856" s="113">
        <f>Q853</f>
      </c>
      <c r="R856" s="113">
        <f>R853</f>
      </c>
      <c r="S856" s="113">
        <f>S853</f>
      </c>
      <c r="T856" s="113">
        <f>T853</f>
      </c>
      <c r="U856" s="113">
        <f>U853</f>
      </c>
      <c r="V856" s="113">
        <f>V853&amp;"     "</f>
      </c>
      <c r="W856" s="113">
        <f>W853&amp;"     "</f>
      </c>
      <c r="X856" s="113">
        <f>X853</f>
      </c>
      <c r="Y856" s="113" t="s">
        <v>3029</v>
      </c>
    </row>
    <row r="857" ht="50.0" customHeight="true">
      <c r="A857" s="113" t="s">
        <v>22</v>
      </c>
      <c r="B857" s="113" t="s">
        <v>3042</v>
      </c>
      <c r="C857" s="113" t="s">
        <v>3053</v>
      </c>
      <c r="D857" s="113" t="s">
        <v>3053</v>
      </c>
      <c r="E857" s="114" t="s">
        <v>3054</v>
      </c>
      <c r="F857" s="116">
        <f>"     "&amp;F853</f>
      </c>
      <c r="G857" s="113" t="s">
        <v>3055</v>
      </c>
      <c r="H857" s="113" t="s">
        <v>103</v>
      </c>
      <c r="I857" s="113">
        <f>I853</f>
      </c>
      <c r="J857" s="113">
        <f>J853&amp;"     "</f>
      </c>
      <c r="K857" s="113" t="s">
        <v>81</v>
      </c>
      <c r="L857" s="113">
        <f>L853</f>
      </c>
      <c r="M857" s="113">
        <f>M853</f>
      </c>
      <c r="N857" s="113">
        <f>N853</f>
      </c>
      <c r="O857" s="113">
        <f>O853</f>
      </c>
      <c r="P857" s="113">
        <f>P853</f>
      </c>
      <c r="Q857" s="113">
        <f>Q853</f>
      </c>
      <c r="R857" s="113">
        <f>R853</f>
      </c>
      <c r="S857" s="113">
        <f>S853</f>
      </c>
      <c r="T857" s="113">
        <f>T853</f>
      </c>
      <c r="U857" s="113">
        <f>U853</f>
      </c>
      <c r="V857" s="113">
        <f>V853&amp;"     "</f>
      </c>
      <c r="W857" s="113">
        <f>W853&amp;"     "</f>
      </c>
      <c r="X857" s="113">
        <f>X853</f>
      </c>
      <c r="Y857" s="113" t="s">
        <v>3029</v>
      </c>
    </row>
    <row r="858" ht="50.0" customHeight="true">
      <c r="A858" s="113" t="s">
        <v>22</v>
      </c>
      <c r="B858" s="113" t="s">
        <v>3042</v>
      </c>
      <c r="C858" s="113" t="s">
        <v>3056</v>
      </c>
      <c r="D858" s="113" t="s">
        <v>3056</v>
      </c>
      <c r="E858" s="114" t="s">
        <v>3057</v>
      </c>
      <c r="F858" s="116">
        <f>"     "&amp;F853</f>
      </c>
      <c r="G858" s="113" t="s">
        <v>3058</v>
      </c>
      <c r="H858" s="113" t="s">
        <v>103</v>
      </c>
      <c r="I858" s="113">
        <f>I853</f>
      </c>
      <c r="J858" s="113">
        <f>J853&amp;"     "</f>
      </c>
      <c r="K858" s="113" t="s">
        <v>81</v>
      </c>
      <c r="L858" s="113">
        <f>L853</f>
      </c>
      <c r="M858" s="113">
        <f>M853</f>
      </c>
      <c r="N858" s="113">
        <f>N853</f>
      </c>
      <c r="O858" s="113">
        <f>O853</f>
      </c>
      <c r="P858" s="113">
        <f>P853</f>
      </c>
      <c r="Q858" s="113">
        <f>Q853</f>
      </c>
      <c r="R858" s="113">
        <f>R853</f>
      </c>
      <c r="S858" s="113">
        <f>S853</f>
      </c>
      <c r="T858" s="113">
        <f>T853</f>
      </c>
      <c r="U858" s="113">
        <f>U853</f>
      </c>
      <c r="V858" s="113">
        <f>V853&amp;"     "</f>
      </c>
      <c r="W858" s="113">
        <f>W853&amp;"     "</f>
      </c>
      <c r="X858" s="113">
        <f>X853</f>
      </c>
      <c r="Y858" s="113" t="s">
        <v>3029</v>
      </c>
    </row>
    <row r="859" ht="50.0" customHeight="true">
      <c r="A859" s="113" t="s">
        <v>22</v>
      </c>
      <c r="B859" s="113" t="s">
        <v>3059</v>
      </c>
      <c r="C859" s="113"/>
      <c r="D859" s="113"/>
      <c r="E859" s="113" t="s">
        <v>22</v>
      </c>
      <c r="F859" s="113" t="s">
        <v>3060</v>
      </c>
      <c r="G859" s="113" t="s">
        <v>103</v>
      </c>
      <c r="H859" s="113" t="s">
        <v>3061</v>
      </c>
      <c r="I859" s="115" t="n">
        <v>95.0</v>
      </c>
      <c r="J859" s="115" t="s">
        <v>80</v>
      </c>
      <c r="K859" s="113" t="s">
        <v>81</v>
      </c>
      <c r="L859" s="115" t="n">
        <v>90.0</v>
      </c>
      <c r="M859" s="115" t="n">
        <v>3.0</v>
      </c>
      <c r="N859" s="115"/>
      <c r="O859" s="115"/>
      <c r="P859" s="115"/>
      <c r="Q859" s="115"/>
      <c r="R859" s="115"/>
      <c r="S859" s="115"/>
      <c r="T859" s="115"/>
      <c r="U859" s="115"/>
      <c r="V859" s="115" t="s">
        <v>82</v>
      </c>
      <c r="W859" s="115" t="s">
        <v>83</v>
      </c>
      <c r="X859" s="113">
        <f>IF(INDIRECT("W859")="Premium","16.5%","-")</f>
      </c>
      <c r="Y859" s="113" t="s">
        <v>3029</v>
      </c>
    </row>
    <row r="860" ht="50.0" customHeight="true">
      <c r="A860" s="113" t="s">
        <v>22</v>
      </c>
      <c r="B860" s="113" t="s">
        <v>3059</v>
      </c>
      <c r="C860" s="113" t="s">
        <v>3062</v>
      </c>
      <c r="D860" s="113" t="s">
        <v>3062</v>
      </c>
      <c r="E860" s="114" t="s">
        <v>3063</v>
      </c>
      <c r="F860" s="116">
        <f>"     "&amp;F859</f>
      </c>
      <c r="G860" s="113" t="s">
        <v>3064</v>
      </c>
      <c r="H860" s="113" t="s">
        <v>3061</v>
      </c>
      <c r="I860" s="113">
        <f>I859</f>
      </c>
      <c r="J860" s="113">
        <f>J859&amp;"     "</f>
      </c>
      <c r="K860" s="113" t="s">
        <v>81</v>
      </c>
      <c r="L860" s="113">
        <f>L859</f>
      </c>
      <c r="M860" s="113">
        <f>M859</f>
      </c>
      <c r="N860" s="113">
        <f>N859</f>
      </c>
      <c r="O860" s="113">
        <f>O859</f>
      </c>
      <c r="P860" s="113">
        <f>P859</f>
      </c>
      <c r="Q860" s="113">
        <f>Q859</f>
      </c>
      <c r="R860" s="113">
        <f>R859</f>
      </c>
      <c r="S860" s="113">
        <f>S859</f>
      </c>
      <c r="T860" s="113">
        <f>T859</f>
      </c>
      <c r="U860" s="113">
        <f>U859</f>
      </c>
      <c r="V860" s="113">
        <f>V859&amp;"     "</f>
      </c>
      <c r="W860" s="113">
        <f>W859&amp;"     "</f>
      </c>
      <c r="X860" s="113">
        <f>X859</f>
      </c>
      <c r="Y860" s="113" t="s">
        <v>3029</v>
      </c>
    </row>
    <row r="861" ht="50.0" customHeight="true">
      <c r="A861" s="113" t="s">
        <v>22</v>
      </c>
      <c r="B861" s="113" t="s">
        <v>3059</v>
      </c>
      <c r="C861" s="113" t="s">
        <v>3065</v>
      </c>
      <c r="D861" s="113" t="s">
        <v>3065</v>
      </c>
      <c r="E861" s="114" t="s">
        <v>3066</v>
      </c>
      <c r="F861" s="116">
        <f>"     "&amp;F859</f>
      </c>
      <c r="G861" s="113" t="s">
        <v>3067</v>
      </c>
      <c r="H861" s="113" t="s">
        <v>3061</v>
      </c>
      <c r="I861" s="113">
        <f>I859</f>
      </c>
      <c r="J861" s="113">
        <f>J859&amp;"     "</f>
      </c>
      <c r="K861" s="113" t="s">
        <v>81</v>
      </c>
      <c r="L861" s="113">
        <f>L859</f>
      </c>
      <c r="M861" s="113">
        <f>M859</f>
      </c>
      <c r="N861" s="113">
        <f>N859</f>
      </c>
      <c r="O861" s="113">
        <f>O859</f>
      </c>
      <c r="P861" s="113">
        <f>P859</f>
      </c>
      <c r="Q861" s="113">
        <f>Q859</f>
      </c>
      <c r="R861" s="113">
        <f>R859</f>
      </c>
      <c r="S861" s="113">
        <f>S859</f>
      </c>
      <c r="T861" s="113">
        <f>T859</f>
      </c>
      <c r="U861" s="113">
        <f>U859</f>
      </c>
      <c r="V861" s="113">
        <f>V859&amp;"     "</f>
      </c>
      <c r="W861" s="113">
        <f>W859&amp;"     "</f>
      </c>
      <c r="X861" s="113">
        <f>X859</f>
      </c>
      <c r="Y861" s="113" t="s">
        <v>3029</v>
      </c>
    </row>
    <row r="862" ht="50.0" customHeight="true">
      <c r="A862" s="113" t="s">
        <v>22</v>
      </c>
      <c r="B862" s="113" t="s">
        <v>3059</v>
      </c>
      <c r="C862" s="113" t="s">
        <v>3068</v>
      </c>
      <c r="D862" s="113" t="s">
        <v>3068</v>
      </c>
      <c r="E862" s="114" t="s">
        <v>3069</v>
      </c>
      <c r="F862" s="116">
        <f>"     "&amp;F859</f>
      </c>
      <c r="G862" s="113" t="s">
        <v>3070</v>
      </c>
      <c r="H862" s="113" t="s">
        <v>3061</v>
      </c>
      <c r="I862" s="113">
        <f>I859</f>
      </c>
      <c r="J862" s="113">
        <f>J859&amp;"     "</f>
      </c>
      <c r="K862" s="113" t="s">
        <v>81</v>
      </c>
      <c r="L862" s="113">
        <f>L859</f>
      </c>
      <c r="M862" s="113">
        <f>M859</f>
      </c>
      <c r="N862" s="113">
        <f>N859</f>
      </c>
      <c r="O862" s="113">
        <f>O859</f>
      </c>
      <c r="P862" s="113">
        <f>P859</f>
      </c>
      <c r="Q862" s="113">
        <f>Q859</f>
      </c>
      <c r="R862" s="113">
        <f>R859</f>
      </c>
      <c r="S862" s="113">
        <f>S859</f>
      </c>
      <c r="T862" s="113">
        <f>T859</f>
      </c>
      <c r="U862" s="113">
        <f>U859</f>
      </c>
      <c r="V862" s="113">
        <f>V859&amp;"     "</f>
      </c>
      <c r="W862" s="113">
        <f>W859&amp;"     "</f>
      </c>
      <c r="X862" s="113">
        <f>X859</f>
      </c>
      <c r="Y862" s="113" t="s">
        <v>3029</v>
      </c>
    </row>
    <row r="863" ht="50.0" customHeight="true">
      <c r="A863" s="113" t="s">
        <v>22</v>
      </c>
      <c r="B863" s="113" t="s">
        <v>3059</v>
      </c>
      <c r="C863" s="113" t="s">
        <v>3071</v>
      </c>
      <c r="D863" s="113" t="s">
        <v>3071</v>
      </c>
      <c r="E863" s="114" t="s">
        <v>3072</v>
      </c>
      <c r="F863" s="116">
        <f>"     "&amp;F859</f>
      </c>
      <c r="G863" s="113" t="s">
        <v>3073</v>
      </c>
      <c r="H863" s="113" t="s">
        <v>3061</v>
      </c>
      <c r="I863" s="113">
        <f>I859</f>
      </c>
      <c r="J863" s="113">
        <f>J859&amp;"     "</f>
      </c>
      <c r="K863" s="113" t="s">
        <v>81</v>
      </c>
      <c r="L863" s="113">
        <f>L859</f>
      </c>
      <c r="M863" s="113">
        <f>M859</f>
      </c>
      <c r="N863" s="113">
        <f>N859</f>
      </c>
      <c r="O863" s="113">
        <f>O859</f>
      </c>
      <c r="P863" s="113">
        <f>P859</f>
      </c>
      <c r="Q863" s="113">
        <f>Q859</f>
      </c>
      <c r="R863" s="113">
        <f>R859</f>
      </c>
      <c r="S863" s="113">
        <f>S859</f>
      </c>
      <c r="T863" s="113">
        <f>T859</f>
      </c>
      <c r="U863" s="113">
        <f>U859</f>
      </c>
      <c r="V863" s="113">
        <f>V859&amp;"     "</f>
      </c>
      <c r="W863" s="113">
        <f>W859&amp;"     "</f>
      </c>
      <c r="X863" s="113">
        <f>X859</f>
      </c>
      <c r="Y863" s="113" t="s">
        <v>3029</v>
      </c>
    </row>
    <row r="864" ht="50.0" customHeight="true">
      <c r="A864" s="113" t="s">
        <v>22</v>
      </c>
      <c r="B864" s="113" t="s">
        <v>3074</v>
      </c>
      <c r="C864" s="113"/>
      <c r="D864" s="113"/>
      <c r="E864" s="113" t="s">
        <v>22</v>
      </c>
      <c r="F864" s="113" t="s">
        <v>3075</v>
      </c>
      <c r="G864" s="113" t="s">
        <v>103</v>
      </c>
      <c r="H864" s="113" t="s">
        <v>103</v>
      </c>
      <c r="I864" s="115" t="n">
        <v>192.39</v>
      </c>
      <c r="J864" s="115" t="s">
        <v>80</v>
      </c>
      <c r="K864" s="113" t="s">
        <v>81</v>
      </c>
      <c r="L864" s="115" t="n">
        <v>187.39</v>
      </c>
      <c r="M864" s="115" t="n">
        <v>3.0</v>
      </c>
      <c r="N864" s="115"/>
      <c r="O864" s="115"/>
      <c r="P864" s="115"/>
      <c r="Q864" s="115"/>
      <c r="R864" s="115"/>
      <c r="S864" s="115"/>
      <c r="T864" s="115"/>
      <c r="U864" s="115"/>
      <c r="V864" s="115" t="s">
        <v>82</v>
      </c>
      <c r="W864" s="115" t="s">
        <v>92</v>
      </c>
      <c r="X864" s="113">
        <f>IF(INDIRECT("W864")="Clássico","11.5%","-")</f>
      </c>
      <c r="Y864" s="113" t="s">
        <v>3029</v>
      </c>
    </row>
    <row r="865" ht="50.0" customHeight="true">
      <c r="A865" s="113" t="s">
        <v>22</v>
      </c>
      <c r="B865" s="113" t="s">
        <v>3074</v>
      </c>
      <c r="C865" s="113" t="s">
        <v>3076</v>
      </c>
      <c r="D865" s="113" t="s">
        <v>3076</v>
      </c>
      <c r="E865" s="114" t="s">
        <v>3077</v>
      </c>
      <c r="F865" s="116">
        <f>"     "&amp;F864</f>
      </c>
      <c r="G865" s="113" t="s">
        <v>3078</v>
      </c>
      <c r="H865" s="113" t="s">
        <v>103</v>
      </c>
      <c r="I865" s="113">
        <f>I864</f>
      </c>
      <c r="J865" s="113">
        <f>J864&amp;"     "</f>
      </c>
      <c r="K865" s="113" t="s">
        <v>81</v>
      </c>
      <c r="L865" s="113">
        <f>L864</f>
      </c>
      <c r="M865" s="113">
        <f>M864</f>
      </c>
      <c r="N865" s="113">
        <f>N864</f>
      </c>
      <c r="O865" s="113">
        <f>O864</f>
      </c>
      <c r="P865" s="113">
        <f>P864</f>
      </c>
      <c r="Q865" s="113">
        <f>Q864</f>
      </c>
      <c r="R865" s="113">
        <f>R864</f>
      </c>
      <c r="S865" s="113">
        <f>S864</f>
      </c>
      <c r="T865" s="113">
        <f>T864</f>
      </c>
      <c r="U865" s="113">
        <f>U864</f>
      </c>
      <c r="V865" s="113">
        <f>V864&amp;"     "</f>
      </c>
      <c r="W865" s="113">
        <f>W864&amp;"     "</f>
      </c>
      <c r="X865" s="113">
        <f>X864</f>
      </c>
      <c r="Y865" s="113" t="s">
        <v>3029</v>
      </c>
    </row>
    <row r="866" ht="50.0" customHeight="true">
      <c r="A866" s="113" t="s">
        <v>22</v>
      </c>
      <c r="B866" s="113" t="s">
        <v>3074</v>
      </c>
      <c r="C866" s="113" t="s">
        <v>3079</v>
      </c>
      <c r="D866" s="113" t="s">
        <v>3079</v>
      </c>
      <c r="E866" s="114" t="s">
        <v>3080</v>
      </c>
      <c r="F866" s="116">
        <f>"     "&amp;F864</f>
      </c>
      <c r="G866" s="113" t="s">
        <v>3081</v>
      </c>
      <c r="H866" s="113" t="s">
        <v>103</v>
      </c>
      <c r="I866" s="113">
        <f>I864</f>
      </c>
      <c r="J866" s="113">
        <f>J864&amp;"     "</f>
      </c>
      <c r="K866" s="113" t="s">
        <v>81</v>
      </c>
      <c r="L866" s="113">
        <f>L864</f>
      </c>
      <c r="M866" s="113">
        <f>M864</f>
      </c>
      <c r="N866" s="113">
        <f>N864</f>
      </c>
      <c r="O866" s="113">
        <f>O864</f>
      </c>
      <c r="P866" s="113">
        <f>P864</f>
      </c>
      <c r="Q866" s="113">
        <f>Q864</f>
      </c>
      <c r="R866" s="113">
        <f>R864</f>
      </c>
      <c r="S866" s="113">
        <f>S864</f>
      </c>
      <c r="T866" s="113">
        <f>T864</f>
      </c>
      <c r="U866" s="113">
        <f>U864</f>
      </c>
      <c r="V866" s="113">
        <f>V864&amp;"     "</f>
      </c>
      <c r="W866" s="113">
        <f>W864&amp;"     "</f>
      </c>
      <c r="X866" s="113">
        <f>X864</f>
      </c>
      <c r="Y866" s="113" t="s">
        <v>3029</v>
      </c>
    </row>
    <row r="867" ht="50.0" customHeight="true">
      <c r="A867" s="113" t="s">
        <v>22</v>
      </c>
      <c r="B867" s="113" t="s">
        <v>3074</v>
      </c>
      <c r="C867" s="113" t="s">
        <v>3082</v>
      </c>
      <c r="D867" s="113" t="s">
        <v>3082</v>
      </c>
      <c r="E867" s="114" t="s">
        <v>3083</v>
      </c>
      <c r="F867" s="116">
        <f>"     "&amp;F864</f>
      </c>
      <c r="G867" s="113" t="s">
        <v>3084</v>
      </c>
      <c r="H867" s="113" t="s">
        <v>103</v>
      </c>
      <c r="I867" s="113">
        <f>I864</f>
      </c>
      <c r="J867" s="113">
        <f>J864&amp;"     "</f>
      </c>
      <c r="K867" s="113" t="s">
        <v>81</v>
      </c>
      <c r="L867" s="113">
        <f>L864</f>
      </c>
      <c r="M867" s="113">
        <f>M864</f>
      </c>
      <c r="N867" s="113">
        <f>N864</f>
      </c>
      <c r="O867" s="113">
        <f>O864</f>
      </c>
      <c r="P867" s="113">
        <f>P864</f>
      </c>
      <c r="Q867" s="113">
        <f>Q864</f>
      </c>
      <c r="R867" s="113">
        <f>R864</f>
      </c>
      <c r="S867" s="113">
        <f>S864</f>
      </c>
      <c r="T867" s="113">
        <f>T864</f>
      </c>
      <c r="U867" s="113">
        <f>U864</f>
      </c>
      <c r="V867" s="113">
        <f>V864&amp;"     "</f>
      </c>
      <c r="W867" s="113">
        <f>W864&amp;"     "</f>
      </c>
      <c r="X867" s="113">
        <f>X864</f>
      </c>
      <c r="Y867" s="113" t="s">
        <v>3029</v>
      </c>
    </row>
    <row r="868" ht="50.0" customHeight="true">
      <c r="A868" s="113" t="s">
        <v>22</v>
      </c>
      <c r="B868" s="113" t="s">
        <v>3074</v>
      </c>
      <c r="C868" s="113" t="s">
        <v>3085</v>
      </c>
      <c r="D868" s="113" t="s">
        <v>3085</v>
      </c>
      <c r="E868" s="114" t="s">
        <v>3086</v>
      </c>
      <c r="F868" s="116">
        <f>"     "&amp;F864</f>
      </c>
      <c r="G868" s="113" t="s">
        <v>3087</v>
      </c>
      <c r="H868" s="113" t="s">
        <v>103</v>
      </c>
      <c r="I868" s="113">
        <f>I864</f>
      </c>
      <c r="J868" s="113">
        <f>J864&amp;"     "</f>
      </c>
      <c r="K868" s="113" t="s">
        <v>81</v>
      </c>
      <c r="L868" s="113">
        <f>L864</f>
      </c>
      <c r="M868" s="113">
        <f>M864</f>
      </c>
      <c r="N868" s="113">
        <f>N864</f>
      </c>
      <c r="O868" s="113">
        <f>O864</f>
      </c>
      <c r="P868" s="113">
        <f>P864</f>
      </c>
      <c r="Q868" s="113">
        <f>Q864</f>
      </c>
      <c r="R868" s="113">
        <f>R864</f>
      </c>
      <c r="S868" s="113">
        <f>S864</f>
      </c>
      <c r="T868" s="113">
        <f>T864</f>
      </c>
      <c r="U868" s="113">
        <f>U864</f>
      </c>
      <c r="V868" s="113">
        <f>V864&amp;"     "</f>
      </c>
      <c r="W868" s="113">
        <f>W864&amp;"     "</f>
      </c>
      <c r="X868" s="113">
        <f>X864</f>
      </c>
      <c r="Y868" s="113" t="s">
        <v>3029</v>
      </c>
    </row>
    <row r="869" ht="50.0" customHeight="true">
      <c r="A869" s="113" t="s">
        <v>22</v>
      </c>
      <c r="B869" s="113" t="s">
        <v>3074</v>
      </c>
      <c r="C869" s="113" t="s">
        <v>3088</v>
      </c>
      <c r="D869" s="113" t="s">
        <v>3088</v>
      </c>
      <c r="E869" s="114" t="s">
        <v>3089</v>
      </c>
      <c r="F869" s="116">
        <f>"     "&amp;F864</f>
      </c>
      <c r="G869" s="113" t="s">
        <v>3090</v>
      </c>
      <c r="H869" s="113" t="s">
        <v>103</v>
      </c>
      <c r="I869" s="113">
        <f>I864</f>
      </c>
      <c r="J869" s="113">
        <f>J864&amp;"     "</f>
      </c>
      <c r="K869" s="113" t="s">
        <v>81</v>
      </c>
      <c r="L869" s="113">
        <f>L864</f>
      </c>
      <c r="M869" s="113">
        <f>M864</f>
      </c>
      <c r="N869" s="113">
        <f>N864</f>
      </c>
      <c r="O869" s="113">
        <f>O864</f>
      </c>
      <c r="P869" s="113">
        <f>P864</f>
      </c>
      <c r="Q869" s="113">
        <f>Q864</f>
      </c>
      <c r="R869" s="113">
        <f>R864</f>
      </c>
      <c r="S869" s="113">
        <f>S864</f>
      </c>
      <c r="T869" s="113">
        <f>T864</f>
      </c>
      <c r="U869" s="113">
        <f>U864</f>
      </c>
      <c r="V869" s="113">
        <f>V864&amp;"     "</f>
      </c>
      <c r="W869" s="113">
        <f>W864&amp;"     "</f>
      </c>
      <c r="X869" s="113">
        <f>X864</f>
      </c>
      <c r="Y869" s="113" t="s">
        <v>3029</v>
      </c>
    </row>
    <row r="870" ht="50.0" customHeight="true">
      <c r="A870" s="113" t="s">
        <v>22</v>
      </c>
      <c r="B870" s="113" t="s">
        <v>3091</v>
      </c>
      <c r="C870" s="113"/>
      <c r="D870" s="113"/>
      <c r="E870" s="113" t="s">
        <v>22</v>
      </c>
      <c r="F870" s="113" t="s">
        <v>3092</v>
      </c>
      <c r="G870" s="113" t="s">
        <v>103</v>
      </c>
      <c r="H870" s="113" t="s">
        <v>103</v>
      </c>
      <c r="I870" s="115" t="n">
        <v>177.2</v>
      </c>
      <c r="J870" s="115" t="s">
        <v>80</v>
      </c>
      <c r="K870" s="113" t="s">
        <v>81</v>
      </c>
      <c r="L870" s="115" t="n">
        <v>172.2</v>
      </c>
      <c r="M870" s="115" t="n">
        <v>3.0</v>
      </c>
      <c r="N870" s="115"/>
      <c r="O870" s="115"/>
      <c r="P870" s="115"/>
      <c r="Q870" s="115"/>
      <c r="R870" s="115"/>
      <c r="S870" s="115"/>
      <c r="T870" s="115"/>
      <c r="U870" s="115"/>
      <c r="V870" s="115" t="s">
        <v>82</v>
      </c>
      <c r="W870" s="115" t="s">
        <v>92</v>
      </c>
      <c r="X870" s="113">
        <f>IF(INDIRECT("W870")="Clássico","11.5%","-")</f>
      </c>
      <c r="Y870" s="113" t="s">
        <v>3029</v>
      </c>
    </row>
    <row r="871" ht="50.0" customHeight="true">
      <c r="A871" s="113" t="s">
        <v>22</v>
      </c>
      <c r="B871" s="113" t="s">
        <v>3091</v>
      </c>
      <c r="C871" s="113" t="s">
        <v>3093</v>
      </c>
      <c r="D871" s="113" t="s">
        <v>3093</v>
      </c>
      <c r="E871" s="114" t="s">
        <v>3045</v>
      </c>
      <c r="F871" s="116">
        <f>"     "&amp;F870</f>
      </c>
      <c r="G871" s="113" t="s">
        <v>3094</v>
      </c>
      <c r="H871" s="113" t="s">
        <v>103</v>
      </c>
      <c r="I871" s="113">
        <f>I870</f>
      </c>
      <c r="J871" s="113">
        <f>J870&amp;"     "</f>
      </c>
      <c r="K871" s="113" t="s">
        <v>81</v>
      </c>
      <c r="L871" s="113">
        <f>L870</f>
      </c>
      <c r="M871" s="113">
        <f>M870</f>
      </c>
      <c r="N871" s="113">
        <f>N870</f>
      </c>
      <c r="O871" s="113">
        <f>O870</f>
      </c>
      <c r="P871" s="113">
        <f>P870</f>
      </c>
      <c r="Q871" s="113">
        <f>Q870</f>
      </c>
      <c r="R871" s="113">
        <f>R870</f>
      </c>
      <c r="S871" s="113">
        <f>S870</f>
      </c>
      <c r="T871" s="113">
        <f>T870</f>
      </c>
      <c r="U871" s="113">
        <f>U870</f>
      </c>
      <c r="V871" s="113">
        <f>V870&amp;"     "</f>
      </c>
      <c r="W871" s="113">
        <f>W870&amp;"     "</f>
      </c>
      <c r="X871" s="113">
        <f>X870</f>
      </c>
      <c r="Y871" s="113" t="s">
        <v>3029</v>
      </c>
    </row>
    <row r="872" ht="50.0" customHeight="true">
      <c r="A872" s="113" t="s">
        <v>22</v>
      </c>
      <c r="B872" s="113" t="s">
        <v>3091</v>
      </c>
      <c r="C872" s="113" t="s">
        <v>3095</v>
      </c>
      <c r="D872" s="113" t="s">
        <v>3095</v>
      </c>
      <c r="E872" s="114" t="s">
        <v>3048</v>
      </c>
      <c r="F872" s="116">
        <f>"     "&amp;F870</f>
      </c>
      <c r="G872" s="113" t="s">
        <v>3096</v>
      </c>
      <c r="H872" s="113" t="s">
        <v>103</v>
      </c>
      <c r="I872" s="113">
        <f>I870</f>
      </c>
      <c r="J872" s="113">
        <f>J870&amp;"     "</f>
      </c>
      <c r="K872" s="113" t="s">
        <v>81</v>
      </c>
      <c r="L872" s="113">
        <f>L870</f>
      </c>
      <c r="M872" s="113">
        <f>M870</f>
      </c>
      <c r="N872" s="113">
        <f>N870</f>
      </c>
      <c r="O872" s="113">
        <f>O870</f>
      </c>
      <c r="P872" s="113">
        <f>P870</f>
      </c>
      <c r="Q872" s="113">
        <f>Q870</f>
      </c>
      <c r="R872" s="113">
        <f>R870</f>
      </c>
      <c r="S872" s="113">
        <f>S870</f>
      </c>
      <c r="T872" s="113">
        <f>T870</f>
      </c>
      <c r="U872" s="113">
        <f>U870</f>
      </c>
      <c r="V872" s="113">
        <f>V870&amp;"     "</f>
      </c>
      <c r="W872" s="113">
        <f>W870&amp;"     "</f>
      </c>
      <c r="X872" s="113">
        <f>X870</f>
      </c>
      <c r="Y872" s="113" t="s">
        <v>3029</v>
      </c>
    </row>
    <row r="873" ht="50.0" customHeight="true">
      <c r="A873" s="113" t="s">
        <v>22</v>
      </c>
      <c r="B873" s="113" t="s">
        <v>3091</v>
      </c>
      <c r="C873" s="113" t="s">
        <v>3097</v>
      </c>
      <c r="D873" s="113" t="s">
        <v>3097</v>
      </c>
      <c r="E873" s="114" t="s">
        <v>3051</v>
      </c>
      <c r="F873" s="116">
        <f>"     "&amp;F870</f>
      </c>
      <c r="G873" s="113" t="s">
        <v>3098</v>
      </c>
      <c r="H873" s="113" t="s">
        <v>103</v>
      </c>
      <c r="I873" s="113">
        <f>I870</f>
      </c>
      <c r="J873" s="113">
        <f>J870&amp;"     "</f>
      </c>
      <c r="K873" s="113" t="s">
        <v>81</v>
      </c>
      <c r="L873" s="113">
        <f>L870</f>
      </c>
      <c r="M873" s="113">
        <f>M870</f>
      </c>
      <c r="N873" s="113">
        <f>N870</f>
      </c>
      <c r="O873" s="113">
        <f>O870</f>
      </c>
      <c r="P873" s="113">
        <f>P870</f>
      </c>
      <c r="Q873" s="113">
        <f>Q870</f>
      </c>
      <c r="R873" s="113">
        <f>R870</f>
      </c>
      <c r="S873" s="113">
        <f>S870</f>
      </c>
      <c r="T873" s="113">
        <f>T870</f>
      </c>
      <c r="U873" s="113">
        <f>U870</f>
      </c>
      <c r="V873" s="113">
        <f>V870&amp;"     "</f>
      </c>
      <c r="W873" s="113">
        <f>W870&amp;"     "</f>
      </c>
      <c r="X873" s="113">
        <f>X870</f>
      </c>
      <c r="Y873" s="113" t="s">
        <v>3029</v>
      </c>
    </row>
    <row r="874" ht="50.0" customHeight="true">
      <c r="A874" s="113" t="s">
        <v>22</v>
      </c>
      <c r="B874" s="113" t="s">
        <v>3091</v>
      </c>
      <c r="C874" s="113" t="s">
        <v>3099</v>
      </c>
      <c r="D874" s="113" t="s">
        <v>3099</v>
      </c>
      <c r="E874" s="114" t="s">
        <v>3054</v>
      </c>
      <c r="F874" s="116">
        <f>"     "&amp;F870</f>
      </c>
      <c r="G874" s="113" t="s">
        <v>3100</v>
      </c>
      <c r="H874" s="113" t="s">
        <v>103</v>
      </c>
      <c r="I874" s="113">
        <f>I870</f>
      </c>
      <c r="J874" s="113">
        <f>J870&amp;"     "</f>
      </c>
      <c r="K874" s="113" t="s">
        <v>81</v>
      </c>
      <c r="L874" s="113">
        <f>L870</f>
      </c>
      <c r="M874" s="113">
        <f>M870</f>
      </c>
      <c r="N874" s="113">
        <f>N870</f>
      </c>
      <c r="O874" s="113">
        <f>O870</f>
      </c>
      <c r="P874" s="113">
        <f>P870</f>
      </c>
      <c r="Q874" s="113">
        <f>Q870</f>
      </c>
      <c r="R874" s="113">
        <f>R870</f>
      </c>
      <c r="S874" s="113">
        <f>S870</f>
      </c>
      <c r="T874" s="113">
        <f>T870</f>
      </c>
      <c r="U874" s="113">
        <f>U870</f>
      </c>
      <c r="V874" s="113">
        <f>V870&amp;"     "</f>
      </c>
      <c r="W874" s="113">
        <f>W870&amp;"     "</f>
      </c>
      <c r="X874" s="113">
        <f>X870</f>
      </c>
      <c r="Y874" s="113" t="s">
        <v>3029</v>
      </c>
    </row>
    <row r="875" ht="50.0" customHeight="true">
      <c r="A875" s="113" t="s">
        <v>22</v>
      </c>
      <c r="B875" s="113" t="s">
        <v>3091</v>
      </c>
      <c r="C875" s="113" t="s">
        <v>3101</v>
      </c>
      <c r="D875" s="113" t="s">
        <v>3101</v>
      </c>
      <c r="E875" s="114" t="s">
        <v>3057</v>
      </c>
      <c r="F875" s="116">
        <f>"     "&amp;F870</f>
      </c>
      <c r="G875" s="113" t="s">
        <v>3102</v>
      </c>
      <c r="H875" s="113" t="s">
        <v>103</v>
      </c>
      <c r="I875" s="113">
        <f>I870</f>
      </c>
      <c r="J875" s="113">
        <f>J870&amp;"     "</f>
      </c>
      <c r="K875" s="113" t="s">
        <v>81</v>
      </c>
      <c r="L875" s="113">
        <f>L870</f>
      </c>
      <c r="M875" s="113">
        <f>M870</f>
      </c>
      <c r="N875" s="113">
        <f>N870</f>
      </c>
      <c r="O875" s="113">
        <f>O870</f>
      </c>
      <c r="P875" s="113">
        <f>P870</f>
      </c>
      <c r="Q875" s="113">
        <f>Q870</f>
      </c>
      <c r="R875" s="113">
        <f>R870</f>
      </c>
      <c r="S875" s="113">
        <f>S870</f>
      </c>
      <c r="T875" s="113">
        <f>T870</f>
      </c>
      <c r="U875" s="113">
        <f>U870</f>
      </c>
      <c r="V875" s="113">
        <f>V870&amp;"     "</f>
      </c>
      <c r="W875" s="113">
        <f>W870&amp;"     "</f>
      </c>
      <c r="X875" s="113">
        <f>X870</f>
      </c>
      <c r="Y875" s="113" t="s">
        <v>3029</v>
      </c>
    </row>
    <row r="876" ht="50.0" customHeight="true">
      <c r="A876" s="113" t="s">
        <v>22</v>
      </c>
      <c r="B876" s="113" t="s">
        <v>3103</v>
      </c>
      <c r="C876" s="113"/>
      <c r="D876" s="113"/>
      <c r="E876" s="113" t="s">
        <v>22</v>
      </c>
      <c r="F876" s="113" t="s">
        <v>3104</v>
      </c>
      <c r="G876" s="113" t="s">
        <v>103</v>
      </c>
      <c r="H876" s="113" t="s">
        <v>103</v>
      </c>
      <c r="I876" s="115" t="n">
        <v>165.81</v>
      </c>
      <c r="J876" s="115" t="s">
        <v>80</v>
      </c>
      <c r="K876" s="113" t="s">
        <v>81</v>
      </c>
      <c r="L876" s="115" t="n">
        <v>160.81</v>
      </c>
      <c r="M876" s="115" t="n">
        <v>3.0</v>
      </c>
      <c r="N876" s="115"/>
      <c r="O876" s="115"/>
      <c r="P876" s="115"/>
      <c r="Q876" s="115"/>
      <c r="R876" s="115"/>
      <c r="S876" s="115"/>
      <c r="T876" s="115"/>
      <c r="U876" s="115"/>
      <c r="V876" s="115" t="s">
        <v>82</v>
      </c>
      <c r="W876" s="115" t="s">
        <v>92</v>
      </c>
      <c r="X876" s="113">
        <f>IF(INDIRECT("W876")="Clássico","11.5%","-")</f>
      </c>
      <c r="Y876" s="113" t="s">
        <v>3029</v>
      </c>
    </row>
    <row r="877" ht="50.0" customHeight="true">
      <c r="A877" s="113" t="s">
        <v>22</v>
      </c>
      <c r="B877" s="113" t="s">
        <v>3103</v>
      </c>
      <c r="C877" s="113" t="s">
        <v>3105</v>
      </c>
      <c r="D877" s="113" t="s">
        <v>3105</v>
      </c>
      <c r="E877" s="114" t="s">
        <v>3045</v>
      </c>
      <c r="F877" s="116">
        <f>"     "&amp;F876</f>
      </c>
      <c r="G877" s="113" t="s">
        <v>3106</v>
      </c>
      <c r="H877" s="113" t="s">
        <v>103</v>
      </c>
      <c r="I877" s="113">
        <f>I876</f>
      </c>
      <c r="J877" s="113">
        <f>J876&amp;"     "</f>
      </c>
      <c r="K877" s="113" t="s">
        <v>81</v>
      </c>
      <c r="L877" s="113">
        <f>L876</f>
      </c>
      <c r="M877" s="113">
        <f>M876</f>
      </c>
      <c r="N877" s="113">
        <f>N876</f>
      </c>
      <c r="O877" s="113">
        <f>O876</f>
      </c>
      <c r="P877" s="113">
        <f>P876</f>
      </c>
      <c r="Q877" s="113">
        <f>Q876</f>
      </c>
      <c r="R877" s="113">
        <f>R876</f>
      </c>
      <c r="S877" s="113">
        <f>S876</f>
      </c>
      <c r="T877" s="113">
        <f>T876</f>
      </c>
      <c r="U877" s="113">
        <f>U876</f>
      </c>
      <c r="V877" s="113">
        <f>V876&amp;"     "</f>
      </c>
      <c r="W877" s="113">
        <f>W876&amp;"     "</f>
      </c>
      <c r="X877" s="113">
        <f>X876</f>
      </c>
      <c r="Y877" s="113" t="s">
        <v>3029</v>
      </c>
    </row>
    <row r="878" ht="50.0" customHeight="true">
      <c r="A878" s="113" t="s">
        <v>22</v>
      </c>
      <c r="B878" s="113" t="s">
        <v>3103</v>
      </c>
      <c r="C878" s="113" t="s">
        <v>3107</v>
      </c>
      <c r="D878" s="113" t="s">
        <v>3107</v>
      </c>
      <c r="E878" s="114" t="s">
        <v>3048</v>
      </c>
      <c r="F878" s="116">
        <f>"     "&amp;F876</f>
      </c>
      <c r="G878" s="113" t="s">
        <v>3108</v>
      </c>
      <c r="H878" s="113" t="s">
        <v>103</v>
      </c>
      <c r="I878" s="113">
        <f>I876</f>
      </c>
      <c r="J878" s="113">
        <f>J876&amp;"     "</f>
      </c>
      <c r="K878" s="113" t="s">
        <v>81</v>
      </c>
      <c r="L878" s="113">
        <f>L876</f>
      </c>
      <c r="M878" s="113">
        <f>M876</f>
      </c>
      <c r="N878" s="113">
        <f>N876</f>
      </c>
      <c r="O878" s="113">
        <f>O876</f>
      </c>
      <c r="P878" s="113">
        <f>P876</f>
      </c>
      <c r="Q878" s="113">
        <f>Q876</f>
      </c>
      <c r="R878" s="113">
        <f>R876</f>
      </c>
      <c r="S878" s="113">
        <f>S876</f>
      </c>
      <c r="T878" s="113">
        <f>T876</f>
      </c>
      <c r="U878" s="113">
        <f>U876</f>
      </c>
      <c r="V878" s="113">
        <f>V876&amp;"     "</f>
      </c>
      <c r="W878" s="113">
        <f>W876&amp;"     "</f>
      </c>
      <c r="X878" s="113">
        <f>X876</f>
      </c>
      <c r="Y878" s="113" t="s">
        <v>3029</v>
      </c>
    </row>
    <row r="879" ht="50.0" customHeight="true">
      <c r="A879" s="113" t="s">
        <v>22</v>
      </c>
      <c r="B879" s="113" t="s">
        <v>3103</v>
      </c>
      <c r="C879" s="113" t="s">
        <v>3109</v>
      </c>
      <c r="D879" s="113" t="s">
        <v>3109</v>
      </c>
      <c r="E879" s="114" t="s">
        <v>3051</v>
      </c>
      <c r="F879" s="116">
        <f>"     "&amp;F876</f>
      </c>
      <c r="G879" s="113" t="s">
        <v>3110</v>
      </c>
      <c r="H879" s="113" t="s">
        <v>103</v>
      </c>
      <c r="I879" s="113">
        <f>I876</f>
      </c>
      <c r="J879" s="113">
        <f>J876&amp;"     "</f>
      </c>
      <c r="K879" s="113" t="s">
        <v>81</v>
      </c>
      <c r="L879" s="113">
        <f>L876</f>
      </c>
      <c r="M879" s="113">
        <f>M876</f>
      </c>
      <c r="N879" s="113">
        <f>N876</f>
      </c>
      <c r="O879" s="113">
        <f>O876</f>
      </c>
      <c r="P879" s="113">
        <f>P876</f>
      </c>
      <c r="Q879" s="113">
        <f>Q876</f>
      </c>
      <c r="R879" s="113">
        <f>R876</f>
      </c>
      <c r="S879" s="113">
        <f>S876</f>
      </c>
      <c r="T879" s="113">
        <f>T876</f>
      </c>
      <c r="U879" s="113">
        <f>U876</f>
      </c>
      <c r="V879" s="113">
        <f>V876&amp;"     "</f>
      </c>
      <c r="W879" s="113">
        <f>W876&amp;"     "</f>
      </c>
      <c r="X879" s="113">
        <f>X876</f>
      </c>
      <c r="Y879" s="113" t="s">
        <v>3029</v>
      </c>
    </row>
    <row r="880" ht="50.0" customHeight="true">
      <c r="A880" s="113" t="s">
        <v>22</v>
      </c>
      <c r="B880" s="113" t="s">
        <v>3103</v>
      </c>
      <c r="C880" s="113" t="s">
        <v>3111</v>
      </c>
      <c r="D880" s="113" t="s">
        <v>3111</v>
      </c>
      <c r="E880" s="114" t="s">
        <v>3054</v>
      </c>
      <c r="F880" s="116">
        <f>"     "&amp;F876</f>
      </c>
      <c r="G880" s="113" t="s">
        <v>3112</v>
      </c>
      <c r="H880" s="113" t="s">
        <v>103</v>
      </c>
      <c r="I880" s="113">
        <f>I876</f>
      </c>
      <c r="J880" s="113">
        <f>J876&amp;"     "</f>
      </c>
      <c r="K880" s="113" t="s">
        <v>81</v>
      </c>
      <c r="L880" s="113">
        <f>L876</f>
      </c>
      <c r="M880" s="113">
        <f>M876</f>
      </c>
      <c r="N880" s="113">
        <f>N876</f>
      </c>
      <c r="O880" s="113">
        <f>O876</f>
      </c>
      <c r="P880" s="113">
        <f>P876</f>
      </c>
      <c r="Q880" s="113">
        <f>Q876</f>
      </c>
      <c r="R880" s="113">
        <f>R876</f>
      </c>
      <c r="S880" s="113">
        <f>S876</f>
      </c>
      <c r="T880" s="113">
        <f>T876</f>
      </c>
      <c r="U880" s="113">
        <f>U876</f>
      </c>
      <c r="V880" s="113">
        <f>V876&amp;"     "</f>
      </c>
      <c r="W880" s="113">
        <f>W876&amp;"     "</f>
      </c>
      <c r="X880" s="113">
        <f>X876</f>
      </c>
      <c r="Y880" s="113" t="s">
        <v>3029</v>
      </c>
    </row>
    <row r="881" ht="50.0" customHeight="true">
      <c r="A881" s="113" t="s">
        <v>22</v>
      </c>
      <c r="B881" s="113" t="s">
        <v>3103</v>
      </c>
      <c r="C881" s="113" t="s">
        <v>3113</v>
      </c>
      <c r="D881" s="113" t="s">
        <v>3113</v>
      </c>
      <c r="E881" s="114" t="s">
        <v>3057</v>
      </c>
      <c r="F881" s="116">
        <f>"     "&amp;F876</f>
      </c>
      <c r="G881" s="113" t="s">
        <v>3114</v>
      </c>
      <c r="H881" s="113" t="s">
        <v>103</v>
      </c>
      <c r="I881" s="113">
        <f>I876</f>
      </c>
      <c r="J881" s="113">
        <f>J876&amp;"     "</f>
      </c>
      <c r="K881" s="113" t="s">
        <v>81</v>
      </c>
      <c r="L881" s="113">
        <f>L876</f>
      </c>
      <c r="M881" s="113">
        <f>M876</f>
      </c>
      <c r="N881" s="113">
        <f>N876</f>
      </c>
      <c r="O881" s="113">
        <f>O876</f>
      </c>
      <c r="P881" s="113">
        <f>P876</f>
      </c>
      <c r="Q881" s="113">
        <f>Q876</f>
      </c>
      <c r="R881" s="113">
        <f>R876</f>
      </c>
      <c r="S881" s="113">
        <f>S876</f>
      </c>
      <c r="T881" s="113">
        <f>T876</f>
      </c>
      <c r="U881" s="113">
        <f>U876</f>
      </c>
      <c r="V881" s="113">
        <f>V876&amp;"     "</f>
      </c>
      <c r="W881" s="113">
        <f>W876&amp;"     "</f>
      </c>
      <c r="X881" s="113">
        <f>X876</f>
      </c>
      <c r="Y881" s="113" t="s">
        <v>3029</v>
      </c>
    </row>
    <row r="882" ht="50.0" customHeight="true">
      <c r="A882" s="113" t="s">
        <v>22</v>
      </c>
      <c r="B882" s="113" t="s">
        <v>3115</v>
      </c>
      <c r="C882" s="113"/>
      <c r="D882" s="113"/>
      <c r="E882" s="113" t="s">
        <v>22</v>
      </c>
      <c r="F882" s="113" t="s">
        <v>3028</v>
      </c>
      <c r="G882" s="113" t="s">
        <v>103</v>
      </c>
      <c r="H882" s="113" t="s">
        <v>103</v>
      </c>
      <c r="I882" s="115" t="n">
        <v>122.15</v>
      </c>
      <c r="J882" s="115" t="s">
        <v>80</v>
      </c>
      <c r="K882" s="113" t="s">
        <v>81</v>
      </c>
      <c r="L882" s="115" t="n">
        <v>117.15</v>
      </c>
      <c r="M882" s="115" t="n">
        <v>3.0</v>
      </c>
      <c r="N882" s="115"/>
      <c r="O882" s="115"/>
      <c r="P882" s="115"/>
      <c r="Q882" s="115"/>
      <c r="R882" s="115"/>
      <c r="S882" s="115"/>
      <c r="T882" s="115"/>
      <c r="U882" s="115"/>
      <c r="V882" s="115" t="s">
        <v>82</v>
      </c>
      <c r="W882" s="115" t="s">
        <v>92</v>
      </c>
      <c r="X882" s="113">
        <f>IF(INDIRECT("W882")="Clássico","11.5%","-")</f>
      </c>
      <c r="Y882" s="113" t="s">
        <v>3029</v>
      </c>
    </row>
    <row r="883" ht="50.0" customHeight="true">
      <c r="A883" s="113" t="s">
        <v>22</v>
      </c>
      <c r="B883" s="113" t="s">
        <v>3115</v>
      </c>
      <c r="C883" s="113" t="s">
        <v>3116</v>
      </c>
      <c r="D883" s="113" t="s">
        <v>3116</v>
      </c>
      <c r="E883" s="114" t="s">
        <v>3037</v>
      </c>
      <c r="F883" s="116">
        <f>"     "&amp;F882</f>
      </c>
      <c r="G883" s="113" t="s">
        <v>3117</v>
      </c>
      <c r="H883" s="113" t="s">
        <v>103</v>
      </c>
      <c r="I883" s="113">
        <f>I882</f>
      </c>
      <c r="J883" s="113">
        <f>J882&amp;"     "</f>
      </c>
      <c r="K883" s="113" t="s">
        <v>81</v>
      </c>
      <c r="L883" s="113">
        <f>L882</f>
      </c>
      <c r="M883" s="113">
        <f>M882</f>
      </c>
      <c r="N883" s="113">
        <f>N882</f>
      </c>
      <c r="O883" s="113">
        <f>O882</f>
      </c>
      <c r="P883" s="113">
        <f>P882</f>
      </c>
      <c r="Q883" s="113">
        <f>Q882</f>
      </c>
      <c r="R883" s="113">
        <f>R882</f>
      </c>
      <c r="S883" s="113">
        <f>S882</f>
      </c>
      <c r="T883" s="113">
        <f>T882</f>
      </c>
      <c r="U883" s="113">
        <f>U882</f>
      </c>
      <c r="V883" s="113">
        <f>V882&amp;"     "</f>
      </c>
      <c r="W883" s="113">
        <f>W882&amp;"     "</f>
      </c>
      <c r="X883" s="113">
        <f>X882</f>
      </c>
      <c r="Y883" s="113" t="s">
        <v>3029</v>
      </c>
    </row>
    <row r="884" ht="50.0" customHeight="true">
      <c r="A884" s="113" t="s">
        <v>22</v>
      </c>
      <c r="B884" s="113" t="s">
        <v>3115</v>
      </c>
      <c r="C884" s="113" t="s">
        <v>3118</v>
      </c>
      <c r="D884" s="113" t="s">
        <v>3118</v>
      </c>
      <c r="E884" s="114" t="s">
        <v>3034</v>
      </c>
      <c r="F884" s="116">
        <f>"     "&amp;F882</f>
      </c>
      <c r="G884" s="113" t="s">
        <v>3119</v>
      </c>
      <c r="H884" s="113" t="s">
        <v>103</v>
      </c>
      <c r="I884" s="113">
        <f>I882</f>
      </c>
      <c r="J884" s="113">
        <f>J882&amp;"     "</f>
      </c>
      <c r="K884" s="113" t="s">
        <v>81</v>
      </c>
      <c r="L884" s="113">
        <f>L882</f>
      </c>
      <c r="M884" s="113">
        <f>M882</f>
      </c>
      <c r="N884" s="113">
        <f>N882</f>
      </c>
      <c r="O884" s="113">
        <f>O882</f>
      </c>
      <c r="P884" s="113">
        <f>P882</f>
      </c>
      <c r="Q884" s="113">
        <f>Q882</f>
      </c>
      <c r="R884" s="113">
        <f>R882</f>
      </c>
      <c r="S884" s="113">
        <f>S882</f>
      </c>
      <c r="T884" s="113">
        <f>T882</f>
      </c>
      <c r="U884" s="113">
        <f>U882</f>
      </c>
      <c r="V884" s="113">
        <f>V882&amp;"     "</f>
      </c>
      <c r="W884" s="113">
        <f>W882&amp;"     "</f>
      </c>
      <c r="X884" s="113">
        <f>X882</f>
      </c>
      <c r="Y884" s="113" t="s">
        <v>3029</v>
      </c>
    </row>
    <row r="885" ht="50.0" customHeight="true">
      <c r="A885" s="113" t="s">
        <v>22</v>
      </c>
      <c r="B885" s="113" t="s">
        <v>3115</v>
      </c>
      <c r="C885" s="113" t="s">
        <v>3120</v>
      </c>
      <c r="D885" s="113" t="s">
        <v>3120</v>
      </c>
      <c r="E885" s="114" t="s">
        <v>3031</v>
      </c>
      <c r="F885" s="116">
        <f>"     "&amp;F882</f>
      </c>
      <c r="G885" s="113" t="s">
        <v>3121</v>
      </c>
      <c r="H885" s="113" t="s">
        <v>103</v>
      </c>
      <c r="I885" s="113">
        <f>I882</f>
      </c>
      <c r="J885" s="113">
        <f>J882&amp;"     "</f>
      </c>
      <c r="K885" s="113" t="s">
        <v>81</v>
      </c>
      <c r="L885" s="113">
        <f>L882</f>
      </c>
      <c r="M885" s="113">
        <f>M882</f>
      </c>
      <c r="N885" s="113">
        <f>N882</f>
      </c>
      <c r="O885" s="113">
        <f>O882</f>
      </c>
      <c r="P885" s="113">
        <f>P882</f>
      </c>
      <c r="Q885" s="113">
        <f>Q882</f>
      </c>
      <c r="R885" s="113">
        <f>R882</f>
      </c>
      <c r="S885" s="113">
        <f>S882</f>
      </c>
      <c r="T885" s="113">
        <f>T882</f>
      </c>
      <c r="U885" s="113">
        <f>U882</f>
      </c>
      <c r="V885" s="113">
        <f>V882&amp;"     "</f>
      </c>
      <c r="W885" s="113">
        <f>W882&amp;"     "</f>
      </c>
      <c r="X885" s="113">
        <f>X882</f>
      </c>
      <c r="Y885" s="113" t="s">
        <v>3029</v>
      </c>
    </row>
    <row r="886" ht="50.0" customHeight="true">
      <c r="A886" s="113" t="s">
        <v>22</v>
      </c>
      <c r="B886" s="113" t="s">
        <v>3115</v>
      </c>
      <c r="C886" s="113" t="s">
        <v>3122</v>
      </c>
      <c r="D886" s="113" t="s">
        <v>3122</v>
      </c>
      <c r="E886" s="114" t="s">
        <v>3040</v>
      </c>
      <c r="F886" s="116">
        <f>"     "&amp;F882</f>
      </c>
      <c r="G886" s="113" t="s">
        <v>3123</v>
      </c>
      <c r="H886" s="113" t="s">
        <v>103</v>
      </c>
      <c r="I886" s="113">
        <f>I882</f>
      </c>
      <c r="J886" s="113">
        <f>J882&amp;"     "</f>
      </c>
      <c r="K886" s="113" t="s">
        <v>81</v>
      </c>
      <c r="L886" s="113">
        <f>L882</f>
      </c>
      <c r="M886" s="113">
        <f>M882</f>
      </c>
      <c r="N886" s="113">
        <f>N882</f>
      </c>
      <c r="O886" s="113">
        <f>O882</f>
      </c>
      <c r="P886" s="113">
        <f>P882</f>
      </c>
      <c r="Q886" s="113">
        <f>Q882</f>
      </c>
      <c r="R886" s="113">
        <f>R882</f>
      </c>
      <c r="S886" s="113">
        <f>S882</f>
      </c>
      <c r="T886" s="113">
        <f>T882</f>
      </c>
      <c r="U886" s="113">
        <f>U882</f>
      </c>
      <c r="V886" s="113">
        <f>V882&amp;"     "</f>
      </c>
      <c r="W886" s="113">
        <f>W882&amp;"     "</f>
      </c>
      <c r="X886" s="113">
        <f>X882</f>
      </c>
      <c r="Y886" s="113" t="s">
        <v>3029</v>
      </c>
    </row>
    <row r="887" ht="50.0" customHeight="true">
      <c r="A887" s="113" t="s">
        <v>22</v>
      </c>
      <c r="B887" s="113" t="s">
        <v>3124</v>
      </c>
      <c r="C887" s="113"/>
      <c r="D887" s="113"/>
      <c r="E887" s="113" t="s">
        <v>22</v>
      </c>
      <c r="F887" s="113" t="s">
        <v>3075</v>
      </c>
      <c r="G887" s="113" t="s">
        <v>103</v>
      </c>
      <c r="H887" s="113" t="s">
        <v>103</v>
      </c>
      <c r="I887" s="115" t="n">
        <v>186.07</v>
      </c>
      <c r="J887" s="115" t="s">
        <v>80</v>
      </c>
      <c r="K887" s="113" t="s">
        <v>81</v>
      </c>
      <c r="L887" s="115" t="n">
        <v>181.07</v>
      </c>
      <c r="M887" s="115" t="n">
        <v>3.0</v>
      </c>
      <c r="N887" s="115"/>
      <c r="O887" s="115"/>
      <c r="P887" s="115"/>
      <c r="Q887" s="115"/>
      <c r="R887" s="115"/>
      <c r="S887" s="115"/>
      <c r="T887" s="115"/>
      <c r="U887" s="115"/>
      <c r="V887" s="115" t="s">
        <v>82</v>
      </c>
      <c r="W887" s="115" t="s">
        <v>92</v>
      </c>
      <c r="X887" s="113">
        <f>IF(INDIRECT("W887")="Clássico","11.5%","-")</f>
      </c>
      <c r="Y887" s="113" t="s">
        <v>3029</v>
      </c>
    </row>
    <row r="888" ht="50.0" customHeight="true">
      <c r="A888" s="113" t="s">
        <v>22</v>
      </c>
      <c r="B888" s="113" t="s">
        <v>3124</v>
      </c>
      <c r="C888" s="113" t="s">
        <v>3125</v>
      </c>
      <c r="D888" s="113" t="s">
        <v>3125</v>
      </c>
      <c r="E888" s="114" t="s">
        <v>3086</v>
      </c>
      <c r="F888" s="116">
        <f>"     "&amp;F887</f>
      </c>
      <c r="G888" s="113" t="s">
        <v>3126</v>
      </c>
      <c r="H888" s="113" t="s">
        <v>103</v>
      </c>
      <c r="I888" s="113">
        <f>I887</f>
      </c>
      <c r="J888" s="113">
        <f>J887&amp;"     "</f>
      </c>
      <c r="K888" s="113" t="s">
        <v>81</v>
      </c>
      <c r="L888" s="113">
        <f>L887</f>
      </c>
      <c r="M888" s="113">
        <f>M887</f>
      </c>
      <c r="N888" s="113">
        <f>N887</f>
      </c>
      <c r="O888" s="113">
        <f>O887</f>
      </c>
      <c r="P888" s="113">
        <f>P887</f>
      </c>
      <c r="Q888" s="113">
        <f>Q887</f>
      </c>
      <c r="R888" s="113">
        <f>R887</f>
      </c>
      <c r="S888" s="113">
        <f>S887</f>
      </c>
      <c r="T888" s="113">
        <f>T887</f>
      </c>
      <c r="U888" s="113">
        <f>U887</f>
      </c>
      <c r="V888" s="113">
        <f>V887&amp;"     "</f>
      </c>
      <c r="W888" s="113">
        <f>W887&amp;"     "</f>
      </c>
      <c r="X888" s="113">
        <f>X887</f>
      </c>
      <c r="Y888" s="113" t="s">
        <v>3029</v>
      </c>
    </row>
    <row r="889" ht="50.0" customHeight="true">
      <c r="A889" s="113" t="s">
        <v>22</v>
      </c>
      <c r="B889" s="113" t="s">
        <v>3124</v>
      </c>
      <c r="C889" s="113" t="s">
        <v>3127</v>
      </c>
      <c r="D889" s="113" t="s">
        <v>3127</v>
      </c>
      <c r="E889" s="114" t="s">
        <v>3077</v>
      </c>
      <c r="F889" s="116">
        <f>"     "&amp;F887</f>
      </c>
      <c r="G889" s="113" t="s">
        <v>3078</v>
      </c>
      <c r="H889" s="113" t="s">
        <v>103</v>
      </c>
      <c r="I889" s="113">
        <f>I887</f>
      </c>
      <c r="J889" s="113">
        <f>J887&amp;"     "</f>
      </c>
      <c r="K889" s="113" t="s">
        <v>81</v>
      </c>
      <c r="L889" s="113">
        <f>L887</f>
      </c>
      <c r="M889" s="113">
        <f>M887</f>
      </c>
      <c r="N889" s="113">
        <f>N887</f>
      </c>
      <c r="O889" s="113">
        <f>O887</f>
      </c>
      <c r="P889" s="113">
        <f>P887</f>
      </c>
      <c r="Q889" s="113">
        <f>Q887</f>
      </c>
      <c r="R889" s="113">
        <f>R887</f>
      </c>
      <c r="S889" s="113">
        <f>S887</f>
      </c>
      <c r="T889" s="113">
        <f>T887</f>
      </c>
      <c r="U889" s="113">
        <f>U887</f>
      </c>
      <c r="V889" s="113">
        <f>V887&amp;"     "</f>
      </c>
      <c r="W889" s="113">
        <f>W887&amp;"     "</f>
      </c>
      <c r="X889" s="113">
        <f>X887</f>
      </c>
      <c r="Y889" s="113" t="s">
        <v>3029</v>
      </c>
    </row>
    <row r="890" ht="50.0" customHeight="true">
      <c r="A890" s="113" t="s">
        <v>22</v>
      </c>
      <c r="B890" s="113" t="s">
        <v>3124</v>
      </c>
      <c r="C890" s="113" t="s">
        <v>3128</v>
      </c>
      <c r="D890" s="113" t="s">
        <v>3128</v>
      </c>
      <c r="E890" s="114" t="s">
        <v>3080</v>
      </c>
      <c r="F890" s="116">
        <f>"     "&amp;F887</f>
      </c>
      <c r="G890" s="113" t="s">
        <v>3081</v>
      </c>
      <c r="H890" s="113" t="s">
        <v>103</v>
      </c>
      <c r="I890" s="113">
        <f>I887</f>
      </c>
      <c r="J890" s="113">
        <f>J887&amp;"     "</f>
      </c>
      <c r="K890" s="113" t="s">
        <v>81</v>
      </c>
      <c r="L890" s="113">
        <f>L887</f>
      </c>
      <c r="M890" s="113">
        <f>M887</f>
      </c>
      <c r="N890" s="113">
        <f>N887</f>
      </c>
      <c r="O890" s="113">
        <f>O887</f>
      </c>
      <c r="P890" s="113">
        <f>P887</f>
      </c>
      <c r="Q890" s="113">
        <f>Q887</f>
      </c>
      <c r="R890" s="113">
        <f>R887</f>
      </c>
      <c r="S890" s="113">
        <f>S887</f>
      </c>
      <c r="T890" s="113">
        <f>T887</f>
      </c>
      <c r="U890" s="113">
        <f>U887</f>
      </c>
      <c r="V890" s="113">
        <f>V887&amp;"     "</f>
      </c>
      <c r="W890" s="113">
        <f>W887&amp;"     "</f>
      </c>
      <c r="X890" s="113">
        <f>X887</f>
      </c>
      <c r="Y890" s="113" t="s">
        <v>3029</v>
      </c>
    </row>
    <row r="891" ht="50.0" customHeight="true">
      <c r="A891" s="113" t="s">
        <v>22</v>
      </c>
      <c r="B891" s="113" t="s">
        <v>3124</v>
      </c>
      <c r="C891" s="113" t="s">
        <v>3129</v>
      </c>
      <c r="D891" s="113" t="s">
        <v>3129</v>
      </c>
      <c r="E891" s="114" t="s">
        <v>3083</v>
      </c>
      <c r="F891" s="116">
        <f>"     "&amp;F887</f>
      </c>
      <c r="G891" s="113" t="s">
        <v>3084</v>
      </c>
      <c r="H891" s="113" t="s">
        <v>103</v>
      </c>
      <c r="I891" s="113">
        <f>I887</f>
      </c>
      <c r="J891" s="113">
        <f>J887&amp;"     "</f>
      </c>
      <c r="K891" s="113" t="s">
        <v>81</v>
      </c>
      <c r="L891" s="113">
        <f>L887</f>
      </c>
      <c r="M891" s="113">
        <f>M887</f>
      </c>
      <c r="N891" s="113">
        <f>N887</f>
      </c>
      <c r="O891" s="113">
        <f>O887</f>
      </c>
      <c r="P891" s="113">
        <f>P887</f>
      </c>
      <c r="Q891" s="113">
        <f>Q887</f>
      </c>
      <c r="R891" s="113">
        <f>R887</f>
      </c>
      <c r="S891" s="113">
        <f>S887</f>
      </c>
      <c r="T891" s="113">
        <f>T887</f>
      </c>
      <c r="U891" s="113">
        <f>U887</f>
      </c>
      <c r="V891" s="113">
        <f>V887&amp;"     "</f>
      </c>
      <c r="W891" s="113">
        <f>W887&amp;"     "</f>
      </c>
      <c r="X891" s="113">
        <f>X887</f>
      </c>
      <c r="Y891" s="113" t="s">
        <v>3029</v>
      </c>
    </row>
    <row r="892" ht="50.0" customHeight="true">
      <c r="A892" s="113" t="s">
        <v>22</v>
      </c>
      <c r="B892" s="113" t="s">
        <v>3124</v>
      </c>
      <c r="C892" s="113" t="s">
        <v>3130</v>
      </c>
      <c r="D892" s="113" t="s">
        <v>3130</v>
      </c>
      <c r="E892" s="114" t="s">
        <v>3089</v>
      </c>
      <c r="F892" s="116">
        <f>"     "&amp;F887</f>
      </c>
      <c r="G892" s="113" t="s">
        <v>3131</v>
      </c>
      <c r="H892" s="113" t="s">
        <v>103</v>
      </c>
      <c r="I892" s="113">
        <f>I887</f>
      </c>
      <c r="J892" s="113">
        <f>J887&amp;"     "</f>
      </c>
      <c r="K892" s="113" t="s">
        <v>81</v>
      </c>
      <c r="L892" s="113">
        <f>L887</f>
      </c>
      <c r="M892" s="113">
        <f>M887</f>
      </c>
      <c r="N892" s="113">
        <f>N887</f>
      </c>
      <c r="O892" s="113">
        <f>O887</f>
      </c>
      <c r="P892" s="113">
        <f>P887</f>
      </c>
      <c r="Q892" s="113">
        <f>Q887</f>
      </c>
      <c r="R892" s="113">
        <f>R887</f>
      </c>
      <c r="S892" s="113">
        <f>S887</f>
      </c>
      <c r="T892" s="113">
        <f>T887</f>
      </c>
      <c r="U892" s="113">
        <f>U887</f>
      </c>
      <c r="V892" s="113">
        <f>V887&amp;"     "</f>
      </c>
      <c r="W892" s="113">
        <f>W887&amp;"     "</f>
      </c>
      <c r="X892" s="113">
        <f>X887</f>
      </c>
      <c r="Y892" s="113" t="s">
        <v>3029</v>
      </c>
    </row>
    <row r="893" ht="50.0" customHeight="true">
      <c r="A893" s="113" t="s">
        <v>22</v>
      </c>
      <c r="B893" s="113" t="s">
        <v>3132</v>
      </c>
      <c r="C893" s="113"/>
      <c r="D893" s="113"/>
      <c r="E893" s="113" t="s">
        <v>22</v>
      </c>
      <c r="F893" s="113" t="s">
        <v>3075</v>
      </c>
      <c r="G893" s="113" t="s">
        <v>103</v>
      </c>
      <c r="H893" s="113" t="s">
        <v>3061</v>
      </c>
      <c r="I893" s="115" t="n">
        <v>183.53</v>
      </c>
      <c r="J893" s="115" t="s">
        <v>80</v>
      </c>
      <c r="K893" s="113" t="s">
        <v>81</v>
      </c>
      <c r="L893" s="115" t="n">
        <v>178.53</v>
      </c>
      <c r="M893" s="115" t="n">
        <v>3.0</v>
      </c>
      <c r="N893" s="115"/>
      <c r="O893" s="115"/>
      <c r="P893" s="115"/>
      <c r="Q893" s="115"/>
      <c r="R893" s="115"/>
      <c r="S893" s="115"/>
      <c r="T893" s="115"/>
      <c r="U893" s="115"/>
      <c r="V893" s="115" t="s">
        <v>82</v>
      </c>
      <c r="W893" s="115" t="s">
        <v>92</v>
      </c>
      <c r="X893" s="113">
        <f>IF(INDIRECT("W893")="Clássico","11.5%","-")</f>
      </c>
      <c r="Y893" s="113" t="s">
        <v>3029</v>
      </c>
    </row>
    <row r="894" ht="50.0" customHeight="true">
      <c r="A894" s="113" t="s">
        <v>22</v>
      </c>
      <c r="B894" s="113" t="s">
        <v>3132</v>
      </c>
      <c r="C894" s="113" t="s">
        <v>3133</v>
      </c>
      <c r="D894" s="113" t="s">
        <v>3133</v>
      </c>
      <c r="E894" s="114" t="s">
        <v>3077</v>
      </c>
      <c r="F894" s="116">
        <f>"     "&amp;F893</f>
      </c>
      <c r="G894" s="113" t="s">
        <v>3078</v>
      </c>
      <c r="H894" s="113" t="s">
        <v>3061</v>
      </c>
      <c r="I894" s="113">
        <f>I893</f>
      </c>
      <c r="J894" s="113">
        <f>J893&amp;"     "</f>
      </c>
      <c r="K894" s="113" t="s">
        <v>81</v>
      </c>
      <c r="L894" s="113">
        <f>L893</f>
      </c>
      <c r="M894" s="113">
        <f>M893</f>
      </c>
      <c r="N894" s="113">
        <f>N893</f>
      </c>
      <c r="O894" s="113">
        <f>O893</f>
      </c>
      <c r="P894" s="113">
        <f>P893</f>
      </c>
      <c r="Q894" s="113">
        <f>Q893</f>
      </c>
      <c r="R894" s="113">
        <f>R893</f>
      </c>
      <c r="S894" s="113">
        <f>S893</f>
      </c>
      <c r="T894" s="113">
        <f>T893</f>
      </c>
      <c r="U894" s="113">
        <f>U893</f>
      </c>
      <c r="V894" s="113">
        <f>V893&amp;"     "</f>
      </c>
      <c r="W894" s="113">
        <f>W893&amp;"     "</f>
      </c>
      <c r="X894" s="113">
        <f>X893</f>
      </c>
      <c r="Y894" s="113" t="s">
        <v>3029</v>
      </c>
    </row>
    <row r="895" ht="50.0" customHeight="true">
      <c r="A895" s="113" t="s">
        <v>22</v>
      </c>
      <c r="B895" s="113" t="s">
        <v>3132</v>
      </c>
      <c r="C895" s="113" t="s">
        <v>3134</v>
      </c>
      <c r="D895" s="113" t="s">
        <v>3134</v>
      </c>
      <c r="E895" s="114" t="s">
        <v>3086</v>
      </c>
      <c r="F895" s="116">
        <f>"     "&amp;F893</f>
      </c>
      <c r="G895" s="113" t="s">
        <v>3126</v>
      </c>
      <c r="H895" s="113" t="s">
        <v>103</v>
      </c>
      <c r="I895" s="113">
        <f>I893</f>
      </c>
      <c r="J895" s="113">
        <f>J893&amp;"     "</f>
      </c>
      <c r="K895" s="113" t="s">
        <v>81</v>
      </c>
      <c r="L895" s="113">
        <f>L893</f>
      </c>
      <c r="M895" s="113">
        <f>M893</f>
      </c>
      <c r="N895" s="113">
        <f>N893</f>
      </c>
      <c r="O895" s="113">
        <f>O893</f>
      </c>
      <c r="P895" s="113">
        <f>P893</f>
      </c>
      <c r="Q895" s="113">
        <f>Q893</f>
      </c>
      <c r="R895" s="113">
        <f>R893</f>
      </c>
      <c r="S895" s="113">
        <f>S893</f>
      </c>
      <c r="T895" s="113">
        <f>T893</f>
      </c>
      <c r="U895" s="113">
        <f>U893</f>
      </c>
      <c r="V895" s="113">
        <f>V893&amp;"     "</f>
      </c>
      <c r="W895" s="113">
        <f>W893&amp;"     "</f>
      </c>
      <c r="X895" s="113">
        <f>X893</f>
      </c>
      <c r="Y895" s="113" t="s">
        <v>3029</v>
      </c>
    </row>
    <row r="896" ht="50.0" customHeight="true">
      <c r="A896" s="113" t="s">
        <v>22</v>
      </c>
      <c r="B896" s="113" t="s">
        <v>3132</v>
      </c>
      <c r="C896" s="113" t="s">
        <v>3135</v>
      </c>
      <c r="D896" s="113" t="s">
        <v>3135</v>
      </c>
      <c r="E896" s="114" t="s">
        <v>3080</v>
      </c>
      <c r="F896" s="116">
        <f>"     "&amp;F893</f>
      </c>
      <c r="G896" s="113" t="s">
        <v>3081</v>
      </c>
      <c r="H896" s="113" t="s">
        <v>103</v>
      </c>
      <c r="I896" s="113">
        <f>I893</f>
      </c>
      <c r="J896" s="113">
        <f>J893&amp;"     "</f>
      </c>
      <c r="K896" s="113" t="s">
        <v>81</v>
      </c>
      <c r="L896" s="113">
        <f>L893</f>
      </c>
      <c r="M896" s="113">
        <f>M893</f>
      </c>
      <c r="N896" s="113">
        <f>N893</f>
      </c>
      <c r="O896" s="113">
        <f>O893</f>
      </c>
      <c r="P896" s="113">
        <f>P893</f>
      </c>
      <c r="Q896" s="113">
        <f>Q893</f>
      </c>
      <c r="R896" s="113">
        <f>R893</f>
      </c>
      <c r="S896" s="113">
        <f>S893</f>
      </c>
      <c r="T896" s="113">
        <f>T893</f>
      </c>
      <c r="U896" s="113">
        <f>U893</f>
      </c>
      <c r="V896" s="113">
        <f>V893&amp;"     "</f>
      </c>
      <c r="W896" s="113">
        <f>W893&amp;"     "</f>
      </c>
      <c r="X896" s="113">
        <f>X893</f>
      </c>
      <c r="Y896" s="113" t="s">
        <v>3029</v>
      </c>
    </row>
    <row r="897" ht="50.0" customHeight="true">
      <c r="A897" s="113" t="s">
        <v>22</v>
      </c>
      <c r="B897" s="113" t="s">
        <v>3132</v>
      </c>
      <c r="C897" s="113" t="s">
        <v>3136</v>
      </c>
      <c r="D897" s="113" t="s">
        <v>3136</v>
      </c>
      <c r="E897" s="114" t="s">
        <v>3083</v>
      </c>
      <c r="F897" s="116">
        <f>"     "&amp;F893</f>
      </c>
      <c r="G897" s="113" t="s">
        <v>3084</v>
      </c>
      <c r="H897" s="113" t="s">
        <v>103</v>
      </c>
      <c r="I897" s="113">
        <f>I893</f>
      </c>
      <c r="J897" s="113">
        <f>J893&amp;"     "</f>
      </c>
      <c r="K897" s="113" t="s">
        <v>81</v>
      </c>
      <c r="L897" s="113">
        <f>L893</f>
      </c>
      <c r="M897" s="113">
        <f>M893</f>
      </c>
      <c r="N897" s="113">
        <f>N893</f>
      </c>
      <c r="O897" s="113">
        <f>O893</f>
      </c>
      <c r="P897" s="113">
        <f>P893</f>
      </c>
      <c r="Q897" s="113">
        <f>Q893</f>
      </c>
      <c r="R897" s="113">
        <f>R893</f>
      </c>
      <c r="S897" s="113">
        <f>S893</f>
      </c>
      <c r="T897" s="113">
        <f>T893</f>
      </c>
      <c r="U897" s="113">
        <f>U893</f>
      </c>
      <c r="V897" s="113">
        <f>V893&amp;"     "</f>
      </c>
      <c r="W897" s="113">
        <f>W893&amp;"     "</f>
      </c>
      <c r="X897" s="113">
        <f>X893</f>
      </c>
      <c r="Y897" s="113" t="s">
        <v>3029</v>
      </c>
    </row>
    <row r="898" ht="50.0" customHeight="true">
      <c r="A898" s="113" t="s">
        <v>22</v>
      </c>
      <c r="B898" s="113" t="s">
        <v>3132</v>
      </c>
      <c r="C898" s="113" t="s">
        <v>3137</v>
      </c>
      <c r="D898" s="113" t="s">
        <v>3137</v>
      </c>
      <c r="E898" s="114" t="s">
        <v>3089</v>
      </c>
      <c r="F898" s="116">
        <f>"     "&amp;F893</f>
      </c>
      <c r="G898" s="113" t="s">
        <v>3131</v>
      </c>
      <c r="H898" s="113" t="s">
        <v>3061</v>
      </c>
      <c r="I898" s="113">
        <f>I893</f>
      </c>
      <c r="J898" s="113">
        <f>J893&amp;"     "</f>
      </c>
      <c r="K898" s="113" t="s">
        <v>81</v>
      </c>
      <c r="L898" s="113">
        <f>L893</f>
      </c>
      <c r="M898" s="113">
        <f>M893</f>
      </c>
      <c r="N898" s="113">
        <f>N893</f>
      </c>
      <c r="O898" s="113">
        <f>O893</f>
      </c>
      <c r="P898" s="113">
        <f>P893</f>
      </c>
      <c r="Q898" s="113">
        <f>Q893</f>
      </c>
      <c r="R898" s="113">
        <f>R893</f>
      </c>
      <c r="S898" s="113">
        <f>S893</f>
      </c>
      <c r="T898" s="113">
        <f>T893</f>
      </c>
      <c r="U898" s="113">
        <f>U893</f>
      </c>
      <c r="V898" s="113">
        <f>V893&amp;"     "</f>
      </c>
      <c r="W898" s="113">
        <f>W893&amp;"     "</f>
      </c>
      <c r="X898" s="113">
        <f>X893</f>
      </c>
      <c r="Y898" s="113" t="s">
        <v>3029</v>
      </c>
    </row>
    <row r="899" ht="50.0" customHeight="true">
      <c r="A899" s="113" t="s">
        <v>22</v>
      </c>
      <c r="B899" s="113" t="s">
        <v>3138</v>
      </c>
      <c r="C899" s="113"/>
      <c r="D899" s="113"/>
      <c r="E899" s="113" t="s">
        <v>22</v>
      </c>
      <c r="F899" s="114" t="s">
        <v>3028</v>
      </c>
      <c r="G899" s="113" t="s">
        <v>103</v>
      </c>
      <c r="H899" s="113" t="s">
        <v>103</v>
      </c>
      <c r="I899" s="115" t="n">
        <v>130.37</v>
      </c>
      <c r="J899" s="115" t="s">
        <v>80</v>
      </c>
      <c r="K899" s="113" t="s">
        <v>81</v>
      </c>
      <c r="L899" s="115" t="n">
        <v>125.37</v>
      </c>
      <c r="M899" s="115" t="n">
        <v>3.0</v>
      </c>
      <c r="N899" s="115"/>
      <c r="O899" s="115"/>
      <c r="P899" s="115"/>
      <c r="Q899" s="115"/>
      <c r="R899" s="115"/>
      <c r="S899" s="115"/>
      <c r="T899" s="115"/>
      <c r="U899" s="115"/>
      <c r="V899" s="115" t="s">
        <v>82</v>
      </c>
      <c r="W899" s="115" t="s">
        <v>92</v>
      </c>
      <c r="X899" s="113">
        <f>IF(INDIRECT("W899")="Clássico","11.5%","-")</f>
      </c>
      <c r="Y899" s="113" t="s">
        <v>3029</v>
      </c>
    </row>
    <row r="900" ht="50.0" customHeight="true">
      <c r="A900" s="113" t="s">
        <v>22</v>
      </c>
      <c r="B900" s="113" t="s">
        <v>3138</v>
      </c>
      <c r="C900" s="113" t="s">
        <v>3139</v>
      </c>
      <c r="D900" s="113" t="s">
        <v>3139</v>
      </c>
      <c r="E900" s="114" t="s">
        <v>3031</v>
      </c>
      <c r="F900" s="116">
        <f>"     "&amp;F899</f>
      </c>
      <c r="G900" s="113" t="s">
        <v>3121</v>
      </c>
      <c r="H900" s="113" t="s">
        <v>103</v>
      </c>
      <c r="I900" s="113">
        <f>I899</f>
      </c>
      <c r="J900" s="113">
        <f>J899&amp;"     "</f>
      </c>
      <c r="K900" s="113" t="s">
        <v>81</v>
      </c>
      <c r="L900" s="113">
        <f>L899</f>
      </c>
      <c r="M900" s="113">
        <f>M899</f>
      </c>
      <c r="N900" s="113">
        <f>N899</f>
      </c>
      <c r="O900" s="113">
        <f>O899</f>
      </c>
      <c r="P900" s="113">
        <f>P899</f>
      </c>
      <c r="Q900" s="113">
        <f>Q899</f>
      </c>
      <c r="R900" s="113">
        <f>R899</f>
      </c>
      <c r="S900" s="113">
        <f>S899</f>
      </c>
      <c r="T900" s="113">
        <f>T899</f>
      </c>
      <c r="U900" s="113">
        <f>U899</f>
      </c>
      <c r="V900" s="113">
        <f>V899&amp;"     "</f>
      </c>
      <c r="W900" s="113">
        <f>W899&amp;"     "</f>
      </c>
      <c r="X900" s="113">
        <f>X899</f>
      </c>
      <c r="Y900" s="113" t="s">
        <v>3029</v>
      </c>
    </row>
    <row r="901" ht="50.0" customHeight="true">
      <c r="A901" s="113" t="s">
        <v>22</v>
      </c>
      <c r="B901" s="113" t="s">
        <v>3138</v>
      </c>
      <c r="C901" s="113" t="s">
        <v>3140</v>
      </c>
      <c r="D901" s="113" t="s">
        <v>3140</v>
      </c>
      <c r="E901" s="114" t="s">
        <v>3034</v>
      </c>
      <c r="F901" s="116">
        <f>"     "&amp;F899</f>
      </c>
      <c r="G901" s="113" t="s">
        <v>3119</v>
      </c>
      <c r="H901" s="113" t="s">
        <v>103</v>
      </c>
      <c r="I901" s="113">
        <f>I899</f>
      </c>
      <c r="J901" s="113">
        <f>J899&amp;"     "</f>
      </c>
      <c r="K901" s="113" t="s">
        <v>81</v>
      </c>
      <c r="L901" s="113">
        <f>L899</f>
      </c>
      <c r="M901" s="113">
        <f>M899</f>
      </c>
      <c r="N901" s="113">
        <f>N899</f>
      </c>
      <c r="O901" s="113">
        <f>O899</f>
      </c>
      <c r="P901" s="113">
        <f>P899</f>
      </c>
      <c r="Q901" s="113">
        <f>Q899</f>
      </c>
      <c r="R901" s="113">
        <f>R899</f>
      </c>
      <c r="S901" s="113">
        <f>S899</f>
      </c>
      <c r="T901" s="113">
        <f>T899</f>
      </c>
      <c r="U901" s="113">
        <f>U899</f>
      </c>
      <c r="V901" s="113">
        <f>V899&amp;"     "</f>
      </c>
      <c r="W901" s="113">
        <f>W899&amp;"     "</f>
      </c>
      <c r="X901" s="113">
        <f>X899</f>
      </c>
      <c r="Y901" s="113" t="s">
        <v>3029</v>
      </c>
    </row>
    <row r="902" ht="50.0" customHeight="true">
      <c r="A902" s="113" t="s">
        <v>22</v>
      </c>
      <c r="B902" s="113" t="s">
        <v>3138</v>
      </c>
      <c r="C902" s="113" t="s">
        <v>3141</v>
      </c>
      <c r="D902" s="113" t="s">
        <v>3141</v>
      </c>
      <c r="E902" s="114" t="s">
        <v>3037</v>
      </c>
      <c r="F902" s="116">
        <f>"     "&amp;F899</f>
      </c>
      <c r="G902" s="113" t="s">
        <v>3117</v>
      </c>
      <c r="H902" s="113" t="s">
        <v>103</v>
      </c>
      <c r="I902" s="113">
        <f>I899</f>
      </c>
      <c r="J902" s="113">
        <f>J899&amp;"     "</f>
      </c>
      <c r="K902" s="113" t="s">
        <v>81</v>
      </c>
      <c r="L902" s="113">
        <f>L899</f>
      </c>
      <c r="M902" s="113">
        <f>M899</f>
      </c>
      <c r="N902" s="113">
        <f>N899</f>
      </c>
      <c r="O902" s="113">
        <f>O899</f>
      </c>
      <c r="P902" s="113">
        <f>P899</f>
      </c>
      <c r="Q902" s="113">
        <f>Q899</f>
      </c>
      <c r="R902" s="113">
        <f>R899</f>
      </c>
      <c r="S902" s="113">
        <f>S899</f>
      </c>
      <c r="T902" s="113">
        <f>T899</f>
      </c>
      <c r="U902" s="113">
        <f>U899</f>
      </c>
      <c r="V902" s="113">
        <f>V899&amp;"     "</f>
      </c>
      <c r="W902" s="113">
        <f>W899&amp;"     "</f>
      </c>
      <c r="X902" s="113">
        <f>X899</f>
      </c>
      <c r="Y902" s="113" t="s">
        <v>3029</v>
      </c>
    </row>
    <row r="903" ht="50.0" customHeight="true">
      <c r="A903" s="113" t="s">
        <v>22</v>
      </c>
      <c r="B903" s="113" t="s">
        <v>3138</v>
      </c>
      <c r="C903" s="113" t="s">
        <v>3142</v>
      </c>
      <c r="D903" s="113" t="s">
        <v>3142</v>
      </c>
      <c r="E903" s="114" t="s">
        <v>3040</v>
      </c>
      <c r="F903" s="116">
        <f>"     "&amp;F899</f>
      </c>
      <c r="G903" s="113" t="s">
        <v>3123</v>
      </c>
      <c r="H903" s="113" t="s">
        <v>103</v>
      </c>
      <c r="I903" s="113">
        <f>I899</f>
      </c>
      <c r="J903" s="113">
        <f>J899&amp;"     "</f>
      </c>
      <c r="K903" s="113" t="s">
        <v>81</v>
      </c>
      <c r="L903" s="113">
        <f>L899</f>
      </c>
      <c r="M903" s="113">
        <f>M899</f>
      </c>
      <c r="N903" s="113">
        <f>N899</f>
      </c>
      <c r="O903" s="113">
        <f>O899</f>
      </c>
      <c r="P903" s="113">
        <f>P899</f>
      </c>
      <c r="Q903" s="113">
        <f>Q899</f>
      </c>
      <c r="R903" s="113">
        <f>R899</f>
      </c>
      <c r="S903" s="113">
        <f>S899</f>
      </c>
      <c r="T903" s="113">
        <f>T899</f>
      </c>
      <c r="U903" s="113">
        <f>U899</f>
      </c>
      <c r="V903" s="113">
        <f>V899&amp;"     "</f>
      </c>
      <c r="W903" s="113">
        <f>W899&amp;"     "</f>
      </c>
      <c r="X903" s="113">
        <f>X899</f>
      </c>
      <c r="Y903" s="113" t="s">
        <v>3029</v>
      </c>
    </row>
    <row r="904" ht="50.0" customHeight="true">
      <c r="A904" s="113" t="s">
        <v>22</v>
      </c>
      <c r="B904" s="113" t="s">
        <v>3143</v>
      </c>
      <c r="C904" s="113"/>
      <c r="D904" s="113"/>
      <c r="E904" s="113" t="s">
        <v>22</v>
      </c>
      <c r="F904" s="114" t="s">
        <v>3144</v>
      </c>
      <c r="G904" s="113" t="s">
        <v>103</v>
      </c>
      <c r="H904" s="113" t="s">
        <v>103</v>
      </c>
      <c r="I904" s="115" t="n">
        <v>126.46</v>
      </c>
      <c r="J904" s="115" t="s">
        <v>80</v>
      </c>
      <c r="K904" s="113" t="s">
        <v>81</v>
      </c>
      <c r="L904" s="115" t="n">
        <v>121.46</v>
      </c>
      <c r="M904" s="115" t="n">
        <v>3.0</v>
      </c>
      <c r="N904" s="115"/>
      <c r="O904" s="115"/>
      <c r="P904" s="115"/>
      <c r="Q904" s="115"/>
      <c r="R904" s="115"/>
      <c r="S904" s="115"/>
      <c r="T904" s="115"/>
      <c r="U904" s="115"/>
      <c r="V904" s="115" t="s">
        <v>82</v>
      </c>
      <c r="W904" s="115" t="s">
        <v>92</v>
      </c>
      <c r="X904" s="113">
        <f>IF(INDIRECT("W904")="Clássico","11.5%","-")</f>
      </c>
      <c r="Y904" s="113" t="s">
        <v>3029</v>
      </c>
    </row>
    <row r="905" ht="50.0" customHeight="true">
      <c r="A905" s="113" t="s">
        <v>22</v>
      </c>
      <c r="B905" s="113" t="s">
        <v>3143</v>
      </c>
      <c r="C905" s="113" t="s">
        <v>3145</v>
      </c>
      <c r="D905" s="113" t="s">
        <v>3145</v>
      </c>
      <c r="E905" s="114" t="s">
        <v>3037</v>
      </c>
      <c r="F905" s="116">
        <f>"     "&amp;F904</f>
      </c>
      <c r="G905" s="113" t="s">
        <v>3117</v>
      </c>
      <c r="H905" s="113" t="s">
        <v>103</v>
      </c>
      <c r="I905" s="113">
        <f>I904</f>
      </c>
      <c r="J905" s="113">
        <f>J904&amp;"     "</f>
      </c>
      <c r="K905" s="113" t="s">
        <v>81</v>
      </c>
      <c r="L905" s="113">
        <f>L904</f>
      </c>
      <c r="M905" s="113">
        <f>M904</f>
      </c>
      <c r="N905" s="113">
        <f>N904</f>
      </c>
      <c r="O905" s="113">
        <f>O904</f>
      </c>
      <c r="P905" s="113">
        <f>P904</f>
      </c>
      <c r="Q905" s="113">
        <f>Q904</f>
      </c>
      <c r="R905" s="113">
        <f>R904</f>
      </c>
      <c r="S905" s="113">
        <f>S904</f>
      </c>
      <c r="T905" s="113">
        <f>T904</f>
      </c>
      <c r="U905" s="113">
        <f>U904</f>
      </c>
      <c r="V905" s="113">
        <f>V904&amp;"     "</f>
      </c>
      <c r="W905" s="113">
        <f>W904&amp;"     "</f>
      </c>
      <c r="X905" s="113">
        <f>X904</f>
      </c>
      <c r="Y905" s="113" t="s">
        <v>3029</v>
      </c>
    </row>
    <row r="906" ht="50.0" customHeight="true">
      <c r="A906" s="113" t="s">
        <v>22</v>
      </c>
      <c r="B906" s="113" t="s">
        <v>3143</v>
      </c>
      <c r="C906" s="113" t="s">
        <v>3146</v>
      </c>
      <c r="D906" s="113" t="s">
        <v>3146</v>
      </c>
      <c r="E906" s="114" t="s">
        <v>3034</v>
      </c>
      <c r="F906" s="116">
        <f>"     "&amp;F904</f>
      </c>
      <c r="G906" s="113" t="s">
        <v>3119</v>
      </c>
      <c r="H906" s="113" t="s">
        <v>103</v>
      </c>
      <c r="I906" s="113">
        <f>I904</f>
      </c>
      <c r="J906" s="113">
        <f>J904&amp;"     "</f>
      </c>
      <c r="K906" s="113" t="s">
        <v>81</v>
      </c>
      <c r="L906" s="113">
        <f>L904</f>
      </c>
      <c r="M906" s="113">
        <f>M904</f>
      </c>
      <c r="N906" s="113">
        <f>N904</f>
      </c>
      <c r="O906" s="113">
        <f>O904</f>
      </c>
      <c r="P906" s="113">
        <f>P904</f>
      </c>
      <c r="Q906" s="113">
        <f>Q904</f>
      </c>
      <c r="R906" s="113">
        <f>R904</f>
      </c>
      <c r="S906" s="113">
        <f>S904</f>
      </c>
      <c r="T906" s="113">
        <f>T904</f>
      </c>
      <c r="U906" s="113">
        <f>U904</f>
      </c>
      <c r="V906" s="113">
        <f>V904&amp;"     "</f>
      </c>
      <c r="W906" s="113">
        <f>W904&amp;"     "</f>
      </c>
      <c r="X906" s="113">
        <f>X904</f>
      </c>
      <c r="Y906" s="113" t="s">
        <v>3029</v>
      </c>
    </row>
    <row r="907" ht="50.0" customHeight="true">
      <c r="A907" s="113" t="s">
        <v>22</v>
      </c>
      <c r="B907" s="113" t="s">
        <v>3143</v>
      </c>
      <c r="C907" s="113" t="s">
        <v>3147</v>
      </c>
      <c r="D907" s="113" t="s">
        <v>3147</v>
      </c>
      <c r="E907" s="114" t="s">
        <v>3031</v>
      </c>
      <c r="F907" s="116">
        <f>"     "&amp;F904</f>
      </c>
      <c r="G907" s="113" t="s">
        <v>3121</v>
      </c>
      <c r="H907" s="113" t="s">
        <v>103</v>
      </c>
      <c r="I907" s="113">
        <f>I904</f>
      </c>
      <c r="J907" s="113">
        <f>J904&amp;"     "</f>
      </c>
      <c r="K907" s="113" t="s">
        <v>81</v>
      </c>
      <c r="L907" s="113">
        <f>L904</f>
      </c>
      <c r="M907" s="113">
        <f>M904</f>
      </c>
      <c r="N907" s="113">
        <f>N904</f>
      </c>
      <c r="O907" s="113">
        <f>O904</f>
      </c>
      <c r="P907" s="113">
        <f>P904</f>
      </c>
      <c r="Q907" s="113">
        <f>Q904</f>
      </c>
      <c r="R907" s="113">
        <f>R904</f>
      </c>
      <c r="S907" s="113">
        <f>S904</f>
      </c>
      <c r="T907" s="113">
        <f>T904</f>
      </c>
      <c r="U907" s="113">
        <f>U904</f>
      </c>
      <c r="V907" s="113">
        <f>V904&amp;"     "</f>
      </c>
      <c r="W907" s="113">
        <f>W904&amp;"     "</f>
      </c>
      <c r="X907" s="113">
        <f>X904</f>
      </c>
      <c r="Y907" s="113" t="s">
        <v>3029</v>
      </c>
    </row>
    <row r="908" ht="50.0" customHeight="true">
      <c r="A908" s="113" t="s">
        <v>22</v>
      </c>
      <c r="B908" s="113" t="s">
        <v>3143</v>
      </c>
      <c r="C908" s="113" t="s">
        <v>3148</v>
      </c>
      <c r="D908" s="113" t="s">
        <v>3148</v>
      </c>
      <c r="E908" s="114" t="s">
        <v>3040</v>
      </c>
      <c r="F908" s="116">
        <f>"     "&amp;F904</f>
      </c>
      <c r="G908" s="113" t="s">
        <v>3123</v>
      </c>
      <c r="H908" s="113" t="s">
        <v>103</v>
      </c>
      <c r="I908" s="113">
        <f>I904</f>
      </c>
      <c r="J908" s="113">
        <f>J904&amp;"     "</f>
      </c>
      <c r="K908" s="113" t="s">
        <v>81</v>
      </c>
      <c r="L908" s="113">
        <f>L904</f>
      </c>
      <c r="M908" s="113">
        <f>M904</f>
      </c>
      <c r="N908" s="113">
        <f>N904</f>
      </c>
      <c r="O908" s="113">
        <f>O904</f>
      </c>
      <c r="P908" s="113">
        <f>P904</f>
      </c>
      <c r="Q908" s="113">
        <f>Q904</f>
      </c>
      <c r="R908" s="113">
        <f>R904</f>
      </c>
      <c r="S908" s="113">
        <f>S904</f>
      </c>
      <c r="T908" s="113">
        <f>T904</f>
      </c>
      <c r="U908" s="113">
        <f>U904</f>
      </c>
      <c r="V908" s="113">
        <f>V904&amp;"     "</f>
      </c>
      <c r="W908" s="113">
        <f>W904&amp;"     "</f>
      </c>
      <c r="X908" s="113">
        <f>X904</f>
      </c>
      <c r="Y908" s="113" t="s">
        <v>3029</v>
      </c>
    </row>
    <row r="909" ht="50.0" customHeight="true">
      <c r="A909" s="113" t="s">
        <v>22</v>
      </c>
      <c r="B909" s="113" t="s">
        <v>3149</v>
      </c>
      <c r="C909" s="113"/>
      <c r="D909" s="113"/>
      <c r="E909" s="113" t="s">
        <v>22</v>
      </c>
      <c r="F909" s="114" t="s">
        <v>3150</v>
      </c>
      <c r="G909" s="113" t="s">
        <v>103</v>
      </c>
      <c r="H909" s="113" t="s">
        <v>103</v>
      </c>
      <c r="I909" s="115" t="n">
        <v>165.19</v>
      </c>
      <c r="J909" s="115" t="s">
        <v>80</v>
      </c>
      <c r="K909" s="113" t="s">
        <v>81</v>
      </c>
      <c r="L909" s="115" t="n">
        <v>160.19</v>
      </c>
      <c r="M909" s="115" t="n">
        <v>3.0</v>
      </c>
      <c r="N909" s="115"/>
      <c r="O909" s="115"/>
      <c r="P909" s="115"/>
      <c r="Q909" s="115"/>
      <c r="R909" s="115"/>
      <c r="S909" s="115"/>
      <c r="T909" s="115"/>
      <c r="U909" s="115"/>
      <c r="V909" s="115" t="s">
        <v>82</v>
      </c>
      <c r="W909" s="115" t="s">
        <v>92</v>
      </c>
      <c r="X909" s="113">
        <f>IF(INDIRECT("W909")="Clássico","11.5%","-")</f>
      </c>
      <c r="Y909" s="113" t="s">
        <v>3029</v>
      </c>
    </row>
    <row r="910" ht="50.0" customHeight="true">
      <c r="A910" s="113" t="s">
        <v>22</v>
      </c>
      <c r="B910" s="113" t="s">
        <v>3149</v>
      </c>
      <c r="C910" s="113" t="s">
        <v>3151</v>
      </c>
      <c r="D910" s="113" t="s">
        <v>3151</v>
      </c>
      <c r="E910" s="114" t="s">
        <v>3045</v>
      </c>
      <c r="F910" s="116">
        <f>"     "&amp;F909</f>
      </c>
      <c r="G910" s="113" t="s">
        <v>3046</v>
      </c>
      <c r="H910" s="113" t="s">
        <v>103</v>
      </c>
      <c r="I910" s="113">
        <f>I909</f>
      </c>
      <c r="J910" s="113">
        <f>J909&amp;"     "</f>
      </c>
      <c r="K910" s="113" t="s">
        <v>81</v>
      </c>
      <c r="L910" s="113">
        <f>L909</f>
      </c>
      <c r="M910" s="113">
        <f>M909</f>
      </c>
      <c r="N910" s="113">
        <f>N909</f>
      </c>
      <c r="O910" s="113">
        <f>O909</f>
      </c>
      <c r="P910" s="113">
        <f>P909</f>
      </c>
      <c r="Q910" s="113">
        <f>Q909</f>
      </c>
      <c r="R910" s="113">
        <f>R909</f>
      </c>
      <c r="S910" s="113">
        <f>S909</f>
      </c>
      <c r="T910" s="113">
        <f>T909</f>
      </c>
      <c r="U910" s="113">
        <f>U909</f>
      </c>
      <c r="V910" s="113">
        <f>V909&amp;"     "</f>
      </c>
      <c r="W910" s="113">
        <f>W909&amp;"     "</f>
      </c>
      <c r="X910" s="113">
        <f>X909</f>
      </c>
      <c r="Y910" s="113" t="s">
        <v>3029</v>
      </c>
    </row>
    <row r="911" ht="50.0" customHeight="true">
      <c r="A911" s="113" t="s">
        <v>22</v>
      </c>
      <c r="B911" s="113" t="s">
        <v>3149</v>
      </c>
      <c r="C911" s="113" t="s">
        <v>3152</v>
      </c>
      <c r="D911" s="113" t="s">
        <v>3152</v>
      </c>
      <c r="E911" s="114" t="s">
        <v>3048</v>
      </c>
      <c r="F911" s="116">
        <f>"     "&amp;F909</f>
      </c>
      <c r="G911" s="113" t="s">
        <v>3049</v>
      </c>
      <c r="H911" s="113" t="s">
        <v>103</v>
      </c>
      <c r="I911" s="113">
        <f>I909</f>
      </c>
      <c r="J911" s="113">
        <f>J909&amp;"     "</f>
      </c>
      <c r="K911" s="113" t="s">
        <v>81</v>
      </c>
      <c r="L911" s="113">
        <f>L909</f>
      </c>
      <c r="M911" s="113">
        <f>M909</f>
      </c>
      <c r="N911" s="113">
        <f>N909</f>
      </c>
      <c r="O911" s="113">
        <f>O909</f>
      </c>
      <c r="P911" s="113">
        <f>P909</f>
      </c>
      <c r="Q911" s="113">
        <f>Q909</f>
      </c>
      <c r="R911" s="113">
        <f>R909</f>
      </c>
      <c r="S911" s="113">
        <f>S909</f>
      </c>
      <c r="T911" s="113">
        <f>T909</f>
      </c>
      <c r="U911" s="113">
        <f>U909</f>
      </c>
      <c r="V911" s="113">
        <f>V909&amp;"     "</f>
      </c>
      <c r="W911" s="113">
        <f>W909&amp;"     "</f>
      </c>
      <c r="X911" s="113">
        <f>X909</f>
      </c>
      <c r="Y911" s="113" t="s">
        <v>3029</v>
      </c>
    </row>
    <row r="912" ht="50.0" customHeight="true">
      <c r="A912" s="113" t="s">
        <v>22</v>
      </c>
      <c r="B912" s="113" t="s">
        <v>3149</v>
      </c>
      <c r="C912" s="113" t="s">
        <v>3153</v>
      </c>
      <c r="D912" s="113" t="s">
        <v>3153</v>
      </c>
      <c r="E912" s="114" t="s">
        <v>3051</v>
      </c>
      <c r="F912" s="116">
        <f>"     "&amp;F909</f>
      </c>
      <c r="G912" s="113" t="s">
        <v>3052</v>
      </c>
      <c r="H912" s="113" t="s">
        <v>103</v>
      </c>
      <c r="I912" s="113">
        <f>I909</f>
      </c>
      <c r="J912" s="113">
        <f>J909&amp;"     "</f>
      </c>
      <c r="K912" s="113" t="s">
        <v>81</v>
      </c>
      <c r="L912" s="113">
        <f>L909</f>
      </c>
      <c r="M912" s="113">
        <f>M909</f>
      </c>
      <c r="N912" s="113">
        <f>N909</f>
      </c>
      <c r="O912" s="113">
        <f>O909</f>
      </c>
      <c r="P912" s="113">
        <f>P909</f>
      </c>
      <c r="Q912" s="113">
        <f>Q909</f>
      </c>
      <c r="R912" s="113">
        <f>R909</f>
      </c>
      <c r="S912" s="113">
        <f>S909</f>
      </c>
      <c r="T912" s="113">
        <f>T909</f>
      </c>
      <c r="U912" s="113">
        <f>U909</f>
      </c>
      <c r="V912" s="113">
        <f>V909&amp;"     "</f>
      </c>
      <c r="W912" s="113">
        <f>W909&amp;"     "</f>
      </c>
      <c r="X912" s="113">
        <f>X909</f>
      </c>
      <c r="Y912" s="113" t="s">
        <v>3029</v>
      </c>
    </row>
    <row r="913" ht="50.0" customHeight="true">
      <c r="A913" s="113" t="s">
        <v>22</v>
      </c>
      <c r="B913" s="113" t="s">
        <v>3149</v>
      </c>
      <c r="C913" s="113" t="s">
        <v>3154</v>
      </c>
      <c r="D913" s="113" t="s">
        <v>3154</v>
      </c>
      <c r="E913" s="114" t="s">
        <v>3054</v>
      </c>
      <c r="F913" s="116">
        <f>"     "&amp;F909</f>
      </c>
      <c r="G913" s="113" t="s">
        <v>3055</v>
      </c>
      <c r="H913" s="113" t="s">
        <v>103</v>
      </c>
      <c r="I913" s="113">
        <f>I909</f>
      </c>
      <c r="J913" s="113">
        <f>J909&amp;"     "</f>
      </c>
      <c r="K913" s="113" t="s">
        <v>81</v>
      </c>
      <c r="L913" s="113">
        <f>L909</f>
      </c>
      <c r="M913" s="113">
        <f>M909</f>
      </c>
      <c r="N913" s="113">
        <f>N909</f>
      </c>
      <c r="O913" s="113">
        <f>O909</f>
      </c>
      <c r="P913" s="113">
        <f>P909</f>
      </c>
      <c r="Q913" s="113">
        <f>Q909</f>
      </c>
      <c r="R913" s="113">
        <f>R909</f>
      </c>
      <c r="S913" s="113">
        <f>S909</f>
      </c>
      <c r="T913" s="113">
        <f>T909</f>
      </c>
      <c r="U913" s="113">
        <f>U909</f>
      </c>
      <c r="V913" s="113">
        <f>V909&amp;"     "</f>
      </c>
      <c r="W913" s="113">
        <f>W909&amp;"     "</f>
      </c>
      <c r="X913" s="113">
        <f>X909</f>
      </c>
      <c r="Y913" s="113" t="s">
        <v>3029</v>
      </c>
    </row>
    <row r="914" ht="50.0" customHeight="true">
      <c r="A914" s="113" t="s">
        <v>22</v>
      </c>
      <c r="B914" s="113" t="s">
        <v>3149</v>
      </c>
      <c r="C914" s="113" t="s">
        <v>3155</v>
      </c>
      <c r="D914" s="113" t="s">
        <v>3155</v>
      </c>
      <c r="E914" s="114" t="s">
        <v>3057</v>
      </c>
      <c r="F914" s="116">
        <f>"     "&amp;F909</f>
      </c>
      <c r="G914" s="113" t="s">
        <v>3058</v>
      </c>
      <c r="H914" s="113" t="s">
        <v>103</v>
      </c>
      <c r="I914" s="113">
        <f>I909</f>
      </c>
      <c r="J914" s="113">
        <f>J909&amp;"     "</f>
      </c>
      <c r="K914" s="113" t="s">
        <v>81</v>
      </c>
      <c r="L914" s="113">
        <f>L909</f>
      </c>
      <c r="M914" s="113">
        <f>M909</f>
      </c>
      <c r="N914" s="113">
        <f>N909</f>
      </c>
      <c r="O914" s="113">
        <f>O909</f>
      </c>
      <c r="P914" s="113">
        <f>P909</f>
      </c>
      <c r="Q914" s="113">
        <f>Q909</f>
      </c>
      <c r="R914" s="113">
        <f>R909</f>
      </c>
      <c r="S914" s="113">
        <f>S909</f>
      </c>
      <c r="T914" s="113">
        <f>T909</f>
      </c>
      <c r="U914" s="113">
        <f>U909</f>
      </c>
      <c r="V914" s="113">
        <f>V909&amp;"     "</f>
      </c>
      <c r="W914" s="113">
        <f>W909&amp;"     "</f>
      </c>
      <c r="X914" s="113">
        <f>X909</f>
      </c>
      <c r="Y914" s="113" t="s">
        <v>3029</v>
      </c>
    </row>
    <row r="915" ht="50.0" customHeight="true">
      <c r="A915" s="113" t="s">
        <v>22</v>
      </c>
      <c r="B915" s="113" t="s">
        <v>3156</v>
      </c>
      <c r="C915" s="113"/>
      <c r="D915" s="113"/>
      <c r="E915" s="113" t="s">
        <v>22</v>
      </c>
      <c r="F915" s="114" t="s">
        <v>3075</v>
      </c>
      <c r="G915" s="113" t="s">
        <v>103</v>
      </c>
      <c r="H915" s="113" t="s">
        <v>3061</v>
      </c>
      <c r="I915" s="115" t="n">
        <v>204.94</v>
      </c>
      <c r="J915" s="115" t="s">
        <v>80</v>
      </c>
      <c r="K915" s="113" t="s">
        <v>81</v>
      </c>
      <c r="L915" s="115" t="n">
        <v>199.94</v>
      </c>
      <c r="M915" s="115" t="n">
        <v>3.0</v>
      </c>
      <c r="N915" s="115"/>
      <c r="O915" s="115"/>
      <c r="P915" s="115"/>
      <c r="Q915" s="115"/>
      <c r="R915" s="115"/>
      <c r="S915" s="115"/>
      <c r="T915" s="115"/>
      <c r="U915" s="115"/>
      <c r="V915" s="115" t="s">
        <v>82</v>
      </c>
      <c r="W915" s="115" t="s">
        <v>92</v>
      </c>
      <c r="X915" s="113">
        <f>IF(INDIRECT("W915")="Clássico","11.5%","-")</f>
      </c>
      <c r="Y915" s="113" t="s">
        <v>3029</v>
      </c>
    </row>
    <row r="916" ht="50.0" customHeight="true">
      <c r="A916" s="113" t="s">
        <v>22</v>
      </c>
      <c r="B916" s="113" t="s">
        <v>3156</v>
      </c>
      <c r="C916" s="113" t="s">
        <v>3157</v>
      </c>
      <c r="D916" s="113" t="s">
        <v>3157</v>
      </c>
      <c r="E916" s="114" t="s">
        <v>3077</v>
      </c>
      <c r="F916" s="116">
        <f>"     "&amp;F915</f>
      </c>
      <c r="G916" s="113" t="s">
        <v>3078</v>
      </c>
      <c r="H916" s="113" t="s">
        <v>3061</v>
      </c>
      <c r="I916" s="113">
        <f>I915</f>
      </c>
      <c r="J916" s="113">
        <f>J915&amp;"     "</f>
      </c>
      <c r="K916" s="113" t="s">
        <v>81</v>
      </c>
      <c r="L916" s="113">
        <f>L915</f>
      </c>
      <c r="M916" s="113">
        <f>M915</f>
      </c>
      <c r="N916" s="113">
        <f>N915</f>
      </c>
      <c r="O916" s="113">
        <f>O915</f>
      </c>
      <c r="P916" s="113">
        <f>P915</f>
      </c>
      <c r="Q916" s="113">
        <f>Q915</f>
      </c>
      <c r="R916" s="113">
        <f>R915</f>
      </c>
      <c r="S916" s="113">
        <f>S915</f>
      </c>
      <c r="T916" s="113">
        <f>T915</f>
      </c>
      <c r="U916" s="113">
        <f>U915</f>
      </c>
      <c r="V916" s="113">
        <f>V915&amp;"     "</f>
      </c>
      <c r="W916" s="113">
        <f>W915&amp;"     "</f>
      </c>
      <c r="X916" s="113">
        <f>X915</f>
      </c>
      <c r="Y916" s="113" t="s">
        <v>3029</v>
      </c>
    </row>
    <row r="917" ht="50.0" customHeight="true">
      <c r="A917" s="113" t="s">
        <v>22</v>
      </c>
      <c r="B917" s="113" t="s">
        <v>3156</v>
      </c>
      <c r="C917" s="113" t="s">
        <v>3158</v>
      </c>
      <c r="D917" s="113" t="s">
        <v>3158</v>
      </c>
      <c r="E917" s="114" t="s">
        <v>3086</v>
      </c>
      <c r="F917" s="116">
        <f>"     "&amp;F915</f>
      </c>
      <c r="G917" s="113" t="s">
        <v>3126</v>
      </c>
      <c r="H917" s="113" t="s">
        <v>103</v>
      </c>
      <c r="I917" s="113">
        <f>I915</f>
      </c>
      <c r="J917" s="113">
        <f>J915&amp;"     "</f>
      </c>
      <c r="K917" s="113" t="s">
        <v>81</v>
      </c>
      <c r="L917" s="113">
        <f>L915</f>
      </c>
      <c r="M917" s="113">
        <f>M915</f>
      </c>
      <c r="N917" s="113">
        <f>N915</f>
      </c>
      <c r="O917" s="113">
        <f>O915</f>
      </c>
      <c r="P917" s="113">
        <f>P915</f>
      </c>
      <c r="Q917" s="113">
        <f>Q915</f>
      </c>
      <c r="R917" s="113">
        <f>R915</f>
      </c>
      <c r="S917" s="113">
        <f>S915</f>
      </c>
      <c r="T917" s="113">
        <f>T915</f>
      </c>
      <c r="U917" s="113">
        <f>U915</f>
      </c>
      <c r="V917" s="113">
        <f>V915&amp;"     "</f>
      </c>
      <c r="W917" s="113">
        <f>W915&amp;"     "</f>
      </c>
      <c r="X917" s="113">
        <f>X915</f>
      </c>
      <c r="Y917" s="113" t="s">
        <v>3029</v>
      </c>
    </row>
    <row r="918" ht="50.0" customHeight="true">
      <c r="A918" s="113" t="s">
        <v>22</v>
      </c>
      <c r="B918" s="113" t="s">
        <v>3156</v>
      </c>
      <c r="C918" s="113" t="s">
        <v>3159</v>
      </c>
      <c r="D918" s="113" t="s">
        <v>3159</v>
      </c>
      <c r="E918" s="114" t="s">
        <v>3080</v>
      </c>
      <c r="F918" s="116">
        <f>"     "&amp;F915</f>
      </c>
      <c r="G918" s="113" t="s">
        <v>3081</v>
      </c>
      <c r="H918" s="113" t="s">
        <v>103</v>
      </c>
      <c r="I918" s="113">
        <f>I915</f>
      </c>
      <c r="J918" s="113">
        <f>J915&amp;"     "</f>
      </c>
      <c r="K918" s="113" t="s">
        <v>81</v>
      </c>
      <c r="L918" s="113">
        <f>L915</f>
      </c>
      <c r="M918" s="113">
        <f>M915</f>
      </c>
      <c r="N918" s="113">
        <f>N915</f>
      </c>
      <c r="O918" s="113">
        <f>O915</f>
      </c>
      <c r="P918" s="113">
        <f>P915</f>
      </c>
      <c r="Q918" s="113">
        <f>Q915</f>
      </c>
      <c r="R918" s="113">
        <f>R915</f>
      </c>
      <c r="S918" s="113">
        <f>S915</f>
      </c>
      <c r="T918" s="113">
        <f>T915</f>
      </c>
      <c r="U918" s="113">
        <f>U915</f>
      </c>
      <c r="V918" s="113">
        <f>V915&amp;"     "</f>
      </c>
      <c r="W918" s="113">
        <f>W915&amp;"     "</f>
      </c>
      <c r="X918" s="113">
        <f>X915</f>
      </c>
      <c r="Y918" s="113" t="s">
        <v>3029</v>
      </c>
    </row>
    <row r="919" ht="50.0" customHeight="true">
      <c r="A919" s="113" t="s">
        <v>22</v>
      </c>
      <c r="B919" s="113" t="s">
        <v>3156</v>
      </c>
      <c r="C919" s="113" t="s">
        <v>3160</v>
      </c>
      <c r="D919" s="113" t="s">
        <v>3160</v>
      </c>
      <c r="E919" s="114" t="s">
        <v>3083</v>
      </c>
      <c r="F919" s="116">
        <f>"     "&amp;F915</f>
      </c>
      <c r="G919" s="113" t="s">
        <v>3084</v>
      </c>
      <c r="H919" s="113" t="s">
        <v>103</v>
      </c>
      <c r="I919" s="113">
        <f>I915</f>
      </c>
      <c r="J919" s="113">
        <f>J915&amp;"     "</f>
      </c>
      <c r="K919" s="113" t="s">
        <v>81</v>
      </c>
      <c r="L919" s="113">
        <f>L915</f>
      </c>
      <c r="M919" s="113">
        <f>M915</f>
      </c>
      <c r="N919" s="113">
        <f>N915</f>
      </c>
      <c r="O919" s="113">
        <f>O915</f>
      </c>
      <c r="P919" s="113">
        <f>P915</f>
      </c>
      <c r="Q919" s="113">
        <f>Q915</f>
      </c>
      <c r="R919" s="113">
        <f>R915</f>
      </c>
      <c r="S919" s="113">
        <f>S915</f>
      </c>
      <c r="T919" s="113">
        <f>T915</f>
      </c>
      <c r="U919" s="113">
        <f>U915</f>
      </c>
      <c r="V919" s="113">
        <f>V915&amp;"     "</f>
      </c>
      <c r="W919" s="113">
        <f>W915&amp;"     "</f>
      </c>
      <c r="X919" s="113">
        <f>X915</f>
      </c>
      <c r="Y919" s="113" t="s">
        <v>3029</v>
      </c>
    </row>
    <row r="920" ht="50.0" customHeight="true">
      <c r="A920" s="113" t="s">
        <v>22</v>
      </c>
      <c r="B920" s="113" t="s">
        <v>3156</v>
      </c>
      <c r="C920" s="113" t="s">
        <v>3161</v>
      </c>
      <c r="D920" s="113" t="s">
        <v>3161</v>
      </c>
      <c r="E920" s="114" t="s">
        <v>3089</v>
      </c>
      <c r="F920" s="116">
        <f>"     "&amp;F915</f>
      </c>
      <c r="G920" s="113" t="s">
        <v>3131</v>
      </c>
      <c r="H920" s="113" t="s">
        <v>103</v>
      </c>
      <c r="I920" s="113">
        <f>I915</f>
      </c>
      <c r="J920" s="113">
        <f>J915&amp;"     "</f>
      </c>
      <c r="K920" s="113" t="s">
        <v>81</v>
      </c>
      <c r="L920" s="113">
        <f>L915</f>
      </c>
      <c r="M920" s="113">
        <f>M915</f>
      </c>
      <c r="N920" s="113">
        <f>N915</f>
      </c>
      <c r="O920" s="113">
        <f>O915</f>
      </c>
      <c r="P920" s="113">
        <f>P915</f>
      </c>
      <c r="Q920" s="113">
        <f>Q915</f>
      </c>
      <c r="R920" s="113">
        <f>R915</f>
      </c>
      <c r="S920" s="113">
        <f>S915</f>
      </c>
      <c r="T920" s="113">
        <f>T915</f>
      </c>
      <c r="U920" s="113">
        <f>U915</f>
      </c>
      <c r="V920" s="113">
        <f>V915&amp;"     "</f>
      </c>
      <c r="W920" s="113">
        <f>W915&amp;"     "</f>
      </c>
      <c r="X920" s="113">
        <f>X915</f>
      </c>
      <c r="Y920" s="113" t="s">
        <v>3029</v>
      </c>
    </row>
    <row r="921" ht="50.0" customHeight="true">
      <c r="A921" s="113" t="s">
        <v>3162</v>
      </c>
      <c r="B921" s="113" t="s">
        <v>3163</v>
      </c>
      <c r="C921" s="113" t="s">
        <v>3164</v>
      </c>
      <c r="D921" s="113"/>
      <c r="E921" s="114" t="s">
        <v>3165</v>
      </c>
      <c r="F921" s="113" t="s">
        <v>3166</v>
      </c>
      <c r="G921" s="113" t="s">
        <v>3166</v>
      </c>
      <c r="H921" s="113" t="s">
        <v>103</v>
      </c>
      <c r="I921" s="115" t="n">
        <v>45.06</v>
      </c>
      <c r="J921" s="115" t="s">
        <v>80</v>
      </c>
      <c r="K921" s="115" t="s">
        <v>81</v>
      </c>
      <c r="L921" s="115" t="n">
        <v>40.06</v>
      </c>
      <c r="M921" s="115" t="n">
        <v>3.0</v>
      </c>
      <c r="N921" s="115"/>
      <c r="O921" s="115"/>
      <c r="P921" s="115"/>
      <c r="Q921" s="115"/>
      <c r="R921" s="115"/>
      <c r="S921" s="115"/>
      <c r="T921" s="115"/>
      <c r="U921" s="115"/>
      <c r="V921" s="115" t="s">
        <v>91</v>
      </c>
      <c r="W921" s="115" t="s">
        <v>92</v>
      </c>
      <c r="X921" s="113">
        <f>IF(INDIRECT("W921")="Clássico","12%",IF(INDIRECT("W921")="Premium","17%","-"))</f>
      </c>
      <c r="Y921" s="113" t="s">
        <v>2886</v>
      </c>
    </row>
    <row r="922" ht="50.0" customHeight="true">
      <c r="A922" s="113" t="s">
        <v>3167</v>
      </c>
      <c r="B922" s="113" t="s">
        <v>3168</v>
      </c>
      <c r="C922" s="113" t="s">
        <v>3169</v>
      </c>
      <c r="D922" s="113"/>
      <c r="E922" s="114" t="s">
        <v>3170</v>
      </c>
      <c r="F922" s="113" t="s">
        <v>3171</v>
      </c>
      <c r="G922" s="113" t="s">
        <v>127</v>
      </c>
      <c r="H922" s="113" t="s">
        <v>103</v>
      </c>
      <c r="I922" s="115" t="n">
        <v>82.15</v>
      </c>
      <c r="J922" s="115" t="s">
        <v>80</v>
      </c>
      <c r="K922" s="115" t="s">
        <v>81</v>
      </c>
      <c r="L922" s="115" t="n">
        <v>77.15</v>
      </c>
      <c r="M922" s="115" t="n">
        <v>3.0</v>
      </c>
      <c r="N922" s="115"/>
      <c r="O922" s="115"/>
      <c r="P922" s="115"/>
      <c r="Q922" s="115"/>
      <c r="R922" s="115"/>
      <c r="S922" s="115"/>
      <c r="T922" s="115"/>
      <c r="U922" s="115"/>
      <c r="V922" s="115" t="s">
        <v>91</v>
      </c>
      <c r="W922" s="115" t="s">
        <v>92</v>
      </c>
      <c r="X922" s="113">
        <f>IF(INDIRECT("W922")="Clássico","12.5%",IF(INDIRECT("W922")="Premium","17.5%","-"))</f>
      </c>
      <c r="Y922" s="113" t="s">
        <v>3172</v>
      </c>
    </row>
    <row r="923" ht="50.0" customHeight="true">
      <c r="A923" s="113" t="s">
        <v>3173</v>
      </c>
      <c r="B923" s="113" t="s">
        <v>3174</v>
      </c>
      <c r="C923" s="113" t="s">
        <v>3175</v>
      </c>
      <c r="D923" s="113"/>
      <c r="E923" s="114" t="s">
        <v>3176</v>
      </c>
      <c r="F923" s="113" t="s">
        <v>3177</v>
      </c>
      <c r="G923" s="113" t="s">
        <v>3178</v>
      </c>
      <c r="H923" s="113" t="s">
        <v>103</v>
      </c>
      <c r="I923" s="115" t="n">
        <v>60.63</v>
      </c>
      <c r="J923" s="115" t="s">
        <v>80</v>
      </c>
      <c r="K923" s="115" t="s">
        <v>81</v>
      </c>
      <c r="L923" s="115" t="n">
        <v>61.41</v>
      </c>
      <c r="M923" s="115" t="n">
        <v>3.0</v>
      </c>
      <c r="N923" s="115"/>
      <c r="O923" s="115"/>
      <c r="P923" s="115"/>
      <c r="Q923" s="115"/>
      <c r="R923" s="115"/>
      <c r="S923" s="115"/>
      <c r="T923" s="115"/>
      <c r="U923" s="115"/>
      <c r="V923" s="115" t="s">
        <v>91</v>
      </c>
      <c r="W923" s="115" t="s">
        <v>92</v>
      </c>
      <c r="X923" s="113">
        <f>IF(INDIRECT("W923")="Clássico","12.5%",IF(INDIRECT("W923")="Premium","17.5%","-"))</f>
      </c>
      <c r="Y923" s="113" t="s">
        <v>3172</v>
      </c>
    </row>
    <row r="924" ht="50.0" customHeight="true">
      <c r="A924" s="113" t="s">
        <v>3179</v>
      </c>
      <c r="B924" s="113" t="s">
        <v>3180</v>
      </c>
      <c r="C924" s="113" t="s">
        <v>3181</v>
      </c>
      <c r="D924" s="113"/>
      <c r="E924" s="114" t="s">
        <v>3170</v>
      </c>
      <c r="F924" s="113" t="s">
        <v>3182</v>
      </c>
      <c r="G924" s="113" t="s">
        <v>127</v>
      </c>
      <c r="H924" s="113" t="s">
        <v>103</v>
      </c>
      <c r="I924" s="115" t="n">
        <v>95.57</v>
      </c>
      <c r="J924" s="115" t="s">
        <v>80</v>
      </c>
      <c r="K924" s="115" t="s">
        <v>81</v>
      </c>
      <c r="L924" s="115" t="n">
        <v>90.57</v>
      </c>
      <c r="M924" s="115" t="n">
        <v>3.0</v>
      </c>
      <c r="N924" s="115"/>
      <c r="O924" s="115"/>
      <c r="P924" s="115"/>
      <c r="Q924" s="115"/>
      <c r="R924" s="115"/>
      <c r="S924" s="115"/>
      <c r="T924" s="115"/>
      <c r="U924" s="115"/>
      <c r="V924" s="115" t="s">
        <v>91</v>
      </c>
      <c r="W924" s="115" t="s">
        <v>92</v>
      </c>
      <c r="X924" s="113">
        <f>IF(INDIRECT("W924")="Clássico","12.5%",IF(INDIRECT("W924")="Premium","17.5%","-"))</f>
      </c>
      <c r="Y924" s="113" t="s">
        <v>3172</v>
      </c>
    </row>
    <row r="925" ht="50.0" customHeight="true">
      <c r="A925" s="113" t="s">
        <v>3183</v>
      </c>
      <c r="B925" s="113" t="s">
        <v>3184</v>
      </c>
      <c r="C925" s="113" t="s">
        <v>3185</v>
      </c>
      <c r="D925" s="113"/>
      <c r="E925" s="114" t="s">
        <v>3186</v>
      </c>
      <c r="F925" s="113" t="s">
        <v>3187</v>
      </c>
      <c r="G925" s="113" t="s">
        <v>3187</v>
      </c>
      <c r="H925" s="113" t="s">
        <v>103</v>
      </c>
      <c r="I925" s="115" t="n">
        <v>61.9</v>
      </c>
      <c r="J925" s="115" t="s">
        <v>80</v>
      </c>
      <c r="K925" s="115" t="s">
        <v>81</v>
      </c>
      <c r="L925" s="115" t="n">
        <v>56.9</v>
      </c>
      <c r="M925" s="115" t="n">
        <v>3.0</v>
      </c>
      <c r="N925" s="115"/>
      <c r="O925" s="115"/>
      <c r="P925" s="115"/>
      <c r="Q925" s="115"/>
      <c r="R925" s="115"/>
      <c r="S925" s="115"/>
      <c r="T925" s="115"/>
      <c r="U925" s="115"/>
      <c r="V925" s="115" t="s">
        <v>91</v>
      </c>
      <c r="W925" s="115" t="s">
        <v>92</v>
      </c>
      <c r="X925" s="113">
        <f>IF(INDIRECT("W925")="Clássico","12%",IF(INDIRECT("W925")="Premium","17%","-"))</f>
      </c>
      <c r="Y925" s="113" t="s">
        <v>3188</v>
      </c>
    </row>
    <row r="926" ht="50.0" customHeight="true">
      <c r="A926" s="113" t="s">
        <v>3189</v>
      </c>
      <c r="B926" s="113" t="s">
        <v>3190</v>
      </c>
      <c r="C926" s="113" t="s">
        <v>3191</v>
      </c>
      <c r="D926" s="113"/>
      <c r="E926" s="114" t="s">
        <v>3170</v>
      </c>
      <c r="F926" s="113" t="s">
        <v>3192</v>
      </c>
      <c r="G926" s="113" t="s">
        <v>127</v>
      </c>
      <c r="H926" s="113" t="s">
        <v>103</v>
      </c>
      <c r="I926" s="115" t="n">
        <v>123.93</v>
      </c>
      <c r="J926" s="115" t="s">
        <v>80</v>
      </c>
      <c r="K926" s="115" t="s">
        <v>81</v>
      </c>
      <c r="L926" s="115" t="n">
        <v>117.66</v>
      </c>
      <c r="M926" s="115" t="n">
        <v>3.0</v>
      </c>
      <c r="N926" s="115"/>
      <c r="O926" s="115"/>
      <c r="P926" s="115"/>
      <c r="Q926" s="115"/>
      <c r="R926" s="115"/>
      <c r="S926" s="115"/>
      <c r="T926" s="115"/>
      <c r="U926" s="115"/>
      <c r="V926" s="115" t="s">
        <v>82</v>
      </c>
      <c r="W926" s="115" t="s">
        <v>83</v>
      </c>
      <c r="X926" s="113">
        <f>IF(INDIRECT("W926")="Clássico","12.5%",IF(INDIRECT("W926")="Premium","17.5%","-"))</f>
      </c>
      <c r="Y926" s="113" t="s">
        <v>3172</v>
      </c>
    </row>
    <row r="927" ht="50.0" customHeight="true">
      <c r="A927" s="113" t="s">
        <v>3193</v>
      </c>
      <c r="B927" s="113" t="s">
        <v>3194</v>
      </c>
      <c r="C927" s="113" t="s">
        <v>3195</v>
      </c>
      <c r="D927" s="113"/>
      <c r="E927" s="114" t="s">
        <v>3196</v>
      </c>
      <c r="F927" s="113" t="s">
        <v>3197</v>
      </c>
      <c r="G927" s="113" t="s">
        <v>3197</v>
      </c>
      <c r="H927" s="113" t="s">
        <v>103</v>
      </c>
      <c r="I927" s="115" t="n">
        <v>60.75</v>
      </c>
      <c r="J927" s="115" t="s">
        <v>80</v>
      </c>
      <c r="K927" s="115" t="s">
        <v>81</v>
      </c>
      <c r="L927" s="115" t="n">
        <v>55.75</v>
      </c>
      <c r="M927" s="115" t="n">
        <v>3.0</v>
      </c>
      <c r="N927" s="115"/>
      <c r="O927" s="115"/>
      <c r="P927" s="115"/>
      <c r="Q927" s="115"/>
      <c r="R927" s="115"/>
      <c r="S927" s="115"/>
      <c r="T927" s="115"/>
      <c r="U927" s="115"/>
      <c r="V927" s="115" t="s">
        <v>91</v>
      </c>
      <c r="W927" s="115" t="s">
        <v>92</v>
      </c>
      <c r="X927" s="113">
        <f>IF(INDIRECT("W927")="Clássico","12%",IF(INDIRECT("W927")="Premium","17%","-"))</f>
      </c>
      <c r="Y927" s="113" t="s">
        <v>3198</v>
      </c>
    </row>
    <row r="928" ht="50.0" customHeight="true">
      <c r="A928" s="113" t="s">
        <v>3199</v>
      </c>
      <c r="B928" s="113" t="s">
        <v>3200</v>
      </c>
      <c r="C928" s="113" t="s">
        <v>3201</v>
      </c>
      <c r="D928" s="113"/>
      <c r="E928" s="114" t="s">
        <v>3202</v>
      </c>
      <c r="F928" s="113" t="s">
        <v>3203</v>
      </c>
      <c r="G928" s="113" t="s">
        <v>3203</v>
      </c>
      <c r="H928" s="113" t="s">
        <v>103</v>
      </c>
      <c r="I928" s="115" t="n">
        <v>117.71</v>
      </c>
      <c r="J928" s="115" t="s">
        <v>80</v>
      </c>
      <c r="K928" s="115" t="s">
        <v>81</v>
      </c>
      <c r="L928" s="115" t="n">
        <v>112.71</v>
      </c>
      <c r="M928" s="115" t="n">
        <v>3.0</v>
      </c>
      <c r="N928" s="115"/>
      <c r="O928" s="115"/>
      <c r="P928" s="115"/>
      <c r="Q928" s="115"/>
      <c r="R928" s="115"/>
      <c r="S928" s="115"/>
      <c r="T928" s="115"/>
      <c r="U928" s="115"/>
      <c r="V928" s="115" t="s">
        <v>82</v>
      </c>
      <c r="W928" s="115" t="s">
        <v>83</v>
      </c>
      <c r="X928" s="113">
        <f>IF(INDIRECT("W928")="Clássico","12%",IF(INDIRECT("W928")="Premium","17%","-"))</f>
      </c>
      <c r="Y928" s="113" t="s">
        <v>3204</v>
      </c>
    </row>
    <row r="929" ht="50.0" customHeight="true">
      <c r="A929" s="113" t="s">
        <v>3205</v>
      </c>
      <c r="B929" s="113" t="s">
        <v>3206</v>
      </c>
      <c r="C929" s="113" t="s">
        <v>3207</v>
      </c>
      <c r="D929" s="113"/>
      <c r="E929" s="114" t="s">
        <v>3202</v>
      </c>
      <c r="F929" s="113" t="s">
        <v>3208</v>
      </c>
      <c r="G929" s="113" t="s">
        <v>3208</v>
      </c>
      <c r="H929" s="113" t="s">
        <v>103</v>
      </c>
      <c r="I929" s="115" t="n">
        <v>92.28</v>
      </c>
      <c r="J929" s="115" t="s">
        <v>80</v>
      </c>
      <c r="K929" s="115" t="s">
        <v>81</v>
      </c>
      <c r="L929" s="115" t="n">
        <v>87.28</v>
      </c>
      <c r="M929" s="115" t="n">
        <v>3.0</v>
      </c>
      <c r="N929" s="115"/>
      <c r="O929" s="115"/>
      <c r="P929" s="115"/>
      <c r="Q929" s="115"/>
      <c r="R929" s="115"/>
      <c r="S929" s="115"/>
      <c r="T929" s="115"/>
      <c r="U929" s="115"/>
      <c r="V929" s="115" t="s">
        <v>82</v>
      </c>
      <c r="W929" s="115" t="s">
        <v>83</v>
      </c>
      <c r="X929" s="113">
        <f>IF(INDIRECT("W929")="Clássico","12%",IF(INDIRECT("W929")="Premium","17%","-"))</f>
      </c>
      <c r="Y929" s="113" t="s">
        <v>3204</v>
      </c>
    </row>
    <row r="930" ht="50.0" customHeight="true">
      <c r="A930" s="113" t="s">
        <v>3209</v>
      </c>
      <c r="B930" s="113" t="s">
        <v>3210</v>
      </c>
      <c r="C930" s="113" t="s">
        <v>3211</v>
      </c>
      <c r="D930" s="113"/>
      <c r="E930" s="114" t="s">
        <v>3202</v>
      </c>
      <c r="F930" s="113" t="s">
        <v>3212</v>
      </c>
      <c r="G930" s="113" t="s">
        <v>3212</v>
      </c>
      <c r="H930" s="113" t="s">
        <v>103</v>
      </c>
      <c r="I930" s="115" t="n">
        <v>155.57</v>
      </c>
      <c r="J930" s="115" t="s">
        <v>80</v>
      </c>
      <c r="K930" s="115" t="s">
        <v>81</v>
      </c>
      <c r="L930" s="115" t="n">
        <v>150.57</v>
      </c>
      <c r="M930" s="115" t="n">
        <v>3.0</v>
      </c>
      <c r="N930" s="115"/>
      <c r="O930" s="115"/>
      <c r="P930" s="115"/>
      <c r="Q930" s="115"/>
      <c r="R930" s="115"/>
      <c r="S930" s="115"/>
      <c r="T930" s="115"/>
      <c r="U930" s="115"/>
      <c r="V930" s="115" t="s">
        <v>82</v>
      </c>
      <c r="W930" s="115" t="s">
        <v>92</v>
      </c>
      <c r="X930" s="113">
        <f>IF(INDIRECT("W930")="Clássico","12%",IF(INDIRECT("W930")="Premium","17%","-"))</f>
      </c>
      <c r="Y930" s="113" t="s">
        <v>3204</v>
      </c>
    </row>
    <row r="931" ht="50.0" customHeight="true">
      <c r="A931" s="113" t="s">
        <v>3213</v>
      </c>
      <c r="B931" s="113" t="s">
        <v>3214</v>
      </c>
      <c r="C931" s="113" t="s">
        <v>3215</v>
      </c>
      <c r="D931" s="113"/>
      <c r="E931" s="114" t="s">
        <v>3216</v>
      </c>
      <c r="F931" s="113" t="s">
        <v>3217</v>
      </c>
      <c r="G931" s="113" t="s">
        <v>3217</v>
      </c>
      <c r="H931" s="113" t="s">
        <v>103</v>
      </c>
      <c r="I931" s="115" t="n">
        <v>97.34</v>
      </c>
      <c r="J931" s="115" t="s">
        <v>80</v>
      </c>
      <c r="K931" s="115" t="s">
        <v>81</v>
      </c>
      <c r="L931" s="115" t="n">
        <v>91.08</v>
      </c>
      <c r="M931" s="115" t="n">
        <v>3.0</v>
      </c>
      <c r="N931" s="115"/>
      <c r="O931" s="115"/>
      <c r="P931" s="115"/>
      <c r="Q931" s="115"/>
      <c r="R931" s="115"/>
      <c r="S931" s="115"/>
      <c r="T931" s="115"/>
      <c r="U931" s="115"/>
      <c r="V931" s="115" t="s">
        <v>91</v>
      </c>
      <c r="W931" s="115" t="s">
        <v>92</v>
      </c>
      <c r="X931" s="113">
        <f>IF(INDIRECT("W931")="Clássico","12%",IF(INDIRECT("W931")="Premium","17%","-"))</f>
      </c>
      <c r="Y931" s="113" t="s">
        <v>100</v>
      </c>
    </row>
    <row r="932" ht="50.0" customHeight="true">
      <c r="A932" s="113" t="s">
        <v>3218</v>
      </c>
      <c r="B932" s="113" t="s">
        <v>3219</v>
      </c>
      <c r="C932" s="113" t="s">
        <v>3220</v>
      </c>
      <c r="D932" s="113"/>
      <c r="E932" s="114" t="s">
        <v>3202</v>
      </c>
      <c r="F932" s="113" t="s">
        <v>3221</v>
      </c>
      <c r="G932" s="113" t="s">
        <v>3221</v>
      </c>
      <c r="H932" s="113" t="s">
        <v>103</v>
      </c>
      <c r="I932" s="115" t="n">
        <v>110.0</v>
      </c>
      <c r="J932" s="115" t="s">
        <v>80</v>
      </c>
      <c r="K932" s="115" t="s">
        <v>81</v>
      </c>
      <c r="L932" s="115" t="n">
        <v>105.12</v>
      </c>
      <c r="M932" s="115" t="n">
        <v>3.0</v>
      </c>
      <c r="N932" s="115"/>
      <c r="O932" s="115"/>
      <c r="P932" s="115"/>
      <c r="Q932" s="115"/>
      <c r="R932" s="115"/>
      <c r="S932" s="115"/>
      <c r="T932" s="115"/>
      <c r="U932" s="115"/>
      <c r="V932" s="115" t="s">
        <v>82</v>
      </c>
      <c r="W932" s="115" t="s">
        <v>92</v>
      </c>
      <c r="X932" s="113">
        <f>IF(INDIRECT("W932")="Clássico","12%",IF(INDIRECT("W932")="Premium","17%","-"))</f>
      </c>
      <c r="Y932" s="113" t="s">
        <v>3204</v>
      </c>
    </row>
    <row r="933" ht="50.0" customHeight="true">
      <c r="A933" s="113" t="s">
        <v>3222</v>
      </c>
      <c r="B933" s="113" t="s">
        <v>3223</v>
      </c>
      <c r="C933" s="113" t="s">
        <v>3224</v>
      </c>
      <c r="D933" s="113"/>
      <c r="E933" s="114" t="s">
        <v>3225</v>
      </c>
      <c r="F933" s="113" t="s">
        <v>3226</v>
      </c>
      <c r="G933" s="113" t="s">
        <v>3226</v>
      </c>
      <c r="H933" s="113" t="s">
        <v>103</v>
      </c>
      <c r="I933" s="115" t="n">
        <v>130.25</v>
      </c>
      <c r="J933" s="115" t="s">
        <v>80</v>
      </c>
      <c r="K933" s="115" t="s">
        <v>81</v>
      </c>
      <c r="L933" s="115" t="n">
        <v>125.25</v>
      </c>
      <c r="M933" s="115" t="n">
        <v>3.0</v>
      </c>
      <c r="N933" s="115"/>
      <c r="O933" s="115"/>
      <c r="P933" s="115"/>
      <c r="Q933" s="115"/>
      <c r="R933" s="115"/>
      <c r="S933" s="115"/>
      <c r="T933" s="115"/>
      <c r="U933" s="115"/>
      <c r="V933" s="115" t="s">
        <v>82</v>
      </c>
      <c r="W933" s="115" t="s">
        <v>92</v>
      </c>
      <c r="X933" s="113">
        <f>IF(INDIRECT("W933")="Clássico","12%",IF(INDIRECT("W933")="Premium","17%","-"))</f>
      </c>
      <c r="Y933" s="113" t="s">
        <v>551</v>
      </c>
    </row>
    <row r="934" ht="50.0" customHeight="true">
      <c r="A934" s="113" t="s">
        <v>3227</v>
      </c>
      <c r="B934" s="113" t="s">
        <v>3228</v>
      </c>
      <c r="C934" s="113" t="s">
        <v>3229</v>
      </c>
      <c r="D934" s="113"/>
      <c r="E934" s="114" t="s">
        <v>3176</v>
      </c>
      <c r="F934" s="113" t="s">
        <v>3230</v>
      </c>
      <c r="G934" s="113" t="s">
        <v>103</v>
      </c>
      <c r="H934" s="113" t="s">
        <v>103</v>
      </c>
      <c r="I934" s="115" t="n">
        <v>66.41</v>
      </c>
      <c r="J934" s="115" t="s">
        <v>80</v>
      </c>
      <c r="K934" s="115" t="s">
        <v>81</v>
      </c>
      <c r="L934" s="115" t="n">
        <v>61.41</v>
      </c>
      <c r="M934" s="115" t="n">
        <v>3.0</v>
      </c>
      <c r="N934" s="115"/>
      <c r="O934" s="115"/>
      <c r="P934" s="115"/>
      <c r="Q934" s="115"/>
      <c r="R934" s="115"/>
      <c r="S934" s="115"/>
      <c r="T934" s="115"/>
      <c r="U934" s="115"/>
      <c r="V934" s="115" t="s">
        <v>91</v>
      </c>
      <c r="W934" s="115" t="s">
        <v>92</v>
      </c>
      <c r="X934" s="113">
        <f>IF(INDIRECT("W934")="Clássico","12.5%",IF(INDIRECT("W934")="Premium","17.5%","-"))</f>
      </c>
      <c r="Y934" s="113" t="s">
        <v>3172</v>
      </c>
    </row>
    <row r="935" ht="50.0" customHeight="true">
      <c r="A935" s="113" t="s">
        <v>3173</v>
      </c>
      <c r="B935" s="113" t="s">
        <v>3231</v>
      </c>
      <c r="C935" s="113" t="s">
        <v>3232</v>
      </c>
      <c r="D935" s="113"/>
      <c r="E935" s="114" t="s">
        <v>3176</v>
      </c>
      <c r="F935" s="113" t="s">
        <v>3177</v>
      </c>
      <c r="G935" s="113" t="s">
        <v>3178</v>
      </c>
      <c r="H935" s="113" t="s">
        <v>103</v>
      </c>
      <c r="I935" s="115" t="n">
        <v>48.9</v>
      </c>
      <c r="J935" s="115" t="s">
        <v>80</v>
      </c>
      <c r="K935" s="115" t="s">
        <v>81</v>
      </c>
      <c r="L935" s="115" t="n">
        <v>58.11</v>
      </c>
      <c r="M935" s="115" t="n">
        <v>3.0</v>
      </c>
      <c r="N935" s="115"/>
      <c r="O935" s="115"/>
      <c r="P935" s="115"/>
      <c r="Q935" s="115"/>
      <c r="R935" s="115"/>
      <c r="S935" s="115"/>
      <c r="T935" s="115"/>
      <c r="U935" s="115"/>
      <c r="V935" s="115" t="s">
        <v>91</v>
      </c>
      <c r="W935" s="115" t="s">
        <v>92</v>
      </c>
      <c r="X935" s="113">
        <f>IF(INDIRECT("W935")="Clássico","12.5%",IF(INDIRECT("W935")="Premium","17.5%","-"))</f>
      </c>
      <c r="Y935" s="113" t="s">
        <v>3172</v>
      </c>
    </row>
    <row r="936" ht="50.0" customHeight="true">
      <c r="A936" s="113" t="s">
        <v>3233</v>
      </c>
      <c r="B936" s="113" t="s">
        <v>3234</v>
      </c>
      <c r="C936" s="113" t="s">
        <v>3235</v>
      </c>
      <c r="D936" s="113"/>
      <c r="E936" s="114" t="s">
        <v>3202</v>
      </c>
      <c r="F936" s="113" t="s">
        <v>3236</v>
      </c>
      <c r="G936" s="113" t="s">
        <v>3236</v>
      </c>
      <c r="H936" s="113" t="s">
        <v>103</v>
      </c>
      <c r="I936" s="115" t="n">
        <v>109.49</v>
      </c>
      <c r="J936" s="115" t="s">
        <v>80</v>
      </c>
      <c r="K936" s="115" t="s">
        <v>81</v>
      </c>
      <c r="L936" s="115" t="n">
        <v>104.49</v>
      </c>
      <c r="M936" s="115" t="n">
        <v>3.0</v>
      </c>
      <c r="N936" s="115"/>
      <c r="O936" s="115"/>
      <c r="P936" s="115"/>
      <c r="Q936" s="115"/>
      <c r="R936" s="115"/>
      <c r="S936" s="115"/>
      <c r="T936" s="115"/>
      <c r="U936" s="115"/>
      <c r="V936" s="115" t="s">
        <v>82</v>
      </c>
      <c r="W936" s="115" t="s">
        <v>92</v>
      </c>
      <c r="X936" s="113">
        <f>IF(INDIRECT("W936")="Clássico","12%",IF(INDIRECT("W936")="Premium","17%","-"))</f>
      </c>
      <c r="Y936" s="113" t="s">
        <v>3204</v>
      </c>
    </row>
    <row r="937" ht="50.0" customHeight="true">
      <c r="A937" s="113" t="s">
        <v>3237</v>
      </c>
      <c r="B937" s="113" t="s">
        <v>3238</v>
      </c>
      <c r="C937" s="113" t="s">
        <v>3239</v>
      </c>
      <c r="D937" s="113"/>
      <c r="E937" s="114" t="s">
        <v>3196</v>
      </c>
      <c r="F937" s="113" t="s">
        <v>3240</v>
      </c>
      <c r="G937" s="113" t="s">
        <v>3240</v>
      </c>
      <c r="H937" s="113" t="s">
        <v>103</v>
      </c>
      <c r="I937" s="115" t="n">
        <v>98.61</v>
      </c>
      <c r="J937" s="115" t="s">
        <v>80</v>
      </c>
      <c r="K937" s="115" t="s">
        <v>81</v>
      </c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 t="s">
        <v>82</v>
      </c>
      <c r="W937" s="115" t="s">
        <v>83</v>
      </c>
      <c r="X937" s="113">
        <f>IF(INDIRECT("W937")="Clássico","12%",IF(INDIRECT("W937")="Premium","17%","-"))</f>
      </c>
      <c r="Y937" s="113" t="s">
        <v>3198</v>
      </c>
    </row>
    <row r="938" ht="50.0" customHeight="true">
      <c r="A938" s="113" t="s">
        <v>3241</v>
      </c>
      <c r="B938" s="113" t="s">
        <v>3242</v>
      </c>
      <c r="C938" s="113" t="s">
        <v>3243</v>
      </c>
      <c r="D938" s="113"/>
      <c r="E938" s="114" t="s">
        <v>3244</v>
      </c>
      <c r="F938" s="113" t="s">
        <v>3245</v>
      </c>
      <c r="G938" s="113" t="s">
        <v>3245</v>
      </c>
      <c r="H938" s="113" t="s">
        <v>103</v>
      </c>
      <c r="I938" s="115" t="n">
        <v>36.08</v>
      </c>
      <c r="J938" s="115" t="s">
        <v>80</v>
      </c>
      <c r="K938" s="115" t="s">
        <v>81</v>
      </c>
      <c r="L938" s="115" t="n">
        <v>30.43</v>
      </c>
      <c r="M938" s="115" t="n">
        <v>3.0</v>
      </c>
      <c r="N938" s="115"/>
      <c r="O938" s="115"/>
      <c r="P938" s="115"/>
      <c r="Q938" s="115"/>
      <c r="R938" s="115"/>
      <c r="S938" s="115"/>
      <c r="T938" s="115"/>
      <c r="U938" s="115"/>
      <c r="V938" s="115" t="s">
        <v>91</v>
      </c>
      <c r="W938" s="115" t="s">
        <v>92</v>
      </c>
      <c r="X938" s="113">
        <f>IF(INDIRECT("W938")="Clássico","12%",IF(INDIRECT("W938")="Premium","17%","-"))</f>
      </c>
      <c r="Y938" s="113" t="s">
        <v>3246</v>
      </c>
    </row>
    <row r="939" ht="50.0" customHeight="true">
      <c r="A939" s="113" t="s">
        <v>3247</v>
      </c>
      <c r="B939" s="113" t="s">
        <v>3248</v>
      </c>
      <c r="C939" s="113" t="s">
        <v>3249</v>
      </c>
      <c r="D939" s="113"/>
      <c r="E939" s="114" t="s">
        <v>3186</v>
      </c>
      <c r="F939" s="113" t="s">
        <v>3250</v>
      </c>
      <c r="G939" s="113" t="s">
        <v>3250</v>
      </c>
      <c r="H939" s="113" t="s">
        <v>103</v>
      </c>
      <c r="I939" s="115" t="n">
        <v>90.04</v>
      </c>
      <c r="J939" s="115" t="s">
        <v>80</v>
      </c>
      <c r="K939" s="115" t="s">
        <v>81</v>
      </c>
      <c r="L939" s="115" t="n">
        <v>85.04</v>
      </c>
      <c r="M939" s="115" t="n">
        <v>3.0</v>
      </c>
      <c r="N939" s="115"/>
      <c r="O939" s="115"/>
      <c r="P939" s="115"/>
      <c r="Q939" s="115"/>
      <c r="R939" s="115"/>
      <c r="S939" s="115"/>
      <c r="T939" s="115"/>
      <c r="U939" s="115"/>
      <c r="V939" s="115" t="s">
        <v>91</v>
      </c>
      <c r="W939" s="115" t="s">
        <v>92</v>
      </c>
      <c r="X939" s="113">
        <f>IF(INDIRECT("W939")="Clássico","12%",IF(INDIRECT("W939")="Premium","17%","-"))</f>
      </c>
      <c r="Y939" s="113" t="s">
        <v>3188</v>
      </c>
    </row>
    <row r="940" ht="50.0" customHeight="true">
      <c r="A940" s="113" t="s">
        <v>3251</v>
      </c>
      <c r="B940" s="113" t="s">
        <v>3252</v>
      </c>
      <c r="C940" s="113" t="s">
        <v>3253</v>
      </c>
      <c r="D940" s="113"/>
      <c r="E940" s="114" t="s">
        <v>1061</v>
      </c>
      <c r="F940" s="113" t="s">
        <v>3254</v>
      </c>
      <c r="G940" s="113" t="s">
        <v>3254</v>
      </c>
      <c r="H940" s="113" t="s">
        <v>103</v>
      </c>
      <c r="I940" s="115" t="n">
        <v>56.84</v>
      </c>
      <c r="J940" s="115" t="s">
        <v>80</v>
      </c>
      <c r="K940" s="115" t="s">
        <v>81</v>
      </c>
      <c r="L940" s="115" t="n">
        <v>57.66</v>
      </c>
      <c r="M940" s="115" t="n">
        <v>3.0</v>
      </c>
      <c r="N940" s="115"/>
      <c r="O940" s="115"/>
      <c r="P940" s="115"/>
      <c r="Q940" s="115"/>
      <c r="R940" s="115"/>
      <c r="S940" s="115"/>
      <c r="T940" s="115"/>
      <c r="U940" s="115"/>
      <c r="V940" s="115" t="s">
        <v>91</v>
      </c>
      <c r="W940" s="115" t="s">
        <v>92</v>
      </c>
      <c r="X940" s="113">
        <f>IF(INDIRECT("W940")="Clássico","12%",IF(INDIRECT("W940")="Premium","17%","-"))</f>
      </c>
      <c r="Y940" s="113" t="s">
        <v>1063</v>
      </c>
    </row>
    <row r="941" ht="50.0" customHeight="true">
      <c r="A941" s="113" t="s">
        <v>3255</v>
      </c>
      <c r="B941" s="113" t="s">
        <v>3256</v>
      </c>
      <c r="C941" s="113" t="s">
        <v>3257</v>
      </c>
      <c r="D941" s="113"/>
      <c r="E941" s="114" t="s">
        <v>3258</v>
      </c>
      <c r="F941" s="113" t="s">
        <v>3259</v>
      </c>
      <c r="G941" s="113" t="s">
        <v>127</v>
      </c>
      <c r="H941" s="113" t="s">
        <v>103</v>
      </c>
      <c r="I941" s="115" t="n">
        <v>280.89</v>
      </c>
      <c r="J941" s="115" t="s">
        <v>80</v>
      </c>
      <c r="K941" s="115" t="s">
        <v>81</v>
      </c>
      <c r="L941" s="115" t="n">
        <v>275.89</v>
      </c>
      <c r="M941" s="115" t="n">
        <v>3.0</v>
      </c>
      <c r="N941" s="115"/>
      <c r="O941" s="115"/>
      <c r="P941" s="115"/>
      <c r="Q941" s="115"/>
      <c r="R941" s="115"/>
      <c r="S941" s="115"/>
      <c r="T941" s="115"/>
      <c r="U941" s="115"/>
      <c r="V941" s="115" t="s">
        <v>82</v>
      </c>
      <c r="W941" s="115" t="s">
        <v>92</v>
      </c>
      <c r="X941" s="113">
        <f>IF(INDIRECT("W941")="Clássico","12%",IF(INDIRECT("W941")="Premium","17%","-"))</f>
      </c>
      <c r="Y941" s="113" t="s">
        <v>423</v>
      </c>
    </row>
    <row r="942" ht="50.0" customHeight="true">
      <c r="A942" s="113" t="s">
        <v>3260</v>
      </c>
      <c r="B942" s="113" t="s">
        <v>3261</v>
      </c>
      <c r="C942" s="113" t="s">
        <v>3262</v>
      </c>
      <c r="D942" s="113"/>
      <c r="E942" s="114" t="s">
        <v>3170</v>
      </c>
      <c r="F942" s="113" t="s">
        <v>3263</v>
      </c>
      <c r="G942" s="113" t="s">
        <v>127</v>
      </c>
      <c r="H942" s="113" t="s">
        <v>103</v>
      </c>
      <c r="I942" s="115" t="n">
        <v>122.15</v>
      </c>
      <c r="J942" s="115" t="s">
        <v>80</v>
      </c>
      <c r="K942" s="115" t="s">
        <v>81</v>
      </c>
      <c r="L942" s="115" t="n">
        <v>117.15</v>
      </c>
      <c r="M942" s="115" t="n">
        <v>3.0</v>
      </c>
      <c r="N942" s="115"/>
      <c r="O942" s="115"/>
      <c r="P942" s="115"/>
      <c r="Q942" s="115"/>
      <c r="R942" s="115"/>
      <c r="S942" s="115"/>
      <c r="T942" s="115"/>
      <c r="U942" s="115"/>
      <c r="V942" s="115" t="s">
        <v>82</v>
      </c>
      <c r="W942" s="115" t="s">
        <v>83</v>
      </c>
      <c r="X942" s="113">
        <f>IF(INDIRECT("W942")="Clássico","12.5%",IF(INDIRECT("W942")="Premium","17.5%","-"))</f>
      </c>
      <c r="Y942" s="113" t="s">
        <v>3172</v>
      </c>
    </row>
    <row r="943" ht="50.0" customHeight="true">
      <c r="A943" s="113" t="s">
        <v>3264</v>
      </c>
      <c r="B943" s="113" t="s">
        <v>3265</v>
      </c>
      <c r="C943" s="113" t="s">
        <v>3266</v>
      </c>
      <c r="D943" s="113"/>
      <c r="E943" s="114" t="s">
        <v>3216</v>
      </c>
      <c r="F943" s="113" t="s">
        <v>3267</v>
      </c>
      <c r="G943" s="113" t="s">
        <v>3267</v>
      </c>
      <c r="H943" s="113" t="s">
        <v>103</v>
      </c>
      <c r="I943" s="115" t="n">
        <v>175.82</v>
      </c>
      <c r="J943" s="115" t="s">
        <v>80</v>
      </c>
      <c r="K943" s="115" t="s">
        <v>81</v>
      </c>
      <c r="L943" s="115" t="n">
        <v>158.17</v>
      </c>
      <c r="M943" s="115" t="n">
        <v>3.0</v>
      </c>
      <c r="N943" s="115"/>
      <c r="O943" s="115"/>
      <c r="P943" s="115"/>
      <c r="Q943" s="115"/>
      <c r="R943" s="115"/>
      <c r="S943" s="115"/>
      <c r="T943" s="115"/>
      <c r="U943" s="115"/>
      <c r="V943" s="115" t="s">
        <v>82</v>
      </c>
      <c r="W943" s="115" t="s">
        <v>83</v>
      </c>
      <c r="X943" s="113">
        <f>IF(INDIRECT("W943")="Clássico","12%",IF(INDIRECT("W943")="Premium","17%","-"))</f>
      </c>
      <c r="Y943" s="113" t="s">
        <v>100</v>
      </c>
    </row>
    <row r="944" ht="50.0" customHeight="true">
      <c r="A944" s="113" t="s">
        <v>3268</v>
      </c>
      <c r="B944" s="113" t="s">
        <v>3269</v>
      </c>
      <c r="C944" s="113" t="s">
        <v>3270</v>
      </c>
      <c r="D944" s="113"/>
      <c r="E944" s="114" t="s">
        <v>3271</v>
      </c>
      <c r="F944" s="113" t="s">
        <v>3272</v>
      </c>
      <c r="G944" s="113" t="s">
        <v>3272</v>
      </c>
      <c r="H944" s="113" t="s">
        <v>103</v>
      </c>
      <c r="I944" s="115" t="n">
        <v>57.9</v>
      </c>
      <c r="J944" s="115" t="s">
        <v>80</v>
      </c>
      <c r="K944" s="115" t="s">
        <v>81</v>
      </c>
      <c r="L944" s="115" t="n">
        <v>52.9</v>
      </c>
      <c r="M944" s="115" t="n">
        <v>3.0</v>
      </c>
      <c r="N944" s="115"/>
      <c r="O944" s="115"/>
      <c r="P944" s="115"/>
      <c r="Q944" s="115"/>
      <c r="R944" s="115"/>
      <c r="S944" s="115"/>
      <c r="T944" s="115"/>
      <c r="U944" s="115"/>
      <c r="V944" s="115" t="s">
        <v>91</v>
      </c>
      <c r="W944" s="115" t="s">
        <v>92</v>
      </c>
      <c r="X944" s="113">
        <f>IF(INDIRECT("W944")="Clássico","12%",IF(INDIRECT("W944")="Premium","17%","-"))</f>
      </c>
      <c r="Y944" s="113" t="s">
        <v>1048</v>
      </c>
    </row>
    <row r="945" ht="50.0" customHeight="true">
      <c r="A945" s="113" t="s">
        <v>3273</v>
      </c>
      <c r="B945" s="113" t="s">
        <v>3274</v>
      </c>
      <c r="C945" s="113" t="s">
        <v>3275</v>
      </c>
      <c r="D945" s="113"/>
      <c r="E945" s="114" t="s">
        <v>3165</v>
      </c>
      <c r="F945" s="113" t="s">
        <v>3276</v>
      </c>
      <c r="G945" s="113" t="s">
        <v>3276</v>
      </c>
      <c r="H945" s="113" t="s">
        <v>103</v>
      </c>
      <c r="I945" s="115" t="n">
        <v>44.94</v>
      </c>
      <c r="J945" s="115" t="s">
        <v>80</v>
      </c>
      <c r="K945" s="115" t="s">
        <v>81</v>
      </c>
      <c r="L945" s="115" t="n">
        <v>39.94</v>
      </c>
      <c r="M945" s="115" t="n">
        <v>3.0</v>
      </c>
      <c r="N945" s="115"/>
      <c r="O945" s="115"/>
      <c r="P945" s="115"/>
      <c r="Q945" s="115"/>
      <c r="R945" s="115"/>
      <c r="S945" s="115"/>
      <c r="T945" s="115"/>
      <c r="U945" s="115"/>
      <c r="V945" s="115" t="s">
        <v>91</v>
      </c>
      <c r="W945" s="115" t="s">
        <v>92</v>
      </c>
      <c r="X945" s="113">
        <f>IF(INDIRECT("W945")="Clássico","12%",IF(INDIRECT("W945")="Premium","17%","-"))</f>
      </c>
      <c r="Y945" s="113" t="s">
        <v>2886</v>
      </c>
    </row>
    <row r="946" ht="50.0" customHeight="true">
      <c r="A946" s="113" t="s">
        <v>3277</v>
      </c>
      <c r="B946" s="113" t="s">
        <v>3278</v>
      </c>
      <c r="C946" s="113" t="s">
        <v>3279</v>
      </c>
      <c r="D946" s="113"/>
      <c r="E946" s="114" t="s">
        <v>3280</v>
      </c>
      <c r="F946" s="113" t="s">
        <v>3281</v>
      </c>
      <c r="G946" s="113" t="s">
        <v>3281</v>
      </c>
      <c r="H946" s="113" t="s">
        <v>103</v>
      </c>
      <c r="I946" s="115" t="n">
        <v>343.36</v>
      </c>
      <c r="J946" s="115" t="s">
        <v>80</v>
      </c>
      <c r="K946" s="115" t="s">
        <v>81</v>
      </c>
      <c r="L946" s="115" t="n">
        <v>338.36</v>
      </c>
      <c r="M946" s="115" t="n">
        <v>3.0</v>
      </c>
      <c r="N946" s="115"/>
      <c r="O946" s="115"/>
      <c r="P946" s="115"/>
      <c r="Q946" s="115"/>
      <c r="R946" s="115"/>
      <c r="S946" s="115"/>
      <c r="T946" s="115"/>
      <c r="U946" s="115"/>
      <c r="V946" s="115" t="s">
        <v>82</v>
      </c>
      <c r="W946" s="115" t="s">
        <v>83</v>
      </c>
      <c r="X946" s="113">
        <f>IF(INDIRECT("W946")="Clássico","12%",IF(INDIRECT("W946")="Premium","17%","-"))</f>
      </c>
      <c r="Y946" s="113" t="s">
        <v>3282</v>
      </c>
    </row>
    <row r="947" ht="50.0" customHeight="true">
      <c r="A947" s="113" t="s">
        <v>3283</v>
      </c>
      <c r="B947" s="113" t="s">
        <v>3284</v>
      </c>
      <c r="C947" s="113" t="s">
        <v>3285</v>
      </c>
      <c r="D947" s="113"/>
      <c r="E947" s="114" t="s">
        <v>3225</v>
      </c>
      <c r="F947" s="113" t="s">
        <v>3226</v>
      </c>
      <c r="G947" s="113" t="s">
        <v>3226</v>
      </c>
      <c r="H947" s="113" t="s">
        <v>103</v>
      </c>
      <c r="I947" s="115" t="n">
        <v>160.72</v>
      </c>
      <c r="J947" s="115" t="s">
        <v>80</v>
      </c>
      <c r="K947" s="115" t="s">
        <v>81</v>
      </c>
      <c r="L947" s="115" t="n">
        <v>155.72</v>
      </c>
      <c r="M947" s="115" t="n">
        <v>3.0</v>
      </c>
      <c r="N947" s="115"/>
      <c r="O947" s="115"/>
      <c r="P947" s="115"/>
      <c r="Q947" s="115"/>
      <c r="R947" s="115"/>
      <c r="S947" s="115"/>
      <c r="T947" s="115"/>
      <c r="U947" s="115"/>
      <c r="V947" s="115" t="s">
        <v>82</v>
      </c>
      <c r="W947" s="115" t="s">
        <v>92</v>
      </c>
      <c r="X947" s="113">
        <f>IF(INDIRECT("W947")="Clássico","12%",IF(INDIRECT("W947")="Premium","17%","-"))</f>
      </c>
      <c r="Y947" s="113" t="s">
        <v>3286</v>
      </c>
    </row>
    <row r="948" ht="50.0" customHeight="true">
      <c r="A948" s="113" t="s">
        <v>3287</v>
      </c>
      <c r="B948" s="113" t="s">
        <v>3288</v>
      </c>
      <c r="C948" s="113" t="s">
        <v>3289</v>
      </c>
      <c r="D948" s="113"/>
      <c r="E948" s="114" t="s">
        <v>3290</v>
      </c>
      <c r="F948" s="113" t="s">
        <v>3291</v>
      </c>
      <c r="G948" s="113" t="s">
        <v>3291</v>
      </c>
      <c r="H948" s="113" t="s">
        <v>103</v>
      </c>
      <c r="I948" s="115" t="n">
        <v>61.9</v>
      </c>
      <c r="J948" s="115" t="s">
        <v>80</v>
      </c>
      <c r="K948" s="115" t="s">
        <v>81</v>
      </c>
      <c r="L948" s="115" t="n">
        <v>56.9</v>
      </c>
      <c r="M948" s="115" t="n">
        <v>3.0</v>
      </c>
      <c r="N948" s="115"/>
      <c r="O948" s="115"/>
      <c r="P948" s="115"/>
      <c r="Q948" s="115"/>
      <c r="R948" s="115"/>
      <c r="S948" s="115"/>
      <c r="T948" s="115"/>
      <c r="U948" s="115"/>
      <c r="V948" s="115" t="s">
        <v>91</v>
      </c>
      <c r="W948" s="115" t="s">
        <v>92</v>
      </c>
      <c r="X948" s="113">
        <f>IF(INDIRECT("W948")="Clássico","12%",IF(INDIRECT("W948")="Premium","17%","-"))</f>
      </c>
      <c r="Y948" s="113" t="s">
        <v>3292</v>
      </c>
    </row>
    <row r="949" ht="50.0" customHeight="true">
      <c r="A949" s="113" t="s">
        <v>3293</v>
      </c>
      <c r="B949" s="113" t="s">
        <v>3294</v>
      </c>
      <c r="C949" s="113" t="s">
        <v>3295</v>
      </c>
      <c r="D949" s="113"/>
      <c r="E949" s="114" t="s">
        <v>3296</v>
      </c>
      <c r="F949" s="113" t="s">
        <v>3297</v>
      </c>
      <c r="G949" s="113" t="s">
        <v>3297</v>
      </c>
      <c r="H949" s="113" t="s">
        <v>103</v>
      </c>
      <c r="I949" s="115" t="n">
        <v>294.93</v>
      </c>
      <c r="J949" s="115" t="s">
        <v>80</v>
      </c>
      <c r="K949" s="115" t="s">
        <v>81</v>
      </c>
      <c r="L949" s="115" t="n">
        <v>289.93</v>
      </c>
      <c r="M949" s="115" t="n">
        <v>3.0</v>
      </c>
      <c r="N949" s="115"/>
      <c r="O949" s="115"/>
      <c r="P949" s="115"/>
      <c r="Q949" s="115"/>
      <c r="R949" s="115"/>
      <c r="S949" s="115"/>
      <c r="T949" s="115"/>
      <c r="U949" s="115"/>
      <c r="V949" s="115" t="s">
        <v>82</v>
      </c>
      <c r="W949" s="115" t="s">
        <v>92</v>
      </c>
      <c r="X949" s="113">
        <f>IF(INDIRECT("W949")="Clássico","12%",IF(INDIRECT("W949")="Premium","17%","-"))</f>
      </c>
      <c r="Y949" s="113" t="s">
        <v>3298</v>
      </c>
    </row>
    <row r="950" ht="50.0" customHeight="true">
      <c r="A950" s="113" t="s">
        <v>3299</v>
      </c>
      <c r="B950" s="113" t="s">
        <v>3300</v>
      </c>
      <c r="C950" s="113" t="s">
        <v>3301</v>
      </c>
      <c r="D950" s="113"/>
      <c r="E950" s="114" t="s">
        <v>3302</v>
      </c>
      <c r="F950" s="113" t="s">
        <v>3303</v>
      </c>
      <c r="G950" s="113" t="s">
        <v>3303</v>
      </c>
      <c r="H950" s="113" t="s">
        <v>103</v>
      </c>
      <c r="I950" s="115" t="n">
        <v>74.05</v>
      </c>
      <c r="J950" s="115" t="s">
        <v>80</v>
      </c>
      <c r="K950" s="115" t="s">
        <v>81</v>
      </c>
      <c r="L950" s="115" t="n">
        <v>69.05</v>
      </c>
      <c r="M950" s="115" t="n">
        <v>3.0</v>
      </c>
      <c r="N950" s="115"/>
      <c r="O950" s="115"/>
      <c r="P950" s="115"/>
      <c r="Q950" s="115"/>
      <c r="R950" s="115"/>
      <c r="S950" s="115"/>
      <c r="T950" s="115"/>
      <c r="U950" s="115"/>
      <c r="V950" s="115" t="s">
        <v>91</v>
      </c>
      <c r="W950" s="115" t="s">
        <v>92</v>
      </c>
      <c r="X950" s="113">
        <f>IF(INDIRECT("W950")="Clássico","12%",IF(INDIRECT("W950")="Premium","17%","-"))</f>
      </c>
      <c r="Y950" s="113" t="s">
        <v>423</v>
      </c>
    </row>
    <row r="951" ht="50.0" customHeight="true">
      <c r="A951" s="113" t="s">
        <v>3304</v>
      </c>
      <c r="B951" s="113" t="s">
        <v>3305</v>
      </c>
      <c r="C951" s="113" t="s">
        <v>3306</v>
      </c>
      <c r="D951" s="113"/>
      <c r="E951" s="114" t="s">
        <v>3196</v>
      </c>
      <c r="F951" s="113" t="s">
        <v>3307</v>
      </c>
      <c r="G951" s="113" t="s">
        <v>3307</v>
      </c>
      <c r="H951" s="113" t="s">
        <v>103</v>
      </c>
      <c r="I951" s="115" t="n">
        <v>97.46</v>
      </c>
      <c r="J951" s="115" t="s">
        <v>80</v>
      </c>
      <c r="K951" s="115" t="s">
        <v>81</v>
      </c>
      <c r="L951" s="115" t="n">
        <v>92.46</v>
      </c>
      <c r="M951" s="115" t="n">
        <v>3.0</v>
      </c>
      <c r="N951" s="115"/>
      <c r="O951" s="115"/>
      <c r="P951" s="115"/>
      <c r="Q951" s="115"/>
      <c r="R951" s="115"/>
      <c r="S951" s="115"/>
      <c r="T951" s="115"/>
      <c r="U951" s="115"/>
      <c r="V951" s="115" t="s">
        <v>82</v>
      </c>
      <c r="W951" s="115" t="s">
        <v>92</v>
      </c>
      <c r="X951" s="113">
        <f>IF(INDIRECT("W951")="Clássico","12%",IF(INDIRECT("W951")="Premium","17%","-"))</f>
      </c>
      <c r="Y951" s="113" t="s">
        <v>3308</v>
      </c>
    </row>
    <row r="952" ht="50.0" customHeight="true">
      <c r="A952" s="113" t="s">
        <v>3309</v>
      </c>
      <c r="B952" s="113" t="s">
        <v>3310</v>
      </c>
      <c r="C952" s="113" t="s">
        <v>3311</v>
      </c>
      <c r="D952" s="113"/>
      <c r="E952" s="114" t="s">
        <v>3196</v>
      </c>
      <c r="F952" s="113" t="s">
        <v>3312</v>
      </c>
      <c r="G952" s="113" t="s">
        <v>3312</v>
      </c>
      <c r="H952" s="113" t="s">
        <v>103</v>
      </c>
      <c r="I952" s="115" t="n">
        <v>97.96</v>
      </c>
      <c r="J952" s="115" t="s">
        <v>80</v>
      </c>
      <c r="K952" s="115" t="s">
        <v>81</v>
      </c>
      <c r="L952" s="115" t="n">
        <v>92.96</v>
      </c>
      <c r="M952" s="115" t="n">
        <v>3.0</v>
      </c>
      <c r="N952" s="115"/>
      <c r="O952" s="115"/>
      <c r="P952" s="115"/>
      <c r="Q952" s="115"/>
      <c r="R952" s="115"/>
      <c r="S952" s="115"/>
      <c r="T952" s="115"/>
      <c r="U952" s="115"/>
      <c r="V952" s="115" t="s">
        <v>82</v>
      </c>
      <c r="W952" s="115" t="s">
        <v>92</v>
      </c>
      <c r="X952" s="113">
        <f>IF(INDIRECT("W952")="Clássico","12%",IF(INDIRECT("W952")="Premium","17%","-"))</f>
      </c>
      <c r="Y952" s="113" t="s">
        <v>3198</v>
      </c>
    </row>
    <row r="953" ht="50.0" customHeight="true">
      <c r="A953" s="113" t="s">
        <v>3313</v>
      </c>
      <c r="B953" s="113" t="s">
        <v>3314</v>
      </c>
      <c r="C953" s="113" t="s">
        <v>3315</v>
      </c>
      <c r="D953" s="113"/>
      <c r="E953" s="114" t="s">
        <v>3316</v>
      </c>
      <c r="F953" s="113" t="s">
        <v>3317</v>
      </c>
      <c r="G953" s="113" t="s">
        <v>3317</v>
      </c>
      <c r="H953" s="113" t="s">
        <v>103</v>
      </c>
      <c r="I953" s="115" t="n">
        <v>265.7</v>
      </c>
      <c r="J953" s="115" t="s">
        <v>80</v>
      </c>
      <c r="K953" s="115" t="s">
        <v>81</v>
      </c>
      <c r="L953" s="115" t="n">
        <v>260.7</v>
      </c>
      <c r="M953" s="115" t="n">
        <v>3.0</v>
      </c>
      <c r="N953" s="115"/>
      <c r="O953" s="115"/>
      <c r="P953" s="115"/>
      <c r="Q953" s="115"/>
      <c r="R953" s="115"/>
      <c r="S953" s="115"/>
      <c r="T953" s="115"/>
      <c r="U953" s="115"/>
      <c r="V953" s="115" t="s">
        <v>82</v>
      </c>
      <c r="W953" s="115" t="s">
        <v>92</v>
      </c>
      <c r="X953" s="113">
        <f>IF(INDIRECT("W953")="Clássico","12%",IF(INDIRECT("W953")="Premium","17%","-"))</f>
      </c>
      <c r="Y953" s="113" t="s">
        <v>1751</v>
      </c>
    </row>
    <row r="954" ht="50.0" customHeight="true">
      <c r="A954" s="113" t="s">
        <v>3318</v>
      </c>
      <c r="B954" s="113" t="s">
        <v>3319</v>
      </c>
      <c r="C954" s="113" t="s">
        <v>3320</v>
      </c>
      <c r="D954" s="113"/>
      <c r="E954" s="114" t="s">
        <v>3321</v>
      </c>
      <c r="F954" s="113" t="s">
        <v>3322</v>
      </c>
      <c r="G954" s="113" t="s">
        <v>3322</v>
      </c>
      <c r="H954" s="113" t="s">
        <v>103</v>
      </c>
      <c r="I954" s="115" t="n">
        <v>72.03</v>
      </c>
      <c r="J954" s="115" t="s">
        <v>80</v>
      </c>
      <c r="K954" s="115" t="s">
        <v>81</v>
      </c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 t="s">
        <v>91</v>
      </c>
      <c r="W954" s="115" t="s">
        <v>92</v>
      </c>
      <c r="X954" s="113">
        <f>IF(INDIRECT("W954")="Clássico","12%",IF(INDIRECT("W954")="Premium","17%","-"))</f>
      </c>
      <c r="Y954" s="113" t="s">
        <v>3323</v>
      </c>
    </row>
    <row r="955" ht="50.0" customHeight="true">
      <c r="A955" s="113" t="s">
        <v>3324</v>
      </c>
      <c r="B955" s="113" t="s">
        <v>3325</v>
      </c>
      <c r="C955" s="113" t="s">
        <v>3326</v>
      </c>
      <c r="D955" s="113"/>
      <c r="E955" s="114" t="s">
        <v>3327</v>
      </c>
      <c r="F955" s="113" t="s">
        <v>3328</v>
      </c>
      <c r="G955" s="113" t="s">
        <v>3328</v>
      </c>
      <c r="H955" s="113" t="s">
        <v>103</v>
      </c>
      <c r="I955" s="115" t="n">
        <v>86.99</v>
      </c>
      <c r="J955" s="115" t="s">
        <v>80</v>
      </c>
      <c r="K955" s="115" t="s">
        <v>81</v>
      </c>
      <c r="L955" s="115" t="n">
        <v>81.99</v>
      </c>
      <c r="M955" s="115" t="n">
        <v>3.0</v>
      </c>
      <c r="N955" s="115"/>
      <c r="O955" s="115"/>
      <c r="P955" s="115"/>
      <c r="Q955" s="115"/>
      <c r="R955" s="115"/>
      <c r="S955" s="115"/>
      <c r="T955" s="115"/>
      <c r="U955" s="115"/>
      <c r="V955" s="115" t="s">
        <v>82</v>
      </c>
      <c r="W955" s="115" t="s">
        <v>83</v>
      </c>
      <c r="X955" s="113">
        <f>IF(INDIRECT("W955")="Clássico","12%",IF(INDIRECT("W955")="Premium","17%","-"))</f>
      </c>
      <c r="Y955" s="113" t="s">
        <v>3198</v>
      </c>
    </row>
    <row r="956" ht="50.0" customHeight="true">
      <c r="A956" s="113" t="s">
        <v>22</v>
      </c>
      <c r="B956" s="113" t="s">
        <v>3329</v>
      </c>
      <c r="C956" s="113"/>
      <c r="D956" s="113"/>
      <c r="E956" s="113" t="s">
        <v>3330</v>
      </c>
      <c r="F956" s="113" t="s">
        <v>3331</v>
      </c>
      <c r="G956" s="113" t="s">
        <v>103</v>
      </c>
      <c r="H956" s="113" t="s">
        <v>103</v>
      </c>
      <c r="I956" s="115" t="n">
        <v>88.38</v>
      </c>
      <c r="J956" s="115" t="s">
        <v>80</v>
      </c>
      <c r="K956" s="113" t="s">
        <v>81</v>
      </c>
      <c r="L956" s="115" t="n">
        <v>83.38</v>
      </c>
      <c r="M956" s="115" t="n">
        <v>3.0</v>
      </c>
      <c r="N956" s="115"/>
      <c r="O956" s="115"/>
      <c r="P956" s="115"/>
      <c r="Q956" s="115"/>
      <c r="R956" s="115"/>
      <c r="S956" s="115"/>
      <c r="T956" s="115"/>
      <c r="U956" s="115"/>
      <c r="V956" s="115" t="s">
        <v>82</v>
      </c>
      <c r="W956" s="115" t="s">
        <v>92</v>
      </c>
      <c r="X956" s="113">
        <f>IF(INDIRECT("W956")="Clássico","12%",IF(INDIRECT("W956")="Premium","17%","-"))</f>
      </c>
      <c r="Y956" s="113" t="s">
        <v>1048</v>
      </c>
    </row>
    <row r="957" ht="50.0" customHeight="true">
      <c r="A957" s="113" t="s">
        <v>22</v>
      </c>
      <c r="B957" s="113" t="s">
        <v>3329</v>
      </c>
      <c r="C957" s="113" t="s">
        <v>3332</v>
      </c>
      <c r="D957" s="113" t="s">
        <v>3332</v>
      </c>
      <c r="E957" s="114" t="s">
        <v>3333</v>
      </c>
      <c r="F957" s="116">
        <f>"     "&amp;F956</f>
      </c>
      <c r="G957" s="113" t="s">
        <v>687</v>
      </c>
      <c r="H957" s="113" t="s">
        <v>103</v>
      </c>
      <c r="I957" s="113">
        <f>I956</f>
      </c>
      <c r="J957" s="113">
        <f>J956&amp;"     "</f>
      </c>
      <c r="K957" s="113" t="s">
        <v>81</v>
      </c>
      <c r="L957" s="113">
        <f>L956</f>
      </c>
      <c r="M957" s="113">
        <f>M956</f>
      </c>
      <c r="N957" s="113">
        <f>N956</f>
      </c>
      <c r="O957" s="113">
        <f>O956</f>
      </c>
      <c r="P957" s="113">
        <f>P956</f>
      </c>
      <c r="Q957" s="113">
        <f>Q956</f>
      </c>
      <c r="R957" s="113">
        <f>R956</f>
      </c>
      <c r="S957" s="113">
        <f>S956</f>
      </c>
      <c r="T957" s="113">
        <f>T956</f>
      </c>
      <c r="U957" s="113">
        <f>U956</f>
      </c>
      <c r="V957" s="113">
        <f>V956&amp;"     "</f>
      </c>
      <c r="W957" s="113">
        <f>W956&amp;"     "</f>
      </c>
      <c r="X957" s="113">
        <f>X956</f>
      </c>
      <c r="Y957" s="113" t="s">
        <v>1048</v>
      </c>
    </row>
    <row r="958" ht="50.0" customHeight="true">
      <c r="A958" s="113" t="s">
        <v>22</v>
      </c>
      <c r="B958" s="113" t="s">
        <v>3329</v>
      </c>
      <c r="C958" s="113" t="s">
        <v>3334</v>
      </c>
      <c r="D958" s="113" t="s">
        <v>3334</v>
      </c>
      <c r="E958" s="114" t="s">
        <v>3335</v>
      </c>
      <c r="F958" s="116">
        <f>"     "&amp;F956</f>
      </c>
      <c r="G958" s="113" t="s">
        <v>690</v>
      </c>
      <c r="H958" s="113" t="s">
        <v>103</v>
      </c>
      <c r="I958" s="113">
        <f>I956</f>
      </c>
      <c r="J958" s="113">
        <f>J956&amp;"     "</f>
      </c>
      <c r="K958" s="113" t="s">
        <v>81</v>
      </c>
      <c r="L958" s="113">
        <f>L956</f>
      </c>
      <c r="M958" s="113">
        <f>M956</f>
      </c>
      <c r="N958" s="113">
        <f>N956</f>
      </c>
      <c r="O958" s="113">
        <f>O956</f>
      </c>
      <c r="P958" s="113">
        <f>P956</f>
      </c>
      <c r="Q958" s="113">
        <f>Q956</f>
      </c>
      <c r="R958" s="113">
        <f>R956</f>
      </c>
      <c r="S958" s="113">
        <f>S956</f>
      </c>
      <c r="T958" s="113">
        <f>T956</f>
      </c>
      <c r="U958" s="113">
        <f>U956</f>
      </c>
      <c r="V958" s="113">
        <f>V956&amp;"     "</f>
      </c>
      <c r="W958" s="113">
        <f>W956&amp;"     "</f>
      </c>
      <c r="X958" s="113">
        <f>X956</f>
      </c>
      <c r="Y958" s="113" t="s">
        <v>1048</v>
      </c>
    </row>
    <row r="959" ht="50.0" customHeight="true">
      <c r="A959" s="113" t="s">
        <v>3336</v>
      </c>
      <c r="B959" s="113" t="s">
        <v>3337</v>
      </c>
      <c r="C959" s="113" t="s">
        <v>3338</v>
      </c>
      <c r="D959" s="113"/>
      <c r="E959" s="114" t="s">
        <v>3339</v>
      </c>
      <c r="F959" s="113" t="s">
        <v>3340</v>
      </c>
      <c r="G959" s="113" t="s">
        <v>3340</v>
      </c>
      <c r="H959" s="113" t="s">
        <v>103</v>
      </c>
      <c r="I959" s="115" t="n">
        <v>210.0</v>
      </c>
      <c r="J959" s="115" t="s">
        <v>80</v>
      </c>
      <c r="K959" s="115" t="s">
        <v>81</v>
      </c>
      <c r="L959" s="115" t="n">
        <v>205.0</v>
      </c>
      <c r="M959" s="115" t="n">
        <v>3.0</v>
      </c>
      <c r="N959" s="115"/>
      <c r="O959" s="115"/>
      <c r="P959" s="115"/>
      <c r="Q959" s="115"/>
      <c r="R959" s="115"/>
      <c r="S959" s="115"/>
      <c r="T959" s="115"/>
      <c r="U959" s="115"/>
      <c r="V959" s="115" t="s">
        <v>82</v>
      </c>
      <c r="W959" s="115" t="s">
        <v>92</v>
      </c>
      <c r="X959" s="113">
        <f>IF(INDIRECT("W959")="Clássico","12%",IF(INDIRECT("W959")="Premium","17%","-"))</f>
      </c>
      <c r="Y959" s="113" t="s">
        <v>121</v>
      </c>
    </row>
    <row r="960" ht="50.0" customHeight="true">
      <c r="A960" s="113" t="s">
        <v>3341</v>
      </c>
      <c r="B960" s="113" t="s">
        <v>3342</v>
      </c>
      <c r="C960" s="113" t="s">
        <v>3343</v>
      </c>
      <c r="D960" s="113"/>
      <c r="E960" s="114" t="s">
        <v>3176</v>
      </c>
      <c r="F960" s="113" t="s">
        <v>3344</v>
      </c>
      <c r="G960" s="113" t="s">
        <v>3178</v>
      </c>
      <c r="H960" s="113" t="s">
        <v>103</v>
      </c>
      <c r="I960" s="115" t="n">
        <v>88.48</v>
      </c>
      <c r="J960" s="115" t="s">
        <v>80</v>
      </c>
      <c r="K960" s="115" t="s">
        <v>81</v>
      </c>
      <c r="L960" s="115" t="n">
        <v>83.48</v>
      </c>
      <c r="M960" s="115" t="n">
        <v>3.0</v>
      </c>
      <c r="N960" s="115"/>
      <c r="O960" s="115"/>
      <c r="P960" s="115"/>
      <c r="Q960" s="115"/>
      <c r="R960" s="115"/>
      <c r="S960" s="115"/>
      <c r="T960" s="115"/>
      <c r="U960" s="115"/>
      <c r="V960" s="115" t="s">
        <v>91</v>
      </c>
      <c r="W960" s="115" t="s">
        <v>83</v>
      </c>
      <c r="X960" s="113">
        <f>IF(INDIRECT("W960")="Clássico","12.5%",IF(INDIRECT("W960")="Premium","17.5%","-"))</f>
      </c>
      <c r="Y960" s="113" t="s">
        <v>3172</v>
      </c>
    </row>
    <row r="961" ht="50.0" customHeight="true">
      <c r="A961" s="113" t="s">
        <v>3345</v>
      </c>
      <c r="B961" s="113" t="s">
        <v>3346</v>
      </c>
      <c r="C961" s="113" t="s">
        <v>3347</v>
      </c>
      <c r="D961" s="113"/>
      <c r="E961" s="114" t="s">
        <v>3348</v>
      </c>
      <c r="F961" s="113" t="s">
        <v>3349</v>
      </c>
      <c r="G961" s="113" t="s">
        <v>3349</v>
      </c>
      <c r="H961" s="113" t="s">
        <v>103</v>
      </c>
      <c r="I961" s="115" t="n">
        <v>63.76</v>
      </c>
      <c r="J961" s="115" t="s">
        <v>80</v>
      </c>
      <c r="K961" s="115" t="s">
        <v>81</v>
      </c>
      <c r="L961" s="115" t="n">
        <v>58.76</v>
      </c>
      <c r="M961" s="115" t="n">
        <v>3.0</v>
      </c>
      <c r="N961" s="115"/>
      <c r="O961" s="115"/>
      <c r="P961" s="115"/>
      <c r="Q961" s="115"/>
      <c r="R961" s="115"/>
      <c r="S961" s="115"/>
      <c r="T961" s="115"/>
      <c r="U961" s="115"/>
      <c r="V961" s="115" t="s">
        <v>91</v>
      </c>
      <c r="W961" s="115" t="s">
        <v>92</v>
      </c>
      <c r="X961" s="113">
        <f>IF(INDIRECT("W961")="Clássico","12%",IF(INDIRECT("W961")="Premium","17%","-"))</f>
      </c>
      <c r="Y961" s="113" t="s">
        <v>1979</v>
      </c>
    </row>
    <row r="962" ht="50.0" customHeight="true">
      <c r="A962" s="113" t="s">
        <v>3350</v>
      </c>
      <c r="B962" s="113" t="s">
        <v>3351</v>
      </c>
      <c r="C962" s="113" t="s">
        <v>3352</v>
      </c>
      <c r="D962" s="113"/>
      <c r="E962" s="114" t="s">
        <v>3353</v>
      </c>
      <c r="F962" s="113" t="s">
        <v>3354</v>
      </c>
      <c r="G962" s="113" t="s">
        <v>566</v>
      </c>
      <c r="H962" s="113" t="s">
        <v>103</v>
      </c>
      <c r="I962" s="115" t="n">
        <v>383.42</v>
      </c>
      <c r="J962" s="115" t="s">
        <v>80</v>
      </c>
      <c r="K962" s="115" t="s">
        <v>81</v>
      </c>
      <c r="L962" s="115" t="n">
        <v>339.18</v>
      </c>
      <c r="M962" s="115" t="n">
        <v>3.0</v>
      </c>
      <c r="N962" s="115"/>
      <c r="O962" s="115"/>
      <c r="P962" s="115"/>
      <c r="Q962" s="115"/>
      <c r="R962" s="115"/>
      <c r="S962" s="115"/>
      <c r="T962" s="115"/>
      <c r="U962" s="115"/>
      <c r="V962" s="115" t="s">
        <v>82</v>
      </c>
      <c r="W962" s="115" t="s">
        <v>83</v>
      </c>
      <c r="X962" s="113">
        <f>IF(INDIRECT("W962")="Clássico","12%",IF(INDIRECT("W962")="Premium","17%","-"))</f>
      </c>
      <c r="Y962" s="113" t="s">
        <v>414</v>
      </c>
    </row>
    <row r="963" ht="50.0" customHeight="true">
      <c r="A963" s="113" t="s">
        <v>3355</v>
      </c>
      <c r="B963" s="113" t="s">
        <v>3356</v>
      </c>
      <c r="C963" s="113" t="s">
        <v>3357</v>
      </c>
      <c r="D963" s="113"/>
      <c r="E963" s="114" t="s">
        <v>3358</v>
      </c>
      <c r="F963" s="113" t="s">
        <v>3359</v>
      </c>
      <c r="G963" s="113" t="s">
        <v>3359</v>
      </c>
      <c r="H963" s="113" t="s">
        <v>103</v>
      </c>
      <c r="I963" s="115" t="n">
        <v>597.5</v>
      </c>
      <c r="J963" s="115" t="s">
        <v>80</v>
      </c>
      <c r="K963" s="115" t="s">
        <v>81</v>
      </c>
      <c r="L963" s="115" t="n">
        <v>592.5</v>
      </c>
      <c r="M963" s="115" t="n">
        <v>3.0</v>
      </c>
      <c r="N963" s="115"/>
      <c r="O963" s="115"/>
      <c r="P963" s="115"/>
      <c r="Q963" s="115"/>
      <c r="R963" s="115"/>
      <c r="S963" s="115"/>
      <c r="T963" s="115"/>
      <c r="U963" s="115"/>
      <c r="V963" s="115" t="s">
        <v>82</v>
      </c>
      <c r="W963" s="115" t="s">
        <v>83</v>
      </c>
      <c r="X963" s="113">
        <f>IF(INDIRECT("W963")="Clássico","11.5%",IF(INDIRECT("W963")="Premium","16.5%","-"))</f>
      </c>
      <c r="Y963" s="113" t="s">
        <v>684</v>
      </c>
    </row>
    <row r="964" ht="50.0" customHeight="true">
      <c r="A964" s="113" t="s">
        <v>3360</v>
      </c>
      <c r="B964" s="113" t="s">
        <v>3361</v>
      </c>
      <c r="C964" s="113" t="s">
        <v>3362</v>
      </c>
      <c r="D964" s="113"/>
      <c r="E964" s="114" t="s">
        <v>3316</v>
      </c>
      <c r="F964" s="113" t="s">
        <v>3363</v>
      </c>
      <c r="G964" s="113" t="s">
        <v>103</v>
      </c>
      <c r="H964" s="113" t="s">
        <v>103</v>
      </c>
      <c r="I964" s="115" t="n">
        <v>136.9</v>
      </c>
      <c r="J964" s="115" t="s">
        <v>80</v>
      </c>
      <c r="K964" s="115" t="s">
        <v>81</v>
      </c>
      <c r="L964" s="115" t="n">
        <v>134.8</v>
      </c>
      <c r="M964" s="115" t="n">
        <v>3.0</v>
      </c>
      <c r="N964" s="115"/>
      <c r="O964" s="115"/>
      <c r="P964" s="115"/>
      <c r="Q964" s="115"/>
      <c r="R964" s="115"/>
      <c r="S964" s="115"/>
      <c r="T964" s="115"/>
      <c r="U964" s="115"/>
      <c r="V964" s="115" t="s">
        <v>82</v>
      </c>
      <c r="W964" s="115" t="s">
        <v>92</v>
      </c>
      <c r="X964" s="113">
        <f>IF(INDIRECT("W964")="Clássico","11.5%",IF(INDIRECT("W964")="Premium","16.5%","-"))</f>
      </c>
      <c r="Y964" s="113" t="s">
        <v>3364</v>
      </c>
    </row>
    <row r="965" ht="50.0" customHeight="true">
      <c r="A965" s="113" t="s">
        <v>3365</v>
      </c>
      <c r="B965" s="113" t="s">
        <v>3366</v>
      </c>
      <c r="C965" s="113" t="s">
        <v>3367</v>
      </c>
      <c r="D965" s="113"/>
      <c r="E965" s="114" t="s">
        <v>3368</v>
      </c>
      <c r="F965" s="113" t="s">
        <v>3369</v>
      </c>
      <c r="G965" s="113" t="s">
        <v>3369</v>
      </c>
      <c r="H965" s="113" t="s">
        <v>103</v>
      </c>
      <c r="I965" s="115" t="n">
        <v>412.03</v>
      </c>
      <c r="J965" s="115" t="s">
        <v>80</v>
      </c>
      <c r="K965" s="115" t="s">
        <v>81</v>
      </c>
      <c r="L965" s="115" t="n">
        <v>407.03</v>
      </c>
      <c r="M965" s="115" t="n">
        <v>3.0</v>
      </c>
      <c r="N965" s="115"/>
      <c r="O965" s="115"/>
      <c r="P965" s="115"/>
      <c r="Q965" s="115"/>
      <c r="R965" s="115"/>
      <c r="S965" s="115"/>
      <c r="T965" s="115"/>
      <c r="U965" s="115"/>
      <c r="V965" s="115" t="s">
        <v>82</v>
      </c>
      <c r="W965" s="115" t="s">
        <v>92</v>
      </c>
      <c r="X965" s="113">
        <f>IF(INDIRECT("W965")="Clássico","12%",IF(INDIRECT("W965")="Premium","17%","-"))</f>
      </c>
      <c r="Y965" s="113" t="s">
        <v>1774</v>
      </c>
    </row>
    <row r="966" ht="50.0" customHeight="true">
      <c r="A966" s="113" t="s">
        <v>3370</v>
      </c>
      <c r="B966" s="113" t="s">
        <v>3371</v>
      </c>
      <c r="C966" s="113" t="s">
        <v>3372</v>
      </c>
      <c r="D966" s="113"/>
      <c r="E966" s="114" t="s">
        <v>3170</v>
      </c>
      <c r="F966" s="113" t="s">
        <v>3373</v>
      </c>
      <c r="G966" s="113" t="s">
        <v>127</v>
      </c>
      <c r="H966" s="113" t="s">
        <v>103</v>
      </c>
      <c r="I966" s="115" t="n">
        <v>123.93</v>
      </c>
      <c r="J966" s="115" t="s">
        <v>80</v>
      </c>
      <c r="K966" s="115" t="s">
        <v>81</v>
      </c>
      <c r="L966" s="115" t="n">
        <v>118.93</v>
      </c>
      <c r="M966" s="115" t="n">
        <v>3.0</v>
      </c>
      <c r="N966" s="115"/>
      <c r="O966" s="115"/>
      <c r="P966" s="115"/>
      <c r="Q966" s="115"/>
      <c r="R966" s="115"/>
      <c r="S966" s="115"/>
      <c r="T966" s="115"/>
      <c r="U966" s="115"/>
      <c r="V966" s="115" t="s">
        <v>82</v>
      </c>
      <c r="W966" s="115" t="s">
        <v>83</v>
      </c>
      <c r="X966" s="113">
        <f>IF(INDIRECT("W966")="Clássico","12.5%",IF(INDIRECT("W966")="Premium","17.5%","-"))</f>
      </c>
      <c r="Y966" s="113" t="s">
        <v>3172</v>
      </c>
    </row>
    <row r="967" ht="50.0" customHeight="true">
      <c r="A967" s="113" t="s">
        <v>3374</v>
      </c>
      <c r="B967" s="113" t="s">
        <v>3375</v>
      </c>
      <c r="C967" s="113" t="s">
        <v>3376</v>
      </c>
      <c r="D967" s="113"/>
      <c r="E967" s="114" t="s">
        <v>3377</v>
      </c>
      <c r="F967" s="113" t="s">
        <v>3378</v>
      </c>
      <c r="G967" s="113" t="s">
        <v>3378</v>
      </c>
      <c r="H967" s="113" t="s">
        <v>103</v>
      </c>
      <c r="I967" s="115" t="n">
        <v>175.82</v>
      </c>
      <c r="J967" s="115" t="s">
        <v>80</v>
      </c>
      <c r="K967" s="115" t="s">
        <v>81</v>
      </c>
      <c r="L967" s="115" t="n">
        <v>170.82</v>
      </c>
      <c r="M967" s="115" t="n">
        <v>3.0</v>
      </c>
      <c r="N967" s="115"/>
      <c r="O967" s="115"/>
      <c r="P967" s="115"/>
      <c r="Q967" s="115"/>
      <c r="R967" s="115"/>
      <c r="S967" s="115"/>
      <c r="T967" s="115"/>
      <c r="U967" s="115"/>
      <c r="V967" s="115" t="s">
        <v>82</v>
      </c>
      <c r="W967" s="115" t="s">
        <v>83</v>
      </c>
      <c r="X967" s="113">
        <f>IF(INDIRECT("W967")="Clássico","12%",IF(INDIRECT("W967")="Premium","17%","-"))</f>
      </c>
      <c r="Y967" s="113" t="s">
        <v>1105</v>
      </c>
    </row>
    <row r="968" ht="50.0" customHeight="true">
      <c r="A968" s="113" t="s">
        <v>22</v>
      </c>
      <c r="B968" s="113" t="s">
        <v>3379</v>
      </c>
      <c r="C968" s="113"/>
      <c r="D968" s="113"/>
      <c r="E968" s="113" t="s">
        <v>3380</v>
      </c>
      <c r="F968" s="113" t="s">
        <v>3381</v>
      </c>
      <c r="G968" s="113" t="s">
        <v>103</v>
      </c>
      <c r="H968" s="113" t="s">
        <v>103</v>
      </c>
      <c r="I968" s="115" t="n">
        <v>249.36</v>
      </c>
      <c r="J968" s="115" t="s">
        <v>80</v>
      </c>
      <c r="K968" s="113" t="s">
        <v>81</v>
      </c>
      <c r="L968" s="115" t="n">
        <v>244.36</v>
      </c>
      <c r="M968" s="115" t="n">
        <v>3.0</v>
      </c>
      <c r="N968" s="115"/>
      <c r="O968" s="115"/>
      <c r="P968" s="115"/>
      <c r="Q968" s="115"/>
      <c r="R968" s="115"/>
      <c r="S968" s="115"/>
      <c r="T968" s="115"/>
      <c r="U968" s="115"/>
      <c r="V968" s="115" t="s">
        <v>82</v>
      </c>
      <c r="W968" s="115" t="s">
        <v>83</v>
      </c>
      <c r="X968" s="113">
        <f>IF(INDIRECT("W968")="Clássico","12%",IF(INDIRECT("W968")="Premium","17%","-"))</f>
      </c>
      <c r="Y968" s="113" t="s">
        <v>1048</v>
      </c>
    </row>
    <row r="969" ht="50.0" customHeight="true">
      <c r="A969" s="113" t="s">
        <v>22</v>
      </c>
      <c r="B969" s="113" t="s">
        <v>3379</v>
      </c>
      <c r="C969" s="113" t="s">
        <v>3382</v>
      </c>
      <c r="D969" s="113" t="s">
        <v>3382</v>
      </c>
      <c r="E969" s="114" t="s">
        <v>3380</v>
      </c>
      <c r="F969" s="116">
        <f>"     "&amp;F968</f>
      </c>
      <c r="G969" s="113" t="s">
        <v>687</v>
      </c>
      <c r="H969" s="113" t="s">
        <v>103</v>
      </c>
      <c r="I969" s="113">
        <f>I968</f>
      </c>
      <c r="J969" s="113">
        <f>J968&amp;"     "</f>
      </c>
      <c r="K969" s="113" t="s">
        <v>81</v>
      </c>
      <c r="L969" s="113">
        <f>L968</f>
      </c>
      <c r="M969" s="113">
        <f>M968</f>
      </c>
      <c r="N969" s="113">
        <f>N968</f>
      </c>
      <c r="O969" s="113">
        <f>O968</f>
      </c>
      <c r="P969" s="113">
        <f>P968</f>
      </c>
      <c r="Q969" s="113">
        <f>Q968</f>
      </c>
      <c r="R969" s="113">
        <f>R968</f>
      </c>
      <c r="S969" s="113">
        <f>S968</f>
      </c>
      <c r="T969" s="113">
        <f>T968</f>
      </c>
      <c r="U969" s="113">
        <f>U968</f>
      </c>
      <c r="V969" s="113">
        <f>V968&amp;"     "</f>
      </c>
      <c r="W969" s="113">
        <f>W968&amp;"     "</f>
      </c>
      <c r="X969" s="113">
        <f>X968</f>
      </c>
      <c r="Y969" s="113" t="s">
        <v>1048</v>
      </c>
    </row>
    <row r="970" ht="50.0" customHeight="true">
      <c r="A970" s="113" t="s">
        <v>22</v>
      </c>
      <c r="B970" s="113" t="s">
        <v>3379</v>
      </c>
      <c r="C970" s="113" t="s">
        <v>3383</v>
      </c>
      <c r="D970" s="113" t="s">
        <v>3383</v>
      </c>
      <c r="E970" s="114" t="s">
        <v>3384</v>
      </c>
      <c r="F970" s="116">
        <f>"     "&amp;F968</f>
      </c>
      <c r="G970" s="113" t="s">
        <v>690</v>
      </c>
      <c r="H970" s="113" t="s">
        <v>103</v>
      </c>
      <c r="I970" s="113">
        <f>I968</f>
      </c>
      <c r="J970" s="113">
        <f>J968&amp;"     "</f>
      </c>
      <c r="K970" s="113" t="s">
        <v>81</v>
      </c>
      <c r="L970" s="113">
        <f>L968</f>
      </c>
      <c r="M970" s="113">
        <f>M968</f>
      </c>
      <c r="N970" s="113">
        <f>N968</f>
      </c>
      <c r="O970" s="113">
        <f>O968</f>
      </c>
      <c r="P970" s="113">
        <f>P968</f>
      </c>
      <c r="Q970" s="113">
        <f>Q968</f>
      </c>
      <c r="R970" s="113">
        <f>R968</f>
      </c>
      <c r="S970" s="113">
        <f>S968</f>
      </c>
      <c r="T970" s="113">
        <f>T968</f>
      </c>
      <c r="U970" s="113">
        <f>U968</f>
      </c>
      <c r="V970" s="113">
        <f>V968&amp;"     "</f>
      </c>
      <c r="W970" s="113">
        <f>W968&amp;"     "</f>
      </c>
      <c r="X970" s="113">
        <f>X968</f>
      </c>
      <c r="Y970" s="113" t="s">
        <v>1048</v>
      </c>
    </row>
    <row r="971" ht="50.0" customHeight="true">
      <c r="A971" s="113" t="s">
        <v>3385</v>
      </c>
      <c r="B971" s="113" t="s">
        <v>3386</v>
      </c>
      <c r="C971" s="113" t="s">
        <v>3387</v>
      </c>
      <c r="D971" s="113"/>
      <c r="E971" s="114" t="s">
        <v>3165</v>
      </c>
      <c r="F971" s="113" t="s">
        <v>3388</v>
      </c>
      <c r="G971" s="113" t="s">
        <v>3388</v>
      </c>
      <c r="H971" s="113" t="s">
        <v>103</v>
      </c>
      <c r="I971" s="115" t="n">
        <v>50.0</v>
      </c>
      <c r="J971" s="115" t="s">
        <v>80</v>
      </c>
      <c r="K971" s="115" t="s">
        <v>81</v>
      </c>
      <c r="L971" s="115" t="n">
        <v>45.0</v>
      </c>
      <c r="M971" s="115" t="n">
        <v>3.0</v>
      </c>
      <c r="N971" s="115"/>
      <c r="O971" s="115"/>
      <c r="P971" s="115"/>
      <c r="Q971" s="115"/>
      <c r="R971" s="115"/>
      <c r="S971" s="115"/>
      <c r="T971" s="115"/>
      <c r="U971" s="115"/>
      <c r="V971" s="115" t="s">
        <v>91</v>
      </c>
      <c r="W971" s="115" t="s">
        <v>83</v>
      </c>
      <c r="X971" s="113">
        <f>IF(INDIRECT("W971")="Clássico","12%",IF(INDIRECT("W971")="Premium","17%","-"))</f>
      </c>
      <c r="Y971" s="113" t="s">
        <v>2886</v>
      </c>
    </row>
    <row r="972" ht="50.0" customHeight="true">
      <c r="A972" s="113" t="s">
        <v>22</v>
      </c>
      <c r="B972" s="113" t="s">
        <v>3389</v>
      </c>
      <c r="C972" s="113"/>
      <c r="D972" s="113"/>
      <c r="E972" s="113" t="s">
        <v>22</v>
      </c>
      <c r="F972" s="113" t="s">
        <v>3390</v>
      </c>
      <c r="G972" s="113" t="s">
        <v>103</v>
      </c>
      <c r="H972" s="113" t="s">
        <v>103</v>
      </c>
      <c r="I972" s="115" t="n">
        <v>185.45</v>
      </c>
      <c r="J972" s="115" t="s">
        <v>80</v>
      </c>
      <c r="K972" s="113" t="s">
        <v>81</v>
      </c>
      <c r="L972" s="115" t="n">
        <v>180.45</v>
      </c>
      <c r="M972" s="115" t="n">
        <v>3.0</v>
      </c>
      <c r="N972" s="115"/>
      <c r="O972" s="115"/>
      <c r="P972" s="115"/>
      <c r="Q972" s="115"/>
      <c r="R972" s="115"/>
      <c r="S972" s="115"/>
      <c r="T972" s="115"/>
      <c r="U972" s="115"/>
      <c r="V972" s="115" t="s">
        <v>82</v>
      </c>
      <c r="W972" s="115" t="s">
        <v>83</v>
      </c>
      <c r="X972" s="113">
        <f>IF(INDIRECT("W972")="Clássico","11.5%",IF(INDIRECT("W972")="Premium","16.5%","-"))</f>
      </c>
      <c r="Y972" s="113" t="s">
        <v>684</v>
      </c>
    </row>
    <row r="973" ht="50.0" customHeight="true">
      <c r="A973" s="113" t="s">
        <v>22</v>
      </c>
      <c r="B973" s="113" t="s">
        <v>3389</v>
      </c>
      <c r="C973" s="113" t="s">
        <v>3391</v>
      </c>
      <c r="D973" s="113" t="s">
        <v>3391</v>
      </c>
      <c r="E973" s="114" t="s">
        <v>3392</v>
      </c>
      <c r="F973" s="116">
        <f>"     "&amp;F972</f>
      </c>
      <c r="G973" s="113" t="s">
        <v>690</v>
      </c>
      <c r="H973" s="113" t="s">
        <v>103</v>
      </c>
      <c r="I973" s="113">
        <f>I972</f>
      </c>
      <c r="J973" s="113">
        <f>J972&amp;"     "</f>
      </c>
      <c r="K973" s="113" t="s">
        <v>81</v>
      </c>
      <c r="L973" s="113">
        <f>L972</f>
      </c>
      <c r="M973" s="113">
        <f>M972</f>
      </c>
      <c r="N973" s="113">
        <f>N972</f>
      </c>
      <c r="O973" s="113">
        <f>O972</f>
      </c>
      <c r="P973" s="113">
        <f>P972</f>
      </c>
      <c r="Q973" s="113">
        <f>Q972</f>
      </c>
      <c r="R973" s="113">
        <f>R972</f>
      </c>
      <c r="S973" s="113">
        <f>S972</f>
      </c>
      <c r="T973" s="113">
        <f>T972</f>
      </c>
      <c r="U973" s="113">
        <f>U972</f>
      </c>
      <c r="V973" s="113">
        <f>V972&amp;"     "</f>
      </c>
      <c r="W973" s="113">
        <f>W972&amp;"     "</f>
      </c>
      <c r="X973" s="113">
        <f>X972</f>
      </c>
      <c r="Y973" s="113" t="s">
        <v>684</v>
      </c>
    </row>
    <row r="974" ht="50.0" customHeight="true">
      <c r="A974" s="113" t="s">
        <v>22</v>
      </c>
      <c r="B974" s="113" t="s">
        <v>3389</v>
      </c>
      <c r="C974" s="113" t="s">
        <v>3393</v>
      </c>
      <c r="D974" s="113" t="s">
        <v>3393</v>
      </c>
      <c r="E974" s="114" t="s">
        <v>3394</v>
      </c>
      <c r="F974" s="116">
        <f>"     "&amp;F972</f>
      </c>
      <c r="G974" s="113" t="s">
        <v>687</v>
      </c>
      <c r="H974" s="113" t="s">
        <v>103</v>
      </c>
      <c r="I974" s="113">
        <f>I972</f>
      </c>
      <c r="J974" s="113">
        <f>J972&amp;"     "</f>
      </c>
      <c r="K974" s="113" t="s">
        <v>81</v>
      </c>
      <c r="L974" s="113">
        <f>L972</f>
      </c>
      <c r="M974" s="113">
        <f>M972</f>
      </c>
      <c r="N974" s="113">
        <f>N972</f>
      </c>
      <c r="O974" s="113">
        <f>O972</f>
      </c>
      <c r="P974" s="113">
        <f>P972</f>
      </c>
      <c r="Q974" s="113">
        <f>Q972</f>
      </c>
      <c r="R974" s="113">
        <f>R972</f>
      </c>
      <c r="S974" s="113">
        <f>S972</f>
      </c>
      <c r="T974" s="113">
        <f>T972</f>
      </c>
      <c r="U974" s="113">
        <f>U972</f>
      </c>
      <c r="V974" s="113">
        <f>V972&amp;"     "</f>
      </c>
      <c r="W974" s="113">
        <f>W972&amp;"     "</f>
      </c>
      <c r="X974" s="113">
        <f>X972</f>
      </c>
      <c r="Y974" s="113" t="s">
        <v>684</v>
      </c>
    </row>
    <row r="975" ht="50.0" customHeight="true">
      <c r="A975" s="113" t="s">
        <v>3395</v>
      </c>
      <c r="B975" s="113" t="s">
        <v>3396</v>
      </c>
      <c r="C975" s="113" t="s">
        <v>3397</v>
      </c>
      <c r="D975" s="113"/>
      <c r="E975" s="114" t="s">
        <v>3398</v>
      </c>
      <c r="F975" s="113" t="s">
        <v>3399</v>
      </c>
      <c r="G975" s="113" t="s">
        <v>3399</v>
      </c>
      <c r="H975" s="113" t="s">
        <v>103</v>
      </c>
      <c r="I975" s="115" t="n">
        <v>74.9</v>
      </c>
      <c r="J975" s="115" t="s">
        <v>80</v>
      </c>
      <c r="K975" s="115" t="s">
        <v>81</v>
      </c>
      <c r="L975" s="115" t="n">
        <v>69.9</v>
      </c>
      <c r="M975" s="115" t="n">
        <v>3.0</v>
      </c>
      <c r="N975" s="115"/>
      <c r="O975" s="115"/>
      <c r="P975" s="115"/>
      <c r="Q975" s="115"/>
      <c r="R975" s="115"/>
      <c r="S975" s="115"/>
      <c r="T975" s="115"/>
      <c r="U975" s="115"/>
      <c r="V975" s="115" t="s">
        <v>91</v>
      </c>
      <c r="W975" s="115" t="s">
        <v>83</v>
      </c>
      <c r="X975" s="113">
        <f>IF(INDIRECT("W975")="Clássico","12%",IF(INDIRECT("W975")="Premium","17%","-"))</f>
      </c>
      <c r="Y975" s="113" t="s">
        <v>1979</v>
      </c>
    </row>
    <row r="976" ht="50.0" customHeight="true">
      <c r="A976" s="113" t="s">
        <v>3400</v>
      </c>
      <c r="B976" s="113" t="s">
        <v>3401</v>
      </c>
      <c r="C976" s="113" t="s">
        <v>3402</v>
      </c>
      <c r="D976" s="113"/>
      <c r="E976" s="114" t="s">
        <v>3368</v>
      </c>
      <c r="F976" s="113" t="s">
        <v>3403</v>
      </c>
      <c r="G976" s="113" t="s">
        <v>3403</v>
      </c>
      <c r="H976" s="113" t="s">
        <v>103</v>
      </c>
      <c r="I976" s="115" t="n">
        <v>420.88</v>
      </c>
      <c r="J976" s="115" t="s">
        <v>80</v>
      </c>
      <c r="K976" s="115" t="s">
        <v>81</v>
      </c>
      <c r="L976" s="115" t="n">
        <v>415.88</v>
      </c>
      <c r="M976" s="115" t="n">
        <v>3.0</v>
      </c>
      <c r="N976" s="115"/>
      <c r="O976" s="115"/>
      <c r="P976" s="115"/>
      <c r="Q976" s="115"/>
      <c r="R976" s="115"/>
      <c r="S976" s="115"/>
      <c r="T976" s="115"/>
      <c r="U976" s="115"/>
      <c r="V976" s="115" t="s">
        <v>82</v>
      </c>
      <c r="W976" s="115" t="s">
        <v>83</v>
      </c>
      <c r="X976" s="113">
        <f>IF(INDIRECT("W976")="Clássico","12%",IF(INDIRECT("W976")="Premium","17%","-"))</f>
      </c>
      <c r="Y976" s="113" t="s">
        <v>1774</v>
      </c>
    </row>
    <row r="977" ht="50.0" customHeight="true">
      <c r="A977" s="113" t="s">
        <v>3404</v>
      </c>
      <c r="B977" s="113" t="s">
        <v>3405</v>
      </c>
      <c r="C977" s="113" t="s">
        <v>3406</v>
      </c>
      <c r="D977" s="113"/>
      <c r="E977" s="114" t="s">
        <v>3407</v>
      </c>
      <c r="F977" s="113" t="s">
        <v>3408</v>
      </c>
      <c r="G977" s="113" t="s">
        <v>3409</v>
      </c>
      <c r="H977" s="113" t="s">
        <v>103</v>
      </c>
      <c r="I977" s="115" t="n">
        <v>2275.85</v>
      </c>
      <c r="J977" s="115" t="s">
        <v>80</v>
      </c>
      <c r="K977" s="115" t="s">
        <v>81</v>
      </c>
      <c r="L977" s="115" t="n">
        <v>2270.85</v>
      </c>
      <c r="M977" s="115" t="n">
        <v>3.0</v>
      </c>
      <c r="N977" s="115"/>
      <c r="O977" s="115"/>
      <c r="P977" s="115"/>
      <c r="Q977" s="115"/>
      <c r="R977" s="115"/>
      <c r="S977" s="115"/>
      <c r="T977" s="115"/>
      <c r="U977" s="115"/>
      <c r="V977" s="115" t="s">
        <v>82</v>
      </c>
      <c r="W977" s="115" t="s">
        <v>83</v>
      </c>
      <c r="X977" s="113">
        <f>IF(INDIRECT("W977")="Clássico","12%",IF(INDIRECT("W977")="Premium","17%","-"))</f>
      </c>
      <c r="Y977" s="113" t="s">
        <v>551</v>
      </c>
    </row>
    <row r="978" ht="50.0" customHeight="true">
      <c r="A978" s="113" t="s">
        <v>3410</v>
      </c>
      <c r="B978" s="113" t="s">
        <v>3411</v>
      </c>
      <c r="C978" s="113" t="s">
        <v>3412</v>
      </c>
      <c r="D978" s="113"/>
      <c r="E978" s="114" t="s">
        <v>3413</v>
      </c>
      <c r="F978" s="113" t="s">
        <v>3414</v>
      </c>
      <c r="G978" s="113" t="s">
        <v>3414</v>
      </c>
      <c r="H978" s="113" t="s">
        <v>103</v>
      </c>
      <c r="I978" s="115" t="n">
        <v>222.66</v>
      </c>
      <c r="J978" s="115" t="s">
        <v>80</v>
      </c>
      <c r="K978" s="115" t="s">
        <v>81</v>
      </c>
      <c r="L978" s="115" t="n">
        <v>203.74</v>
      </c>
      <c r="M978" s="115" t="n">
        <v>3.0</v>
      </c>
      <c r="N978" s="115"/>
      <c r="O978" s="115"/>
      <c r="P978" s="115"/>
      <c r="Q978" s="115"/>
      <c r="R978" s="115"/>
      <c r="S978" s="115"/>
      <c r="T978" s="115"/>
      <c r="U978" s="115"/>
      <c r="V978" s="115" t="s">
        <v>82</v>
      </c>
      <c r="W978" s="115" t="s">
        <v>83</v>
      </c>
      <c r="X978" s="113">
        <f>IF(INDIRECT("W978")="Clássico","12%",IF(INDIRECT("W978")="Premium","17%","-"))</f>
      </c>
      <c r="Y978" s="113" t="s">
        <v>245</v>
      </c>
    </row>
    <row r="979" ht="50.0" customHeight="true">
      <c r="A979" s="113" t="s">
        <v>3415</v>
      </c>
      <c r="B979" s="113" t="s">
        <v>3416</v>
      </c>
      <c r="C979" s="113" t="s">
        <v>3417</v>
      </c>
      <c r="D979" s="113"/>
      <c r="E979" s="114" t="s">
        <v>3196</v>
      </c>
      <c r="F979" s="113" t="s">
        <v>3418</v>
      </c>
      <c r="G979" s="113" t="s">
        <v>3418</v>
      </c>
      <c r="H979" s="113" t="s">
        <v>103</v>
      </c>
      <c r="I979" s="115" t="n">
        <v>57.9</v>
      </c>
      <c r="J979" s="115" t="s">
        <v>80</v>
      </c>
      <c r="K979" s="115" t="s">
        <v>81</v>
      </c>
      <c r="L979" s="115" t="n">
        <v>52.9</v>
      </c>
      <c r="M979" s="115" t="n">
        <v>3.0</v>
      </c>
      <c r="N979" s="115"/>
      <c r="O979" s="115"/>
      <c r="P979" s="115"/>
      <c r="Q979" s="115"/>
      <c r="R979" s="115"/>
      <c r="S979" s="115"/>
      <c r="T979" s="115"/>
      <c r="U979" s="115"/>
      <c r="V979" s="115" t="s">
        <v>91</v>
      </c>
      <c r="W979" s="115" t="s">
        <v>83</v>
      </c>
      <c r="X979" s="113">
        <f>IF(INDIRECT("W979")="Clássico","12%",IF(INDIRECT("W979")="Premium","17%","-"))</f>
      </c>
      <c r="Y979" s="113" t="s">
        <v>3198</v>
      </c>
    </row>
    <row r="980" ht="50.0" customHeight="true">
      <c r="A980" s="113" t="s">
        <v>3419</v>
      </c>
      <c r="B980" s="113" t="s">
        <v>3420</v>
      </c>
      <c r="C980" s="113" t="s">
        <v>3421</v>
      </c>
      <c r="D980" s="113"/>
      <c r="E980" s="114" t="s">
        <v>3202</v>
      </c>
      <c r="F980" s="113" t="s">
        <v>3422</v>
      </c>
      <c r="G980" s="113" t="s">
        <v>3422</v>
      </c>
      <c r="H980" s="113" t="s">
        <v>103</v>
      </c>
      <c r="I980" s="115" t="n">
        <v>201.39</v>
      </c>
      <c r="J980" s="115" t="s">
        <v>80</v>
      </c>
      <c r="K980" s="115" t="s">
        <v>81</v>
      </c>
      <c r="L980" s="115" t="n">
        <v>196.39</v>
      </c>
      <c r="M980" s="115" t="n">
        <v>3.0</v>
      </c>
      <c r="N980" s="115"/>
      <c r="O980" s="115"/>
      <c r="P980" s="115"/>
      <c r="Q980" s="115"/>
      <c r="R980" s="115"/>
      <c r="S980" s="115"/>
      <c r="T980" s="115"/>
      <c r="U980" s="115"/>
      <c r="V980" s="115" t="s">
        <v>82</v>
      </c>
      <c r="W980" s="115" t="s">
        <v>83</v>
      </c>
      <c r="X980" s="113">
        <f>IF(INDIRECT("W980")="Clássico","12%",IF(INDIRECT("W980")="Premium","17%","-"))</f>
      </c>
      <c r="Y980" s="113" t="s">
        <v>3204</v>
      </c>
    </row>
    <row r="981" ht="50.0" customHeight="true">
      <c r="A981" s="113" t="s">
        <v>3423</v>
      </c>
      <c r="B981" s="113" t="s">
        <v>3424</v>
      </c>
      <c r="C981" s="113" t="s">
        <v>3425</v>
      </c>
      <c r="D981" s="113"/>
      <c r="E981" s="114" t="s">
        <v>3316</v>
      </c>
      <c r="F981" s="113" t="s">
        <v>3426</v>
      </c>
      <c r="G981" s="113" t="s">
        <v>3426</v>
      </c>
      <c r="H981" s="113" t="s">
        <v>103</v>
      </c>
      <c r="I981" s="115" t="n">
        <v>284.8</v>
      </c>
      <c r="J981" s="115" t="s">
        <v>80</v>
      </c>
      <c r="K981" s="115" t="s">
        <v>81</v>
      </c>
      <c r="L981" s="115" t="n">
        <v>279.8</v>
      </c>
      <c r="M981" s="115" t="n">
        <v>3.0</v>
      </c>
      <c r="N981" s="115"/>
      <c r="O981" s="115"/>
      <c r="P981" s="115"/>
      <c r="Q981" s="115"/>
      <c r="R981" s="115"/>
      <c r="S981" s="115"/>
      <c r="T981" s="115"/>
      <c r="U981" s="115"/>
      <c r="V981" s="115" t="s">
        <v>82</v>
      </c>
      <c r="W981" s="115" t="s">
        <v>83</v>
      </c>
      <c r="X981" s="113">
        <f>IF(INDIRECT("W981")="Clássico","12%",IF(INDIRECT("W981")="Premium","17%","-"))</f>
      </c>
      <c r="Y981" s="113" t="s">
        <v>1751</v>
      </c>
    </row>
    <row r="982" ht="50.0" customHeight="true">
      <c r="A982" s="113" t="s">
        <v>3427</v>
      </c>
      <c r="B982" s="113" t="s">
        <v>3428</v>
      </c>
      <c r="C982" s="113" t="s">
        <v>3429</v>
      </c>
      <c r="D982" s="113"/>
      <c r="E982" s="114" t="s">
        <v>3430</v>
      </c>
      <c r="F982" s="113" t="s">
        <v>3431</v>
      </c>
      <c r="G982" s="113" t="s">
        <v>3431</v>
      </c>
      <c r="H982" s="113" t="s">
        <v>103</v>
      </c>
      <c r="I982" s="115" t="n">
        <v>156.84</v>
      </c>
      <c r="J982" s="115" t="s">
        <v>80</v>
      </c>
      <c r="K982" s="115" t="s">
        <v>81</v>
      </c>
      <c r="L982" s="115" t="n">
        <v>151.84</v>
      </c>
      <c r="M982" s="115" t="n">
        <v>3.0</v>
      </c>
      <c r="N982" s="115"/>
      <c r="O982" s="115"/>
      <c r="P982" s="115"/>
      <c r="Q982" s="115"/>
      <c r="R982" s="115"/>
      <c r="S982" s="115"/>
      <c r="T982" s="115"/>
      <c r="U982" s="115"/>
      <c r="V982" s="115" t="s">
        <v>82</v>
      </c>
      <c r="W982" s="115" t="s">
        <v>83</v>
      </c>
      <c r="X982" s="113">
        <f>IF(INDIRECT("W982")="Clássico","12%",IF(INDIRECT("W982")="Premium","17%","-"))</f>
      </c>
      <c r="Y982" s="113" t="s">
        <v>343</v>
      </c>
    </row>
    <row r="983" ht="50.0" customHeight="true">
      <c r="A983" s="113" t="s">
        <v>3432</v>
      </c>
      <c r="B983" s="113" t="s">
        <v>3433</v>
      </c>
      <c r="C983" s="113" t="s">
        <v>3434</v>
      </c>
      <c r="D983" s="113"/>
      <c r="E983" s="114" t="s">
        <v>3176</v>
      </c>
      <c r="F983" s="113" t="s">
        <v>3435</v>
      </c>
      <c r="G983" s="113" t="s">
        <v>3178</v>
      </c>
      <c r="H983" s="113" t="s">
        <v>103</v>
      </c>
      <c r="I983" s="115" t="n">
        <v>65.7</v>
      </c>
      <c r="J983" s="115" t="s">
        <v>80</v>
      </c>
      <c r="K983" s="115" t="s">
        <v>81</v>
      </c>
      <c r="L983" s="115" t="n">
        <v>60.7</v>
      </c>
      <c r="M983" s="115" t="n">
        <v>3.0</v>
      </c>
      <c r="N983" s="115"/>
      <c r="O983" s="115"/>
      <c r="P983" s="115"/>
      <c r="Q983" s="115"/>
      <c r="R983" s="115"/>
      <c r="S983" s="115"/>
      <c r="T983" s="115"/>
      <c r="U983" s="115"/>
      <c r="V983" s="115" t="s">
        <v>91</v>
      </c>
      <c r="W983" s="115" t="s">
        <v>92</v>
      </c>
      <c r="X983" s="113">
        <f>IF(INDIRECT("W983")="Clássico","12.5%",IF(INDIRECT("W983")="Premium","17.5%","-"))</f>
      </c>
      <c r="Y983" s="113" t="s">
        <v>3436</v>
      </c>
    </row>
    <row r="984" ht="50.0" customHeight="true">
      <c r="A984" s="113" t="s">
        <v>3173</v>
      </c>
      <c r="B984" s="113" t="s">
        <v>3437</v>
      </c>
      <c r="C984" s="113" t="s">
        <v>3438</v>
      </c>
      <c r="D984" s="113"/>
      <c r="E984" s="114" t="s">
        <v>3176</v>
      </c>
      <c r="F984" s="113" t="s">
        <v>3177</v>
      </c>
      <c r="G984" s="113" t="s">
        <v>3178</v>
      </c>
      <c r="H984" s="113" t="s">
        <v>103</v>
      </c>
      <c r="I984" s="115" t="n">
        <v>55.99</v>
      </c>
      <c r="J984" s="115" t="s">
        <v>80</v>
      </c>
      <c r="K984" s="115" t="s">
        <v>81</v>
      </c>
      <c r="L984" s="115" t="n">
        <v>50.9</v>
      </c>
      <c r="M984" s="115" t="n">
        <v>3.0</v>
      </c>
      <c r="N984" s="115"/>
      <c r="O984" s="115"/>
      <c r="P984" s="115"/>
      <c r="Q984" s="115"/>
      <c r="R984" s="115"/>
      <c r="S984" s="115"/>
      <c r="T984" s="115"/>
      <c r="U984" s="115"/>
      <c r="V984" s="115" t="s">
        <v>91</v>
      </c>
      <c r="W984" s="115" t="s">
        <v>83</v>
      </c>
      <c r="X984" s="113">
        <f>IF(INDIRECT("W984")="Clássico","12.5%",IF(INDIRECT("W984")="Premium","17.5%","-"))</f>
      </c>
      <c r="Y984" s="113" t="s">
        <v>3172</v>
      </c>
    </row>
    <row r="985" ht="50.0" customHeight="true">
      <c r="A985" s="113" t="s">
        <v>3439</v>
      </c>
      <c r="B985" s="113" t="s">
        <v>3440</v>
      </c>
      <c r="C985" s="113" t="s">
        <v>3441</v>
      </c>
      <c r="D985" s="113"/>
      <c r="E985" s="114" t="s">
        <v>3216</v>
      </c>
      <c r="F985" s="113" t="s">
        <v>3442</v>
      </c>
      <c r="G985" s="113" t="s">
        <v>3442</v>
      </c>
      <c r="H985" s="113" t="s">
        <v>103</v>
      </c>
      <c r="I985" s="115" t="n">
        <v>113.29</v>
      </c>
      <c r="J985" s="115" t="s">
        <v>80</v>
      </c>
      <c r="K985" s="115" t="s">
        <v>81</v>
      </c>
      <c r="L985" s="115" t="n">
        <v>108.17</v>
      </c>
      <c r="M985" s="115" t="n">
        <v>3.0</v>
      </c>
      <c r="N985" s="115"/>
      <c r="O985" s="115"/>
      <c r="P985" s="115"/>
      <c r="Q985" s="115"/>
      <c r="R985" s="115"/>
      <c r="S985" s="115"/>
      <c r="T985" s="115"/>
      <c r="U985" s="115"/>
      <c r="V985" s="115" t="s">
        <v>82</v>
      </c>
      <c r="W985" s="115" t="s">
        <v>83</v>
      </c>
      <c r="X985" s="113">
        <f>IF(INDIRECT("W985")="Clássico","12%",IF(INDIRECT("W985")="Premium","17%","-"))</f>
      </c>
      <c r="Y985" s="113" t="s">
        <v>100</v>
      </c>
    </row>
    <row r="986" ht="50.0" customHeight="true">
      <c r="A986" s="113" t="s">
        <v>3443</v>
      </c>
      <c r="B986" s="113" t="s">
        <v>3444</v>
      </c>
      <c r="C986" s="113" t="s">
        <v>3445</v>
      </c>
      <c r="D986" s="113"/>
      <c r="E986" s="114" t="s">
        <v>3413</v>
      </c>
      <c r="F986" s="113" t="s">
        <v>3446</v>
      </c>
      <c r="G986" s="113" t="s">
        <v>3446</v>
      </c>
      <c r="H986" s="113" t="s">
        <v>103</v>
      </c>
      <c r="I986" s="115" t="n">
        <v>255.57</v>
      </c>
      <c r="J986" s="115" t="s">
        <v>80</v>
      </c>
      <c r="K986" s="115" t="s">
        <v>81</v>
      </c>
      <c r="L986" s="115" t="n">
        <v>196.9</v>
      </c>
      <c r="M986" s="115" t="n">
        <v>3.0</v>
      </c>
      <c r="N986" s="115"/>
      <c r="O986" s="115"/>
      <c r="P986" s="115"/>
      <c r="Q986" s="115"/>
      <c r="R986" s="115"/>
      <c r="S986" s="115"/>
      <c r="T986" s="115"/>
      <c r="U986" s="115"/>
      <c r="V986" s="115" t="s">
        <v>82</v>
      </c>
      <c r="W986" s="115" t="s">
        <v>83</v>
      </c>
      <c r="X986" s="113">
        <f>IF(INDIRECT("W986")="Clássico","12%",IF(INDIRECT("W986")="Premium","17%","-"))</f>
      </c>
      <c r="Y986" s="113" t="s">
        <v>121</v>
      </c>
    </row>
    <row r="987" ht="50.0" customHeight="true">
      <c r="A987" s="113" t="s">
        <v>3447</v>
      </c>
      <c r="B987" s="113" t="s">
        <v>3448</v>
      </c>
      <c r="C987" s="113" t="s">
        <v>3449</v>
      </c>
      <c r="D987" s="113"/>
      <c r="E987" s="114" t="s">
        <v>3407</v>
      </c>
      <c r="F987" s="113" t="s">
        <v>3450</v>
      </c>
      <c r="G987" s="113" t="s">
        <v>3409</v>
      </c>
      <c r="H987" s="113" t="s">
        <v>103</v>
      </c>
      <c r="I987" s="115" t="n">
        <v>1041.77</v>
      </c>
      <c r="J987" s="115" t="s">
        <v>80</v>
      </c>
      <c r="K987" s="115" t="s">
        <v>81</v>
      </c>
      <c r="L987" s="115" t="n">
        <v>1036.77</v>
      </c>
      <c r="M987" s="115" t="n">
        <v>3.0</v>
      </c>
      <c r="N987" s="115"/>
      <c r="O987" s="115"/>
      <c r="P987" s="115"/>
      <c r="Q987" s="115"/>
      <c r="R987" s="115"/>
      <c r="S987" s="115"/>
      <c r="T987" s="115"/>
      <c r="U987" s="115"/>
      <c r="V987" s="115" t="s">
        <v>82</v>
      </c>
      <c r="W987" s="115" t="s">
        <v>83</v>
      </c>
      <c r="X987" s="113">
        <f>IF(INDIRECT("W987")="Clássico","12%",IF(INDIRECT("W987")="Premium","17%","-"))</f>
      </c>
      <c r="Y987" s="113" t="s">
        <v>551</v>
      </c>
    </row>
    <row r="988" ht="50.0" customHeight="true">
      <c r="A988" s="113" t="s">
        <v>22</v>
      </c>
      <c r="B988" s="113" t="s">
        <v>3451</v>
      </c>
      <c r="C988" s="113"/>
      <c r="D988" s="113"/>
      <c r="E988" s="113" t="s">
        <v>3452</v>
      </c>
      <c r="F988" s="113" t="s">
        <v>3453</v>
      </c>
      <c r="G988" s="113" t="s">
        <v>103</v>
      </c>
      <c r="H988" s="113" t="s">
        <v>103</v>
      </c>
      <c r="I988" s="115" t="n">
        <v>275.83</v>
      </c>
      <c r="J988" s="115" t="s">
        <v>80</v>
      </c>
      <c r="K988" s="113" t="s">
        <v>81</v>
      </c>
      <c r="L988" s="115" t="n">
        <v>196.72</v>
      </c>
      <c r="M988" s="115" t="n">
        <v>3.0</v>
      </c>
      <c r="N988" s="115"/>
      <c r="O988" s="115"/>
      <c r="P988" s="115"/>
      <c r="Q988" s="115"/>
      <c r="R988" s="115"/>
      <c r="S988" s="115"/>
      <c r="T988" s="115"/>
      <c r="U988" s="115"/>
      <c r="V988" s="115" t="s">
        <v>82</v>
      </c>
      <c r="W988" s="115" t="s">
        <v>83</v>
      </c>
      <c r="X988" s="113">
        <f>IF(INDIRECT("W988")="Clássico","12%",IF(INDIRECT("W988")="Premium","17%","-"))</f>
      </c>
      <c r="Y988" s="113" t="s">
        <v>3454</v>
      </c>
    </row>
    <row r="989" ht="50.0" customHeight="true">
      <c r="A989" s="113" t="s">
        <v>22</v>
      </c>
      <c r="B989" s="113" t="s">
        <v>3451</v>
      </c>
      <c r="C989" s="113" t="s">
        <v>3455</v>
      </c>
      <c r="D989" s="113" t="s">
        <v>3455</v>
      </c>
      <c r="E989" s="114" t="s">
        <v>3456</v>
      </c>
      <c r="F989" s="116">
        <f>"     "&amp;F988</f>
      </c>
      <c r="G989" s="113" t="s">
        <v>3457</v>
      </c>
      <c r="H989" s="113" t="s">
        <v>103</v>
      </c>
      <c r="I989" s="113">
        <f>I988</f>
      </c>
      <c r="J989" s="113">
        <f>J988&amp;"     "</f>
      </c>
      <c r="K989" s="113" t="s">
        <v>81</v>
      </c>
      <c r="L989" s="113">
        <f>L988</f>
      </c>
      <c r="M989" s="113">
        <f>M988</f>
      </c>
      <c r="N989" s="113">
        <f>N988</f>
      </c>
      <c r="O989" s="113">
        <f>O988</f>
      </c>
      <c r="P989" s="113">
        <f>P988</f>
      </c>
      <c r="Q989" s="113">
        <f>Q988</f>
      </c>
      <c r="R989" s="113">
        <f>R988</f>
      </c>
      <c r="S989" s="113">
        <f>S988</f>
      </c>
      <c r="T989" s="113">
        <f>T988</f>
      </c>
      <c r="U989" s="113">
        <f>U988</f>
      </c>
      <c r="V989" s="113">
        <f>V988&amp;"     "</f>
      </c>
      <c r="W989" s="113">
        <f>W988&amp;"     "</f>
      </c>
      <c r="X989" s="113">
        <f>X988</f>
      </c>
      <c r="Y989" s="113" t="s">
        <v>3454</v>
      </c>
    </row>
    <row r="990" ht="50.0" customHeight="true">
      <c r="A990" s="113" t="s">
        <v>22</v>
      </c>
      <c r="B990" s="113" t="s">
        <v>3451</v>
      </c>
      <c r="C990" s="113" t="s">
        <v>3458</v>
      </c>
      <c r="D990" s="113" t="s">
        <v>3458</v>
      </c>
      <c r="E990" s="114" t="s">
        <v>3459</v>
      </c>
      <c r="F990" s="116">
        <f>"     "&amp;F988</f>
      </c>
      <c r="G990" s="113" t="s">
        <v>3460</v>
      </c>
      <c r="H990" s="113" t="s">
        <v>103</v>
      </c>
      <c r="I990" s="113">
        <f>I988</f>
      </c>
      <c r="J990" s="113">
        <f>J988&amp;"     "</f>
      </c>
      <c r="K990" s="113" t="s">
        <v>81</v>
      </c>
      <c r="L990" s="113">
        <f>L988</f>
      </c>
      <c r="M990" s="113">
        <f>M988</f>
      </c>
      <c r="N990" s="113">
        <f>N988</f>
      </c>
      <c r="O990" s="113">
        <f>O988</f>
      </c>
      <c r="P990" s="113">
        <f>P988</f>
      </c>
      <c r="Q990" s="113">
        <f>Q988</f>
      </c>
      <c r="R990" s="113">
        <f>R988</f>
      </c>
      <c r="S990" s="113">
        <f>S988</f>
      </c>
      <c r="T990" s="113">
        <f>T988</f>
      </c>
      <c r="U990" s="113">
        <f>U988</f>
      </c>
      <c r="V990" s="113">
        <f>V988&amp;"     "</f>
      </c>
      <c r="W990" s="113">
        <f>W988&amp;"     "</f>
      </c>
      <c r="X990" s="113">
        <f>X988</f>
      </c>
      <c r="Y990" s="113" t="s">
        <v>3454</v>
      </c>
    </row>
    <row r="991" ht="50.0" customHeight="true">
      <c r="A991" s="113" t="s">
        <v>3461</v>
      </c>
      <c r="B991" s="113" t="s">
        <v>3462</v>
      </c>
      <c r="C991" s="113" t="s">
        <v>3463</v>
      </c>
      <c r="D991" s="113"/>
      <c r="E991" s="114" t="s">
        <v>3464</v>
      </c>
      <c r="F991" s="113" t="s">
        <v>3465</v>
      </c>
      <c r="G991" s="113" t="s">
        <v>127</v>
      </c>
      <c r="H991" s="113" t="s">
        <v>103</v>
      </c>
      <c r="I991" s="115" t="n">
        <v>250.51</v>
      </c>
      <c r="J991" s="115" t="s">
        <v>80</v>
      </c>
      <c r="K991" s="115" t="s">
        <v>81</v>
      </c>
      <c r="L991" s="115" t="n">
        <v>245.51</v>
      </c>
      <c r="M991" s="115" t="n">
        <v>3.0</v>
      </c>
      <c r="N991" s="115"/>
      <c r="O991" s="115"/>
      <c r="P991" s="115"/>
      <c r="Q991" s="115"/>
      <c r="R991" s="115"/>
      <c r="S991" s="115"/>
      <c r="T991" s="115"/>
      <c r="U991" s="115"/>
      <c r="V991" s="115" t="s">
        <v>82</v>
      </c>
      <c r="W991" s="115" t="s">
        <v>92</v>
      </c>
      <c r="X991" s="113">
        <f>IF(INDIRECT("W991")="Clássico","12%",IF(INDIRECT("W991")="Premium","17%","-"))</f>
      </c>
      <c r="Y991" s="113" t="s">
        <v>423</v>
      </c>
    </row>
    <row r="992" ht="50.0" customHeight="true">
      <c r="A992" s="113" t="s">
        <v>3466</v>
      </c>
      <c r="B992" s="113" t="s">
        <v>3467</v>
      </c>
      <c r="C992" s="113" t="s">
        <v>3468</v>
      </c>
      <c r="D992" s="113"/>
      <c r="E992" s="114" t="s">
        <v>3290</v>
      </c>
      <c r="F992" s="113" t="s">
        <v>3469</v>
      </c>
      <c r="G992" s="113" t="s">
        <v>3469</v>
      </c>
      <c r="H992" s="113" t="s">
        <v>103</v>
      </c>
      <c r="I992" s="115" t="n">
        <v>83.42</v>
      </c>
      <c r="J992" s="115" t="s">
        <v>80</v>
      </c>
      <c r="K992" s="115" t="s">
        <v>81</v>
      </c>
      <c r="L992" s="115" t="n">
        <v>78.42</v>
      </c>
      <c r="M992" s="115" t="n">
        <v>3.0</v>
      </c>
      <c r="N992" s="115"/>
      <c r="O992" s="115"/>
      <c r="P992" s="115"/>
      <c r="Q992" s="115"/>
      <c r="R992" s="115"/>
      <c r="S992" s="115"/>
      <c r="T992" s="115"/>
      <c r="U992" s="115"/>
      <c r="V992" s="115" t="s">
        <v>82</v>
      </c>
      <c r="W992" s="115" t="s">
        <v>83</v>
      </c>
      <c r="X992" s="113">
        <f>IF(INDIRECT("W992")="Clássico","12%",IF(INDIRECT("W992")="Premium","17%","-"))</f>
      </c>
      <c r="Y992" s="113" t="s">
        <v>3470</v>
      </c>
    </row>
    <row r="993" ht="50.0" customHeight="true">
      <c r="A993" s="113" t="s">
        <v>22</v>
      </c>
      <c r="B993" s="113" t="s">
        <v>3471</v>
      </c>
      <c r="C993" s="113"/>
      <c r="D993" s="113"/>
      <c r="E993" s="113" t="s">
        <v>22</v>
      </c>
      <c r="F993" s="113" t="s">
        <v>3472</v>
      </c>
      <c r="G993" s="113" t="s">
        <v>103</v>
      </c>
      <c r="H993" s="113" t="s">
        <v>103</v>
      </c>
      <c r="I993" s="115" t="n">
        <v>401.26</v>
      </c>
      <c r="J993" s="115" t="s">
        <v>80</v>
      </c>
      <c r="K993" s="113" t="s">
        <v>81</v>
      </c>
      <c r="L993" s="115" t="n">
        <v>396.26</v>
      </c>
      <c r="M993" s="115" t="n">
        <v>3.0</v>
      </c>
      <c r="N993" s="115"/>
      <c r="O993" s="115"/>
      <c r="P993" s="115"/>
      <c r="Q993" s="115"/>
      <c r="R993" s="115"/>
      <c r="S993" s="115"/>
      <c r="T993" s="115"/>
      <c r="U993" s="115"/>
      <c r="V993" s="115" t="s">
        <v>82</v>
      </c>
      <c r="W993" s="115" t="s">
        <v>92</v>
      </c>
      <c r="X993" s="113">
        <f>IF(INDIRECT("W993")="Clássico","11.5%",IF(INDIRECT("W993")="Premium","16.5%","-"))</f>
      </c>
      <c r="Y993" s="113" t="s">
        <v>684</v>
      </c>
    </row>
    <row r="994" ht="50.0" customHeight="true">
      <c r="A994" s="113" t="s">
        <v>22</v>
      </c>
      <c r="B994" s="113" t="s">
        <v>3471</v>
      </c>
      <c r="C994" s="113" t="s">
        <v>3473</v>
      </c>
      <c r="D994" s="113" t="s">
        <v>3473</v>
      </c>
      <c r="E994" s="114" t="s">
        <v>3392</v>
      </c>
      <c r="F994" s="116">
        <f>"     "&amp;F993</f>
      </c>
      <c r="G994" s="113" t="s">
        <v>690</v>
      </c>
      <c r="H994" s="113" t="s">
        <v>103</v>
      </c>
      <c r="I994" s="113">
        <f>I993</f>
      </c>
      <c r="J994" s="113">
        <f>J993&amp;"     "</f>
      </c>
      <c r="K994" s="113" t="s">
        <v>81</v>
      </c>
      <c r="L994" s="113">
        <f>L993</f>
      </c>
      <c r="M994" s="113">
        <f>M993</f>
      </c>
      <c r="N994" s="113">
        <f>N993</f>
      </c>
      <c r="O994" s="113">
        <f>O993</f>
      </c>
      <c r="P994" s="113">
        <f>P993</f>
      </c>
      <c r="Q994" s="113">
        <f>Q993</f>
      </c>
      <c r="R994" s="113">
        <f>R993</f>
      </c>
      <c r="S994" s="113">
        <f>S993</f>
      </c>
      <c r="T994" s="113">
        <f>T993</f>
      </c>
      <c r="U994" s="113">
        <f>U993</f>
      </c>
      <c r="V994" s="113">
        <f>V993&amp;"     "</f>
      </c>
      <c r="W994" s="113">
        <f>W993&amp;"     "</f>
      </c>
      <c r="X994" s="113">
        <f>X993</f>
      </c>
      <c r="Y994" s="113" t="s">
        <v>684</v>
      </c>
    </row>
    <row r="995" ht="50.0" customHeight="true">
      <c r="A995" s="113" t="s">
        <v>22</v>
      </c>
      <c r="B995" s="113" t="s">
        <v>3471</v>
      </c>
      <c r="C995" s="113" t="s">
        <v>3474</v>
      </c>
      <c r="D995" s="113" t="s">
        <v>3474</v>
      </c>
      <c r="E995" s="114" t="s">
        <v>3394</v>
      </c>
      <c r="F995" s="116">
        <f>"     "&amp;F993</f>
      </c>
      <c r="G995" s="113" t="s">
        <v>687</v>
      </c>
      <c r="H995" s="113" t="s">
        <v>103</v>
      </c>
      <c r="I995" s="113">
        <f>I993</f>
      </c>
      <c r="J995" s="113">
        <f>J993&amp;"     "</f>
      </c>
      <c r="K995" s="113" t="s">
        <v>81</v>
      </c>
      <c r="L995" s="113">
        <f>L993</f>
      </c>
      <c r="M995" s="113">
        <f>M993</f>
      </c>
      <c r="N995" s="113">
        <f>N993</f>
      </c>
      <c r="O995" s="113">
        <f>O993</f>
      </c>
      <c r="P995" s="113">
        <f>P993</f>
      </c>
      <c r="Q995" s="113">
        <f>Q993</f>
      </c>
      <c r="R995" s="113">
        <f>R993</f>
      </c>
      <c r="S995" s="113">
        <f>S993</f>
      </c>
      <c r="T995" s="113">
        <f>T993</f>
      </c>
      <c r="U995" s="113">
        <f>U993</f>
      </c>
      <c r="V995" s="113">
        <f>V993&amp;"     "</f>
      </c>
      <c r="W995" s="113">
        <f>W993&amp;"     "</f>
      </c>
      <c r="X995" s="113">
        <f>X993</f>
      </c>
      <c r="Y995" s="113" t="s">
        <v>684</v>
      </c>
    </row>
    <row r="996" ht="50.0" customHeight="true">
      <c r="A996" s="113" t="s">
        <v>3475</v>
      </c>
      <c r="B996" s="113" t="s">
        <v>3476</v>
      </c>
      <c r="C996" s="113" t="s">
        <v>3477</v>
      </c>
      <c r="D996" s="113"/>
      <c r="E996" s="114" t="s">
        <v>3176</v>
      </c>
      <c r="F996" s="113" t="s">
        <v>3478</v>
      </c>
      <c r="G996" s="113" t="s">
        <v>3178</v>
      </c>
      <c r="H996" s="113" t="s">
        <v>103</v>
      </c>
      <c r="I996" s="115" t="n">
        <v>66.96</v>
      </c>
      <c r="J996" s="115" t="s">
        <v>80</v>
      </c>
      <c r="K996" s="115" t="s">
        <v>81</v>
      </c>
      <c r="L996" s="115" t="n">
        <v>61.96</v>
      </c>
      <c r="M996" s="115" t="n">
        <v>3.0</v>
      </c>
      <c r="N996" s="115"/>
      <c r="O996" s="115"/>
      <c r="P996" s="115"/>
      <c r="Q996" s="115"/>
      <c r="R996" s="115"/>
      <c r="S996" s="115"/>
      <c r="T996" s="115"/>
      <c r="U996" s="115"/>
      <c r="V996" s="115" t="s">
        <v>91</v>
      </c>
      <c r="W996" s="115" t="s">
        <v>92</v>
      </c>
      <c r="X996" s="113">
        <f>IF(INDIRECT("W996")="Clássico","12.5%",IF(INDIRECT("W996")="Premium","17.5%","-"))</f>
      </c>
      <c r="Y996" s="113" t="s">
        <v>3172</v>
      </c>
    </row>
    <row r="997" ht="50.0" customHeight="true">
      <c r="A997" s="113" t="s">
        <v>3479</v>
      </c>
      <c r="B997" s="113" t="s">
        <v>3480</v>
      </c>
      <c r="C997" s="113" t="s">
        <v>3481</v>
      </c>
      <c r="D997" s="113"/>
      <c r="E997" s="114" t="s">
        <v>3482</v>
      </c>
      <c r="F997" s="113" t="s">
        <v>3483</v>
      </c>
      <c r="G997" s="113" t="s">
        <v>3483</v>
      </c>
      <c r="H997" s="113" t="s">
        <v>103</v>
      </c>
      <c r="I997" s="115" t="n">
        <v>758.0</v>
      </c>
      <c r="J997" s="115" t="s">
        <v>80</v>
      </c>
      <c r="K997" s="115" t="s">
        <v>81</v>
      </c>
      <c r="L997" s="115" t="n">
        <v>753.0</v>
      </c>
      <c r="M997" s="115" t="n">
        <v>3.0</v>
      </c>
      <c r="N997" s="115"/>
      <c r="O997" s="115"/>
      <c r="P997" s="115"/>
      <c r="Q997" s="115"/>
      <c r="R997" s="115"/>
      <c r="S997" s="115"/>
      <c r="T997" s="115"/>
      <c r="U997" s="115"/>
      <c r="V997" s="115" t="s">
        <v>82</v>
      </c>
      <c r="W997" s="115" t="s">
        <v>92</v>
      </c>
      <c r="X997" s="113">
        <f>IF(INDIRECT("W997")="Clássico","12%",IF(INDIRECT("W997")="Premium","17%","-"))</f>
      </c>
      <c r="Y997" s="113" t="s">
        <v>3484</v>
      </c>
    </row>
    <row r="998" ht="50.0" customHeight="true">
      <c r="A998" s="113" t="s">
        <v>3485</v>
      </c>
      <c r="B998" s="113" t="s">
        <v>3486</v>
      </c>
      <c r="C998" s="113" t="s">
        <v>3487</v>
      </c>
      <c r="D998" s="113"/>
      <c r="E998" s="114" t="s">
        <v>3358</v>
      </c>
      <c r="F998" s="113" t="s">
        <v>3488</v>
      </c>
      <c r="G998" s="113" t="s">
        <v>3488</v>
      </c>
      <c r="H998" s="113" t="s">
        <v>103</v>
      </c>
      <c r="I998" s="115" t="n">
        <v>597.5</v>
      </c>
      <c r="J998" s="115" t="s">
        <v>80</v>
      </c>
      <c r="K998" s="115" t="s">
        <v>81</v>
      </c>
      <c r="L998" s="115" t="n">
        <v>592.5</v>
      </c>
      <c r="M998" s="115" t="n">
        <v>3.0</v>
      </c>
      <c r="N998" s="115"/>
      <c r="O998" s="115"/>
      <c r="P998" s="115"/>
      <c r="Q998" s="115"/>
      <c r="R998" s="115"/>
      <c r="S998" s="115"/>
      <c r="T998" s="115"/>
      <c r="U998" s="115"/>
      <c r="V998" s="115" t="s">
        <v>82</v>
      </c>
      <c r="W998" s="115" t="s">
        <v>83</v>
      </c>
      <c r="X998" s="113">
        <f>IF(INDIRECT("W998")="Clássico","11.5%",IF(INDIRECT("W998")="Premium","16.5%","-"))</f>
      </c>
      <c r="Y998" s="113" t="s">
        <v>684</v>
      </c>
    </row>
    <row r="999" ht="50.0" customHeight="true">
      <c r="A999" s="113" t="s">
        <v>3489</v>
      </c>
      <c r="B999" s="113" t="s">
        <v>3490</v>
      </c>
      <c r="C999" s="113" t="s">
        <v>3491</v>
      </c>
      <c r="D999" s="113"/>
      <c r="E999" s="114" t="s">
        <v>3492</v>
      </c>
      <c r="F999" s="113" t="s">
        <v>3493</v>
      </c>
      <c r="G999" s="113" t="s">
        <v>3493</v>
      </c>
      <c r="H999" s="113" t="s">
        <v>103</v>
      </c>
      <c r="I999" s="115" t="n">
        <v>173.29</v>
      </c>
      <c r="J999" s="115" t="s">
        <v>80</v>
      </c>
      <c r="K999" s="115" t="s">
        <v>81</v>
      </c>
      <c r="L999" s="115" t="n">
        <v>168.29</v>
      </c>
      <c r="M999" s="115" t="n">
        <v>3.0</v>
      </c>
      <c r="N999" s="115"/>
      <c r="O999" s="115"/>
      <c r="P999" s="115"/>
      <c r="Q999" s="115"/>
      <c r="R999" s="115"/>
      <c r="S999" s="115"/>
      <c r="T999" s="115"/>
      <c r="U999" s="115"/>
      <c r="V999" s="115" t="s">
        <v>82</v>
      </c>
      <c r="W999" s="115" t="s">
        <v>92</v>
      </c>
      <c r="X999" s="113">
        <f>IF(INDIRECT("W999")="Clássico","12%",IF(INDIRECT("W999")="Premium","17%","-"))</f>
      </c>
      <c r="Y999" s="113" t="s">
        <v>200</v>
      </c>
    </row>
    <row r="1000" ht="50.0" customHeight="true">
      <c r="A1000" s="113" t="s">
        <v>3494</v>
      </c>
      <c r="B1000" s="113" t="s">
        <v>3495</v>
      </c>
      <c r="C1000" s="113" t="s">
        <v>3496</v>
      </c>
      <c r="D1000" s="113"/>
      <c r="E1000" s="114" t="s">
        <v>3497</v>
      </c>
      <c r="F1000" s="113" t="s">
        <v>3498</v>
      </c>
      <c r="G1000" s="113" t="s">
        <v>3498</v>
      </c>
      <c r="H1000" s="113" t="s">
        <v>103</v>
      </c>
      <c r="I1000" s="115" t="n">
        <v>483.13</v>
      </c>
      <c r="J1000" s="115" t="s">
        <v>80</v>
      </c>
      <c r="K1000" s="115" t="s">
        <v>81</v>
      </c>
      <c r="L1000" s="115" t="n">
        <v>478.13</v>
      </c>
      <c r="M1000" s="115" t="n">
        <v>3.0</v>
      </c>
      <c r="N1000" s="115"/>
      <c r="O1000" s="115"/>
      <c r="P1000" s="115"/>
      <c r="Q1000" s="115"/>
      <c r="R1000" s="115"/>
      <c r="S1000" s="115"/>
      <c r="T1000" s="115"/>
      <c r="U1000" s="115"/>
      <c r="V1000" s="115" t="s">
        <v>82</v>
      </c>
      <c r="W1000" s="115" t="s">
        <v>83</v>
      </c>
      <c r="X1000" s="113">
        <f>IF(INDIRECT("W1000")="Clássico","12%",IF(INDIRECT("W1000")="Premium","17%","-"))</f>
      </c>
      <c r="Y1000" s="113" t="s">
        <v>3499</v>
      </c>
    </row>
    <row r="1001" ht="50.0" customHeight="true">
      <c r="A1001" s="113" t="s">
        <v>3500</v>
      </c>
      <c r="B1001" s="113" t="s">
        <v>3501</v>
      </c>
      <c r="C1001" s="113" t="s">
        <v>3502</v>
      </c>
      <c r="D1001" s="113"/>
      <c r="E1001" s="114" t="s">
        <v>3503</v>
      </c>
      <c r="F1001" s="113" t="s">
        <v>3504</v>
      </c>
      <c r="G1001" s="113" t="s">
        <v>3504</v>
      </c>
      <c r="H1001" s="113" t="s">
        <v>103</v>
      </c>
      <c r="I1001" s="115" t="n">
        <v>402.41</v>
      </c>
      <c r="J1001" s="115" t="s">
        <v>80</v>
      </c>
      <c r="K1001" s="115" t="s">
        <v>81</v>
      </c>
      <c r="L1001" s="115" t="n">
        <v>397.41</v>
      </c>
      <c r="M1001" s="115" t="n">
        <v>3.0</v>
      </c>
      <c r="N1001" s="115"/>
      <c r="O1001" s="115"/>
      <c r="P1001" s="115"/>
      <c r="Q1001" s="115"/>
      <c r="R1001" s="115"/>
      <c r="S1001" s="115"/>
      <c r="T1001" s="115"/>
      <c r="U1001" s="115"/>
      <c r="V1001" s="115" t="s">
        <v>82</v>
      </c>
      <c r="W1001" s="115" t="s">
        <v>83</v>
      </c>
      <c r="X1001" s="113">
        <f>IF(INDIRECT("W1001")="Clássico","12%",IF(INDIRECT("W1001")="Premium","17%","-"))</f>
      </c>
      <c r="Y1001" s="113" t="s">
        <v>551</v>
      </c>
    </row>
    <row r="1002" ht="50.0" customHeight="true">
      <c r="A1002" s="113" t="s">
        <v>3505</v>
      </c>
      <c r="B1002" s="113" t="s">
        <v>3506</v>
      </c>
      <c r="C1002" s="113" t="s">
        <v>3507</v>
      </c>
      <c r="D1002" s="113"/>
      <c r="E1002" s="114" t="s">
        <v>3508</v>
      </c>
      <c r="F1002" s="113" t="s">
        <v>3509</v>
      </c>
      <c r="G1002" s="113" t="s">
        <v>3509</v>
      </c>
      <c r="H1002" s="113" t="s">
        <v>103</v>
      </c>
      <c r="I1002" s="115" t="n">
        <v>83.42</v>
      </c>
      <c r="J1002" s="115" t="s">
        <v>80</v>
      </c>
      <c r="K1002" s="115" t="s">
        <v>81</v>
      </c>
      <c r="L1002" s="115" t="n">
        <v>78.42</v>
      </c>
      <c r="M1002" s="115" t="n">
        <v>3.0</v>
      </c>
      <c r="N1002" s="115"/>
      <c r="O1002" s="115"/>
      <c r="P1002" s="115"/>
      <c r="Q1002" s="115"/>
      <c r="R1002" s="115"/>
      <c r="S1002" s="115"/>
      <c r="T1002" s="115"/>
      <c r="U1002" s="115"/>
      <c r="V1002" s="115" t="s">
        <v>91</v>
      </c>
      <c r="W1002" s="115" t="s">
        <v>92</v>
      </c>
      <c r="X1002" s="113">
        <f>IF(INDIRECT("W1002")="Clássico","12%",IF(INDIRECT("W1002")="Premium","17%","-"))</f>
      </c>
      <c r="Y1002" s="113" t="s">
        <v>3510</v>
      </c>
    </row>
    <row r="1003" ht="50.0" customHeight="true">
      <c r="A1003" s="113" t="s">
        <v>3511</v>
      </c>
      <c r="B1003" s="113" t="s">
        <v>3512</v>
      </c>
      <c r="C1003" s="113" t="s">
        <v>3513</v>
      </c>
      <c r="D1003" s="113"/>
      <c r="E1003" s="114" t="s">
        <v>3186</v>
      </c>
      <c r="F1003" s="113" t="s">
        <v>3514</v>
      </c>
      <c r="G1003" s="113" t="s">
        <v>3514</v>
      </c>
      <c r="H1003" s="113" t="s">
        <v>103</v>
      </c>
      <c r="I1003" s="115" t="n">
        <v>74.56</v>
      </c>
      <c r="J1003" s="115" t="s">
        <v>80</v>
      </c>
      <c r="K1003" s="115" t="s">
        <v>81</v>
      </c>
      <c r="L1003" s="115" t="n">
        <v>69.56</v>
      </c>
      <c r="M1003" s="115" t="n">
        <v>3.0</v>
      </c>
      <c r="N1003" s="115"/>
      <c r="O1003" s="115"/>
      <c r="P1003" s="115"/>
      <c r="Q1003" s="115"/>
      <c r="R1003" s="115"/>
      <c r="S1003" s="115"/>
      <c r="T1003" s="115"/>
      <c r="U1003" s="115"/>
      <c r="V1003" s="115" t="s">
        <v>91</v>
      </c>
      <c r="W1003" s="115" t="s">
        <v>83</v>
      </c>
      <c r="X1003" s="113">
        <f>IF(INDIRECT("W1003")="Clássico","12%",IF(INDIRECT("W1003")="Premium","17%","-"))</f>
      </c>
      <c r="Y1003" s="113" t="s">
        <v>3188</v>
      </c>
    </row>
    <row r="1004" ht="50.0" customHeight="true">
      <c r="A1004" s="113" t="s">
        <v>3515</v>
      </c>
      <c r="B1004" s="113" t="s">
        <v>3516</v>
      </c>
      <c r="C1004" s="113" t="s">
        <v>3517</v>
      </c>
      <c r="D1004" s="113"/>
      <c r="E1004" s="114" t="s">
        <v>3518</v>
      </c>
      <c r="F1004" s="113" t="s">
        <v>3519</v>
      </c>
      <c r="G1004" s="113" t="s">
        <v>3519</v>
      </c>
      <c r="H1004" s="113" t="s">
        <v>103</v>
      </c>
      <c r="I1004" s="115" t="n">
        <v>117.96</v>
      </c>
      <c r="J1004" s="115" t="s">
        <v>80</v>
      </c>
      <c r="K1004" s="115" t="s">
        <v>81</v>
      </c>
      <c r="L1004" s="115" t="n">
        <v>112.96</v>
      </c>
      <c r="M1004" s="115" t="n">
        <v>3.0</v>
      </c>
      <c r="N1004" s="115"/>
      <c r="O1004" s="115"/>
      <c r="P1004" s="115"/>
      <c r="Q1004" s="115"/>
      <c r="R1004" s="115"/>
      <c r="S1004" s="115"/>
      <c r="T1004" s="115"/>
      <c r="U1004" s="115"/>
      <c r="V1004" s="115" t="s">
        <v>82</v>
      </c>
      <c r="W1004" s="115" t="s">
        <v>83</v>
      </c>
      <c r="X1004" s="113">
        <f>IF(INDIRECT("W1004")="Clássico","12%",IF(INDIRECT("W1004")="Premium","17%","-"))</f>
      </c>
      <c r="Y1004" s="113" t="s">
        <v>3520</v>
      </c>
    </row>
    <row r="1005" ht="50.0" customHeight="true">
      <c r="A1005" s="113" t="s">
        <v>3521</v>
      </c>
      <c r="B1005" s="113" t="s">
        <v>3522</v>
      </c>
      <c r="C1005" s="113" t="s">
        <v>3523</v>
      </c>
      <c r="D1005" s="113"/>
      <c r="E1005" s="114" t="s">
        <v>3524</v>
      </c>
      <c r="F1005" s="113" t="s">
        <v>3525</v>
      </c>
      <c r="G1005" s="113" t="s">
        <v>3525</v>
      </c>
      <c r="H1005" s="113" t="s">
        <v>103</v>
      </c>
      <c r="I1005" s="115" t="n">
        <v>274.56</v>
      </c>
      <c r="J1005" s="115" t="s">
        <v>80</v>
      </c>
      <c r="K1005" s="115" t="s">
        <v>81</v>
      </c>
      <c r="L1005" s="115" t="n">
        <v>231.59</v>
      </c>
      <c r="M1005" s="115" t="n">
        <v>3.0</v>
      </c>
      <c r="N1005" s="115"/>
      <c r="O1005" s="115"/>
      <c r="P1005" s="115"/>
      <c r="Q1005" s="115"/>
      <c r="R1005" s="115"/>
      <c r="S1005" s="115"/>
      <c r="T1005" s="115"/>
      <c r="U1005" s="115"/>
      <c r="V1005" s="115" t="s">
        <v>82</v>
      </c>
      <c r="W1005" s="115" t="s">
        <v>83</v>
      </c>
      <c r="X1005" s="113">
        <f>IF(INDIRECT("W1005")="Clássico","12%",IF(INDIRECT("W1005")="Premium","17%","-"))</f>
      </c>
      <c r="Y1005" s="113" t="s">
        <v>482</v>
      </c>
    </row>
    <row r="1006" ht="50.0" customHeight="true">
      <c r="A1006" s="113" t="s">
        <v>3526</v>
      </c>
      <c r="B1006" s="113" t="s">
        <v>3527</v>
      </c>
      <c r="C1006" s="113" t="s">
        <v>3528</v>
      </c>
      <c r="D1006" s="113"/>
      <c r="E1006" s="114" t="s">
        <v>3529</v>
      </c>
      <c r="F1006" s="113" t="s">
        <v>3530</v>
      </c>
      <c r="G1006" s="113" t="s">
        <v>1140</v>
      </c>
      <c r="H1006" s="113" t="s">
        <v>103</v>
      </c>
      <c r="I1006" s="115" t="n">
        <v>134.79</v>
      </c>
      <c r="J1006" s="115" t="s">
        <v>80</v>
      </c>
      <c r="K1006" s="115" t="s">
        <v>81</v>
      </c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 t="s">
        <v>82</v>
      </c>
      <c r="W1006" s="115" t="s">
        <v>83</v>
      </c>
      <c r="X1006" s="113">
        <f>IF(INDIRECT("W1006")="Clássico","12%",IF(INDIRECT("W1006")="Premium","17%","-"))</f>
      </c>
      <c r="Y1006" s="113" t="s">
        <v>1048</v>
      </c>
    </row>
    <row r="1007" ht="50.0" customHeight="true">
      <c r="A1007" s="113" t="s">
        <v>3531</v>
      </c>
      <c r="B1007" s="113" t="s">
        <v>3532</v>
      </c>
      <c r="C1007" s="113" t="s">
        <v>3533</v>
      </c>
      <c r="D1007" s="113"/>
      <c r="E1007" s="114" t="s">
        <v>3534</v>
      </c>
      <c r="F1007" s="113" t="s">
        <v>3535</v>
      </c>
      <c r="G1007" s="113" t="s">
        <v>3535</v>
      </c>
      <c r="H1007" s="113" t="s">
        <v>103</v>
      </c>
      <c r="I1007" s="115" t="n">
        <v>254.31</v>
      </c>
      <c r="J1007" s="115" t="s">
        <v>80</v>
      </c>
      <c r="K1007" s="115" t="s">
        <v>81</v>
      </c>
      <c r="L1007" s="115" t="n">
        <v>280.95</v>
      </c>
      <c r="M1007" s="115" t="n">
        <v>3.0</v>
      </c>
      <c r="N1007" s="115"/>
      <c r="O1007" s="115"/>
      <c r="P1007" s="115"/>
      <c r="Q1007" s="115"/>
      <c r="R1007" s="115"/>
      <c r="S1007" s="115"/>
      <c r="T1007" s="115"/>
      <c r="U1007" s="115"/>
      <c r="V1007" s="115" t="s">
        <v>82</v>
      </c>
      <c r="W1007" s="115" t="s">
        <v>92</v>
      </c>
      <c r="X1007" s="113">
        <f>IF(INDIRECT("W1007")="Clássico","12%",IF(INDIRECT("W1007")="Premium","17%","-"))</f>
      </c>
      <c r="Y1007" s="113" t="s">
        <v>1674</v>
      </c>
    </row>
    <row r="1008" ht="50.0" customHeight="true">
      <c r="A1008" s="113" t="s">
        <v>3536</v>
      </c>
      <c r="B1008" s="113" t="s">
        <v>3537</v>
      </c>
      <c r="C1008" s="113" t="s">
        <v>3538</v>
      </c>
      <c r="D1008" s="113"/>
      <c r="E1008" s="114" t="s">
        <v>3407</v>
      </c>
      <c r="F1008" s="113" t="s">
        <v>3539</v>
      </c>
      <c r="G1008" s="113" t="s">
        <v>3409</v>
      </c>
      <c r="H1008" s="113" t="s">
        <v>103</v>
      </c>
      <c r="I1008" s="115" t="n">
        <v>1227.85</v>
      </c>
      <c r="J1008" s="115" t="s">
        <v>80</v>
      </c>
      <c r="K1008" s="115" t="s">
        <v>81</v>
      </c>
      <c r="L1008" s="115" t="n">
        <v>1222.85</v>
      </c>
      <c r="M1008" s="115" t="n">
        <v>3.0</v>
      </c>
      <c r="N1008" s="115"/>
      <c r="O1008" s="115"/>
      <c r="P1008" s="115"/>
      <c r="Q1008" s="115"/>
      <c r="R1008" s="115"/>
      <c r="S1008" s="115"/>
      <c r="T1008" s="115"/>
      <c r="U1008" s="115"/>
      <c r="V1008" s="115" t="s">
        <v>82</v>
      </c>
      <c r="W1008" s="115" t="s">
        <v>83</v>
      </c>
      <c r="X1008" s="113">
        <f>IF(INDIRECT("W1008")="Clássico","12%",IF(INDIRECT("W1008")="Premium","17%","-"))</f>
      </c>
      <c r="Y1008" s="113" t="s">
        <v>551</v>
      </c>
    </row>
    <row r="1009" ht="50.0" customHeight="true">
      <c r="A1009" s="113" t="s">
        <v>3540</v>
      </c>
      <c r="B1009" s="113" t="s">
        <v>3541</v>
      </c>
      <c r="C1009" s="113" t="s">
        <v>3542</v>
      </c>
      <c r="D1009" s="113"/>
      <c r="E1009" s="114" t="s">
        <v>3543</v>
      </c>
      <c r="F1009" s="113" t="s">
        <v>3544</v>
      </c>
      <c r="G1009" s="113" t="s">
        <v>3544</v>
      </c>
      <c r="H1009" s="113" t="s">
        <v>103</v>
      </c>
      <c r="I1009" s="115" t="n">
        <v>648.94</v>
      </c>
      <c r="J1009" s="115" t="s">
        <v>80</v>
      </c>
      <c r="K1009" s="115" t="s">
        <v>81</v>
      </c>
      <c r="L1009" s="115" t="n">
        <v>643.94</v>
      </c>
      <c r="M1009" s="115" t="n">
        <v>3.0</v>
      </c>
      <c r="N1009" s="115"/>
      <c r="O1009" s="115"/>
      <c r="P1009" s="115"/>
      <c r="Q1009" s="115"/>
      <c r="R1009" s="115"/>
      <c r="S1009" s="115"/>
      <c r="T1009" s="115"/>
      <c r="U1009" s="115"/>
      <c r="V1009" s="115" t="s">
        <v>82</v>
      </c>
      <c r="W1009" s="115" t="s">
        <v>92</v>
      </c>
      <c r="X1009" s="113">
        <f>IF(INDIRECT("W1009")="Clássico","12%",IF(INDIRECT("W1009")="Premium","17%","-"))</f>
      </c>
      <c r="Y1009" s="113" t="s">
        <v>245</v>
      </c>
    </row>
    <row r="1010" ht="50.0" customHeight="true">
      <c r="A1010" s="113" t="s">
        <v>3545</v>
      </c>
      <c r="B1010" s="113" t="s">
        <v>3546</v>
      </c>
      <c r="C1010" s="113" t="s">
        <v>3547</v>
      </c>
      <c r="D1010" s="113"/>
      <c r="E1010" s="114" t="s">
        <v>3548</v>
      </c>
      <c r="F1010" s="113" t="s">
        <v>3549</v>
      </c>
      <c r="G1010" s="113" t="s">
        <v>127</v>
      </c>
      <c r="H1010" s="113" t="s">
        <v>103</v>
      </c>
      <c r="I1010" s="115" t="n">
        <v>125.31</v>
      </c>
      <c r="J1010" s="115" t="s">
        <v>80</v>
      </c>
      <c r="K1010" s="115" t="s">
        <v>81</v>
      </c>
      <c r="L1010" s="115" t="n">
        <v>120.31</v>
      </c>
      <c r="M1010" s="115" t="n">
        <v>3.0</v>
      </c>
      <c r="N1010" s="115"/>
      <c r="O1010" s="115"/>
      <c r="P1010" s="115"/>
      <c r="Q1010" s="115"/>
      <c r="R1010" s="115"/>
      <c r="S1010" s="115"/>
      <c r="T1010" s="115"/>
      <c r="U1010" s="115"/>
      <c r="V1010" s="115" t="s">
        <v>82</v>
      </c>
      <c r="W1010" s="115" t="s">
        <v>83</v>
      </c>
      <c r="X1010" s="113">
        <f>IF(INDIRECT("W1010")="Clássico","12%",IF(INDIRECT("W1010")="Premium","17%","-"))</f>
      </c>
      <c r="Y1010" s="113" t="s">
        <v>128</v>
      </c>
    </row>
    <row r="1011" ht="50.0" customHeight="true">
      <c r="A1011" s="113" t="s">
        <v>22</v>
      </c>
      <c r="B1011" s="113" t="s">
        <v>3550</v>
      </c>
      <c r="C1011" s="113"/>
      <c r="D1011" s="113"/>
      <c r="E1011" s="113" t="s">
        <v>22</v>
      </c>
      <c r="F1011" s="113" t="s">
        <v>3551</v>
      </c>
      <c r="G1011" s="113" t="s">
        <v>103</v>
      </c>
      <c r="H1011" s="113" t="s">
        <v>103</v>
      </c>
      <c r="I1011" s="115" t="n">
        <v>138.75</v>
      </c>
      <c r="J1011" s="115" t="s">
        <v>80</v>
      </c>
      <c r="K1011" s="113" t="s">
        <v>81</v>
      </c>
      <c r="L1011" s="115" t="n">
        <v>133.75</v>
      </c>
      <c r="M1011" s="115" t="n">
        <v>3.0</v>
      </c>
      <c r="N1011" s="115"/>
      <c r="O1011" s="115"/>
      <c r="P1011" s="115"/>
      <c r="Q1011" s="115"/>
      <c r="R1011" s="115"/>
      <c r="S1011" s="115"/>
      <c r="T1011" s="115"/>
      <c r="U1011" s="115"/>
      <c r="V1011" s="115" t="s">
        <v>82</v>
      </c>
      <c r="W1011" s="115" t="s">
        <v>83</v>
      </c>
      <c r="X1011" s="113">
        <f>IF(INDIRECT("W1011")="Clássico","11.5%",IF(INDIRECT("W1011")="Premium","16.5%","-"))</f>
      </c>
      <c r="Y1011" s="113" t="s">
        <v>3552</v>
      </c>
    </row>
    <row r="1012" ht="50.0" customHeight="true">
      <c r="A1012" s="113" t="s">
        <v>22</v>
      </c>
      <c r="B1012" s="113" t="s">
        <v>3550</v>
      </c>
      <c r="C1012" s="113" t="s">
        <v>3553</v>
      </c>
      <c r="D1012" s="113" t="s">
        <v>3553</v>
      </c>
      <c r="E1012" s="114" t="s">
        <v>3554</v>
      </c>
      <c r="F1012" s="116">
        <f>"     "&amp;F1011</f>
      </c>
      <c r="G1012" s="113" t="s">
        <v>3555</v>
      </c>
      <c r="H1012" s="113" t="s">
        <v>103</v>
      </c>
      <c r="I1012" s="113">
        <f>I1011</f>
      </c>
      <c r="J1012" s="113">
        <f>J1011&amp;"     "</f>
      </c>
      <c r="K1012" s="113" t="s">
        <v>81</v>
      </c>
      <c r="L1012" s="113">
        <f>L1011</f>
      </c>
      <c r="M1012" s="113">
        <f>M1011</f>
      </c>
      <c r="N1012" s="113">
        <f>N1011</f>
      </c>
      <c r="O1012" s="113">
        <f>O1011</f>
      </c>
      <c r="P1012" s="113">
        <f>P1011</f>
      </c>
      <c r="Q1012" s="113">
        <f>Q1011</f>
      </c>
      <c r="R1012" s="113">
        <f>R1011</f>
      </c>
      <c r="S1012" s="113">
        <f>S1011</f>
      </c>
      <c r="T1012" s="113">
        <f>T1011</f>
      </c>
      <c r="U1012" s="113">
        <f>U1011</f>
      </c>
      <c r="V1012" s="113">
        <f>V1011&amp;"     "</f>
      </c>
      <c r="W1012" s="113">
        <f>W1011&amp;"     "</f>
      </c>
      <c r="X1012" s="113">
        <f>X1011</f>
      </c>
      <c r="Y1012" s="113" t="s">
        <v>3552</v>
      </c>
    </row>
    <row r="1013" ht="50.0" customHeight="true">
      <c r="A1013" s="113" t="s">
        <v>22</v>
      </c>
      <c r="B1013" s="113" t="s">
        <v>3550</v>
      </c>
      <c r="C1013" s="113" t="s">
        <v>3556</v>
      </c>
      <c r="D1013" s="113" t="s">
        <v>3556</v>
      </c>
      <c r="E1013" s="114" t="s">
        <v>3557</v>
      </c>
      <c r="F1013" s="116">
        <f>"     "&amp;F1011</f>
      </c>
      <c r="G1013" s="113" t="s">
        <v>3558</v>
      </c>
      <c r="H1013" s="113" t="s">
        <v>103</v>
      </c>
      <c r="I1013" s="113">
        <f>I1011</f>
      </c>
      <c r="J1013" s="113">
        <f>J1011&amp;"     "</f>
      </c>
      <c r="K1013" s="113" t="s">
        <v>81</v>
      </c>
      <c r="L1013" s="113">
        <f>L1011</f>
      </c>
      <c r="M1013" s="113">
        <f>M1011</f>
      </c>
      <c r="N1013" s="113">
        <f>N1011</f>
      </c>
      <c r="O1013" s="113">
        <f>O1011</f>
      </c>
      <c r="P1013" s="113">
        <f>P1011</f>
      </c>
      <c r="Q1013" s="113">
        <f>Q1011</f>
      </c>
      <c r="R1013" s="113">
        <f>R1011</f>
      </c>
      <c r="S1013" s="113">
        <f>S1011</f>
      </c>
      <c r="T1013" s="113">
        <f>T1011</f>
      </c>
      <c r="U1013" s="113">
        <f>U1011</f>
      </c>
      <c r="V1013" s="113">
        <f>V1011&amp;"     "</f>
      </c>
      <c r="W1013" s="113">
        <f>W1011&amp;"     "</f>
      </c>
      <c r="X1013" s="113">
        <f>X1011</f>
      </c>
      <c r="Y1013" s="113" t="s">
        <v>3552</v>
      </c>
    </row>
    <row r="1014" ht="50.0" customHeight="true">
      <c r="A1014" s="113" t="s">
        <v>3559</v>
      </c>
      <c r="B1014" s="113" t="s">
        <v>3560</v>
      </c>
      <c r="C1014" s="113" t="s">
        <v>3561</v>
      </c>
      <c r="D1014" s="113"/>
      <c r="E1014" s="114" t="s">
        <v>3562</v>
      </c>
      <c r="F1014" s="113" t="s">
        <v>3563</v>
      </c>
      <c r="G1014" s="113" t="s">
        <v>3563</v>
      </c>
      <c r="H1014" s="113" t="s">
        <v>103</v>
      </c>
      <c r="I1014" s="115" t="n">
        <v>455.58</v>
      </c>
      <c r="J1014" s="115" t="s">
        <v>80</v>
      </c>
      <c r="K1014" s="115" t="s">
        <v>81</v>
      </c>
      <c r="L1014" s="115" t="n">
        <v>450.58</v>
      </c>
      <c r="M1014" s="115" t="n">
        <v>3.0</v>
      </c>
      <c r="N1014" s="115"/>
      <c r="O1014" s="115"/>
      <c r="P1014" s="115"/>
      <c r="Q1014" s="115"/>
      <c r="R1014" s="115"/>
      <c r="S1014" s="115"/>
      <c r="T1014" s="115"/>
      <c r="U1014" s="115"/>
      <c r="V1014" s="115" t="s">
        <v>82</v>
      </c>
      <c r="W1014" s="115" t="s">
        <v>92</v>
      </c>
      <c r="X1014" s="113">
        <f>IF(INDIRECT("W1014")="Clássico","12%",IF(INDIRECT("W1014")="Premium","17%","-"))</f>
      </c>
      <c r="Y1014" s="113" t="s">
        <v>3564</v>
      </c>
    </row>
    <row r="1015" ht="50.0" customHeight="true">
      <c r="A1015" s="113" t="s">
        <v>3565</v>
      </c>
      <c r="B1015" s="113" t="s">
        <v>3566</v>
      </c>
      <c r="C1015" s="113" t="s">
        <v>3567</v>
      </c>
      <c r="D1015" s="113"/>
      <c r="E1015" s="114" t="s">
        <v>3492</v>
      </c>
      <c r="F1015" s="113" t="s">
        <v>3568</v>
      </c>
      <c r="G1015" s="113" t="s">
        <v>3568</v>
      </c>
      <c r="H1015" s="113" t="s">
        <v>103</v>
      </c>
      <c r="I1015" s="115" t="n">
        <v>179.62</v>
      </c>
      <c r="J1015" s="115" t="s">
        <v>80</v>
      </c>
      <c r="K1015" s="115" t="s">
        <v>81</v>
      </c>
      <c r="L1015" s="115" t="n">
        <v>174.62</v>
      </c>
      <c r="M1015" s="115" t="n">
        <v>3.0</v>
      </c>
      <c r="N1015" s="115"/>
      <c r="O1015" s="115"/>
      <c r="P1015" s="115"/>
      <c r="Q1015" s="115"/>
      <c r="R1015" s="115"/>
      <c r="S1015" s="115"/>
      <c r="T1015" s="115"/>
      <c r="U1015" s="115"/>
      <c r="V1015" s="115" t="s">
        <v>82</v>
      </c>
      <c r="W1015" s="115" t="s">
        <v>83</v>
      </c>
      <c r="X1015" s="113">
        <f>IF(INDIRECT("W1015")="Clássico","12%",IF(INDIRECT("W1015")="Premium","17%","-"))</f>
      </c>
      <c r="Y1015" s="113" t="s">
        <v>200</v>
      </c>
    </row>
    <row r="1016" ht="50.0" customHeight="true">
      <c r="A1016" s="113" t="s">
        <v>3162</v>
      </c>
      <c r="B1016" s="113" t="s">
        <v>3569</v>
      </c>
      <c r="C1016" s="113" t="s">
        <v>3570</v>
      </c>
      <c r="D1016" s="113"/>
      <c r="E1016" s="114" t="s">
        <v>3165</v>
      </c>
      <c r="F1016" s="113" t="s">
        <v>3166</v>
      </c>
      <c r="G1016" s="113" t="s">
        <v>3166</v>
      </c>
      <c r="H1016" s="113" t="s">
        <v>103</v>
      </c>
      <c r="I1016" s="115" t="n">
        <v>45.56</v>
      </c>
      <c r="J1016" s="115" t="s">
        <v>80</v>
      </c>
      <c r="K1016" s="115" t="s">
        <v>81</v>
      </c>
      <c r="L1016" s="115" t="n">
        <v>40.56</v>
      </c>
      <c r="M1016" s="115" t="n">
        <v>3.0</v>
      </c>
      <c r="N1016" s="115"/>
      <c r="O1016" s="115"/>
      <c r="P1016" s="115"/>
      <c r="Q1016" s="115"/>
      <c r="R1016" s="115"/>
      <c r="S1016" s="115"/>
      <c r="T1016" s="115"/>
      <c r="U1016" s="115"/>
      <c r="V1016" s="115" t="s">
        <v>91</v>
      </c>
      <c r="W1016" s="115" t="s">
        <v>92</v>
      </c>
      <c r="X1016" s="113">
        <f>IF(INDIRECT("W1016")="Clássico","12%",IF(INDIRECT("W1016")="Premium","17%","-"))</f>
      </c>
      <c r="Y1016" s="113" t="s">
        <v>2886</v>
      </c>
    </row>
    <row r="1017" ht="50.0" customHeight="true">
      <c r="A1017" s="113" t="s">
        <v>3571</v>
      </c>
      <c r="B1017" s="113" t="s">
        <v>3572</v>
      </c>
      <c r="C1017" s="113" t="s">
        <v>3573</v>
      </c>
      <c r="D1017" s="113"/>
      <c r="E1017" s="114" t="s">
        <v>704</v>
      </c>
      <c r="F1017" s="113" t="s">
        <v>3574</v>
      </c>
      <c r="G1017" s="113" t="s">
        <v>493</v>
      </c>
      <c r="H1017" s="113" t="s">
        <v>103</v>
      </c>
      <c r="I1017" s="115" t="n">
        <v>487.22</v>
      </c>
      <c r="J1017" s="115" t="s">
        <v>80</v>
      </c>
      <c r="K1017" s="115" t="s">
        <v>81</v>
      </c>
      <c r="L1017" s="115" t="n">
        <v>480.96</v>
      </c>
      <c r="M1017" s="115" t="n">
        <v>3.0</v>
      </c>
      <c r="N1017" s="115"/>
      <c r="O1017" s="115"/>
      <c r="P1017" s="115"/>
      <c r="Q1017" s="115"/>
      <c r="R1017" s="115"/>
      <c r="S1017" s="115"/>
      <c r="T1017" s="115"/>
      <c r="U1017" s="115"/>
      <c r="V1017" s="115" t="s">
        <v>82</v>
      </c>
      <c r="W1017" s="115" t="s">
        <v>83</v>
      </c>
      <c r="X1017" s="113">
        <f>IF(INDIRECT("W1017")="Clássico","12%",IF(INDIRECT("W1017")="Premium","17%","-"))</f>
      </c>
      <c r="Y1017" s="113" t="s">
        <v>3575</v>
      </c>
    </row>
    <row r="1018" ht="50.0" customHeight="true">
      <c r="A1018" s="113" t="s">
        <v>3576</v>
      </c>
      <c r="B1018" s="113" t="s">
        <v>3577</v>
      </c>
      <c r="C1018" s="113" t="s">
        <v>3578</v>
      </c>
      <c r="D1018" s="113"/>
      <c r="E1018" s="114" t="s">
        <v>3579</v>
      </c>
      <c r="F1018" s="113" t="s">
        <v>3580</v>
      </c>
      <c r="G1018" s="113" t="s">
        <v>3580</v>
      </c>
      <c r="H1018" s="113" t="s">
        <v>103</v>
      </c>
      <c r="I1018" s="115" t="n">
        <v>46.8</v>
      </c>
      <c r="J1018" s="115" t="s">
        <v>80</v>
      </c>
      <c r="K1018" s="115" t="s">
        <v>81</v>
      </c>
      <c r="L1018" s="115" t="n">
        <v>41.8</v>
      </c>
      <c r="M1018" s="115" t="n">
        <v>3.0</v>
      </c>
      <c r="N1018" s="115"/>
      <c r="O1018" s="115"/>
      <c r="P1018" s="115"/>
      <c r="Q1018" s="115"/>
      <c r="R1018" s="115"/>
      <c r="S1018" s="115"/>
      <c r="T1018" s="115"/>
      <c r="U1018" s="115"/>
      <c r="V1018" s="115" t="s">
        <v>91</v>
      </c>
      <c r="W1018" s="115" t="s">
        <v>92</v>
      </c>
      <c r="X1018" s="113">
        <f>IF(INDIRECT("W1018")="Clássico","13%",IF(INDIRECT("W1018")="Premium","18%","-"))</f>
      </c>
      <c r="Y1018" s="113" t="s">
        <v>3581</v>
      </c>
    </row>
    <row r="1019" ht="50.0" customHeight="true">
      <c r="A1019" s="113" t="s">
        <v>22</v>
      </c>
      <c r="B1019" s="113" t="s">
        <v>3582</v>
      </c>
      <c r="C1019" s="113"/>
      <c r="D1019" s="113"/>
      <c r="E1019" s="113" t="s">
        <v>22</v>
      </c>
      <c r="F1019" s="113" t="s">
        <v>3583</v>
      </c>
      <c r="G1019" s="113" t="s">
        <v>103</v>
      </c>
      <c r="H1019" s="113" t="s">
        <v>103</v>
      </c>
      <c r="I1019" s="115" t="n">
        <v>186.71</v>
      </c>
      <c r="J1019" s="115" t="s">
        <v>80</v>
      </c>
      <c r="K1019" s="113" t="s">
        <v>81</v>
      </c>
      <c r="L1019" s="115" t="n">
        <v>181.71</v>
      </c>
      <c r="M1019" s="115" t="n">
        <v>3.0</v>
      </c>
      <c r="N1019" s="115"/>
      <c r="O1019" s="115"/>
      <c r="P1019" s="115"/>
      <c r="Q1019" s="115"/>
      <c r="R1019" s="115"/>
      <c r="S1019" s="115"/>
      <c r="T1019" s="115"/>
      <c r="U1019" s="115"/>
      <c r="V1019" s="115" t="s">
        <v>82</v>
      </c>
      <c r="W1019" s="115" t="s">
        <v>83</v>
      </c>
      <c r="X1019" s="113">
        <f>IF(INDIRECT("W1019")="Clássico","11.5%",IF(INDIRECT("W1019")="Premium","16.5%","-"))</f>
      </c>
      <c r="Y1019" s="113" t="s">
        <v>684</v>
      </c>
    </row>
    <row r="1020" ht="50.0" customHeight="true">
      <c r="A1020" s="113" t="s">
        <v>22</v>
      </c>
      <c r="B1020" s="113" t="s">
        <v>3582</v>
      </c>
      <c r="C1020" s="113" t="s">
        <v>3584</v>
      </c>
      <c r="D1020" s="113" t="s">
        <v>3584</v>
      </c>
      <c r="E1020" s="114" t="s">
        <v>3392</v>
      </c>
      <c r="F1020" s="116">
        <f>"     "&amp;F1019</f>
      </c>
      <c r="G1020" s="113" t="s">
        <v>690</v>
      </c>
      <c r="H1020" s="113" t="s">
        <v>103</v>
      </c>
      <c r="I1020" s="113">
        <f>I1019</f>
      </c>
      <c r="J1020" s="113">
        <f>J1019&amp;"     "</f>
      </c>
      <c r="K1020" s="113" t="s">
        <v>81</v>
      </c>
      <c r="L1020" s="113">
        <f>L1019</f>
      </c>
      <c r="M1020" s="113">
        <f>M1019</f>
      </c>
      <c r="N1020" s="113">
        <f>N1019</f>
      </c>
      <c r="O1020" s="113">
        <f>O1019</f>
      </c>
      <c r="P1020" s="113">
        <f>P1019</f>
      </c>
      <c r="Q1020" s="113">
        <f>Q1019</f>
      </c>
      <c r="R1020" s="113">
        <f>R1019</f>
      </c>
      <c r="S1020" s="113">
        <f>S1019</f>
      </c>
      <c r="T1020" s="113">
        <f>T1019</f>
      </c>
      <c r="U1020" s="113">
        <f>U1019</f>
      </c>
      <c r="V1020" s="113">
        <f>V1019&amp;"     "</f>
      </c>
      <c r="W1020" s="113">
        <f>W1019&amp;"     "</f>
      </c>
      <c r="X1020" s="113">
        <f>X1019</f>
      </c>
      <c r="Y1020" s="113" t="s">
        <v>684</v>
      </c>
    </row>
    <row r="1021" ht="50.0" customHeight="true">
      <c r="A1021" s="113" t="s">
        <v>22</v>
      </c>
      <c r="B1021" s="113" t="s">
        <v>3582</v>
      </c>
      <c r="C1021" s="113" t="s">
        <v>3585</v>
      </c>
      <c r="D1021" s="113" t="s">
        <v>3585</v>
      </c>
      <c r="E1021" s="114" t="s">
        <v>3394</v>
      </c>
      <c r="F1021" s="116">
        <f>"     "&amp;F1019</f>
      </c>
      <c r="G1021" s="113" t="s">
        <v>687</v>
      </c>
      <c r="H1021" s="113" t="s">
        <v>103</v>
      </c>
      <c r="I1021" s="113">
        <f>I1019</f>
      </c>
      <c r="J1021" s="113">
        <f>J1019&amp;"     "</f>
      </c>
      <c r="K1021" s="113" t="s">
        <v>81</v>
      </c>
      <c r="L1021" s="113">
        <f>L1019</f>
      </c>
      <c r="M1021" s="113">
        <f>M1019</f>
      </c>
      <c r="N1021" s="113">
        <f>N1019</f>
      </c>
      <c r="O1021" s="113">
        <f>O1019</f>
      </c>
      <c r="P1021" s="113">
        <f>P1019</f>
      </c>
      <c r="Q1021" s="113">
        <f>Q1019</f>
      </c>
      <c r="R1021" s="113">
        <f>R1019</f>
      </c>
      <c r="S1021" s="113">
        <f>S1019</f>
      </c>
      <c r="T1021" s="113">
        <f>T1019</f>
      </c>
      <c r="U1021" s="113">
        <f>U1019</f>
      </c>
      <c r="V1021" s="113">
        <f>V1019&amp;"     "</f>
      </c>
      <c r="W1021" s="113">
        <f>W1019&amp;"     "</f>
      </c>
      <c r="X1021" s="113">
        <f>X1019</f>
      </c>
      <c r="Y1021" s="113" t="s">
        <v>684</v>
      </c>
    </row>
    <row r="1022" ht="50.0" customHeight="true">
      <c r="A1022" s="113" t="s">
        <v>3586</v>
      </c>
      <c r="B1022" s="113" t="s">
        <v>3587</v>
      </c>
      <c r="C1022" s="113" t="s">
        <v>3588</v>
      </c>
      <c r="D1022" s="113"/>
      <c r="E1022" s="114" t="s">
        <v>1061</v>
      </c>
      <c r="F1022" s="113" t="s">
        <v>3589</v>
      </c>
      <c r="G1022" s="113" t="s">
        <v>3589</v>
      </c>
      <c r="H1022" s="113" t="s">
        <v>103</v>
      </c>
      <c r="I1022" s="115" t="n">
        <v>58.1</v>
      </c>
      <c r="J1022" s="115" t="s">
        <v>80</v>
      </c>
      <c r="K1022" s="115" t="s">
        <v>81</v>
      </c>
      <c r="L1022" s="115" t="n">
        <v>58.17</v>
      </c>
      <c r="M1022" s="115" t="n">
        <v>3.0</v>
      </c>
      <c r="N1022" s="115"/>
      <c r="O1022" s="115"/>
      <c r="P1022" s="115"/>
      <c r="Q1022" s="115"/>
      <c r="R1022" s="115"/>
      <c r="S1022" s="115"/>
      <c r="T1022" s="115"/>
      <c r="U1022" s="115"/>
      <c r="V1022" s="115" t="s">
        <v>91</v>
      </c>
      <c r="W1022" s="115" t="s">
        <v>92</v>
      </c>
      <c r="X1022" s="113">
        <f>IF(INDIRECT("W1022")="Clássico","12%",IF(INDIRECT("W1022")="Premium","17%","-"))</f>
      </c>
      <c r="Y1022" s="113" t="s">
        <v>343</v>
      </c>
    </row>
    <row r="1023" ht="50.0" customHeight="true">
      <c r="A1023" s="113" t="s">
        <v>3590</v>
      </c>
      <c r="B1023" s="113" t="s">
        <v>3591</v>
      </c>
      <c r="C1023" s="113" t="s">
        <v>3592</v>
      </c>
      <c r="D1023" s="113"/>
      <c r="E1023" s="114" t="s">
        <v>1125</v>
      </c>
      <c r="F1023" s="113" t="s">
        <v>3593</v>
      </c>
      <c r="G1023" s="113" t="s">
        <v>127</v>
      </c>
      <c r="H1023" s="113" t="s">
        <v>103</v>
      </c>
      <c r="I1023" s="115" t="n">
        <v>249.24</v>
      </c>
      <c r="J1023" s="115" t="s">
        <v>80</v>
      </c>
      <c r="K1023" s="115" t="s">
        <v>81</v>
      </c>
      <c r="L1023" s="115" t="n">
        <v>242.98</v>
      </c>
      <c r="M1023" s="115" t="n">
        <v>3.0</v>
      </c>
      <c r="N1023" s="115"/>
      <c r="O1023" s="115"/>
      <c r="P1023" s="115"/>
      <c r="Q1023" s="115"/>
      <c r="R1023" s="115"/>
      <c r="S1023" s="115"/>
      <c r="T1023" s="115"/>
      <c r="U1023" s="115"/>
      <c r="V1023" s="115" t="s">
        <v>82</v>
      </c>
      <c r="W1023" s="115" t="s">
        <v>92</v>
      </c>
      <c r="X1023" s="113">
        <f>IF(INDIRECT("W1023")="Clássico","12%",IF(INDIRECT("W1023")="Premium","17%","-"))</f>
      </c>
      <c r="Y1023" s="113" t="s">
        <v>22</v>
      </c>
    </row>
    <row r="1024" ht="50.0" customHeight="true">
      <c r="A1024" s="113" t="s">
        <v>3594</v>
      </c>
      <c r="B1024" s="113" t="s">
        <v>3595</v>
      </c>
      <c r="C1024" s="113" t="s">
        <v>3596</v>
      </c>
      <c r="D1024" s="113"/>
      <c r="E1024" s="114" t="s">
        <v>3296</v>
      </c>
      <c r="F1024" s="113" t="s">
        <v>3597</v>
      </c>
      <c r="G1024" s="113" t="s">
        <v>3597</v>
      </c>
      <c r="H1024" s="113" t="s">
        <v>103</v>
      </c>
      <c r="I1024" s="115" t="n">
        <v>220.13</v>
      </c>
      <c r="J1024" s="115" t="s">
        <v>80</v>
      </c>
      <c r="K1024" s="115" t="s">
        <v>81</v>
      </c>
      <c r="L1024" s="115" t="n">
        <v>215.13</v>
      </c>
      <c r="M1024" s="115" t="n">
        <v>3.0</v>
      </c>
      <c r="N1024" s="115"/>
      <c r="O1024" s="115"/>
      <c r="P1024" s="115"/>
      <c r="Q1024" s="115"/>
      <c r="R1024" s="115"/>
      <c r="S1024" s="115"/>
      <c r="T1024" s="115"/>
      <c r="U1024" s="115"/>
      <c r="V1024" s="115" t="s">
        <v>82</v>
      </c>
      <c r="W1024" s="115" t="s">
        <v>92</v>
      </c>
      <c r="X1024" s="113">
        <f>IF(INDIRECT("W1024")="Clássico","12%",IF(INDIRECT("W1024")="Premium","17%","-"))</f>
      </c>
      <c r="Y1024" s="113" t="s">
        <v>93</v>
      </c>
    </row>
    <row r="1025" ht="50.0" customHeight="true">
      <c r="A1025" s="113" t="s">
        <v>3598</v>
      </c>
      <c r="B1025" s="113" t="s">
        <v>3599</v>
      </c>
      <c r="C1025" s="113" t="s">
        <v>3600</v>
      </c>
      <c r="D1025" s="113"/>
      <c r="E1025" s="114" t="s">
        <v>3601</v>
      </c>
      <c r="F1025" s="113" t="s">
        <v>3602</v>
      </c>
      <c r="G1025" s="113" t="s">
        <v>493</v>
      </c>
      <c r="H1025" s="113" t="s">
        <v>103</v>
      </c>
      <c r="I1025" s="115" t="n">
        <v>236.59</v>
      </c>
      <c r="J1025" s="115" t="s">
        <v>80</v>
      </c>
      <c r="K1025" s="115" t="s">
        <v>81</v>
      </c>
      <c r="L1025" s="115" t="n">
        <v>231.59</v>
      </c>
      <c r="M1025" s="115" t="n">
        <v>3.0</v>
      </c>
      <c r="N1025" s="115"/>
      <c r="O1025" s="115"/>
      <c r="P1025" s="115"/>
      <c r="Q1025" s="115"/>
      <c r="R1025" s="115"/>
      <c r="S1025" s="115"/>
      <c r="T1025" s="115"/>
      <c r="U1025" s="115"/>
      <c r="V1025" s="115" t="s">
        <v>82</v>
      </c>
      <c r="W1025" s="115" t="s">
        <v>83</v>
      </c>
      <c r="X1025" s="113">
        <f>IF(INDIRECT("W1025")="Clássico","12%",IF(INDIRECT("W1025")="Premium","17%","-"))</f>
      </c>
      <c r="Y1025" s="113" t="s">
        <v>1048</v>
      </c>
    </row>
    <row r="1026" ht="50.0" customHeight="true">
      <c r="A1026" s="113" t="s">
        <v>3603</v>
      </c>
      <c r="B1026" s="113" t="s">
        <v>3604</v>
      </c>
      <c r="C1026" s="113" t="s">
        <v>3605</v>
      </c>
      <c r="D1026" s="113"/>
      <c r="E1026" s="114" t="s">
        <v>3562</v>
      </c>
      <c r="F1026" s="113" t="s">
        <v>3606</v>
      </c>
      <c r="G1026" s="113" t="s">
        <v>3606</v>
      </c>
      <c r="H1026" s="113" t="s">
        <v>103</v>
      </c>
      <c r="I1026" s="115" t="n">
        <v>484.8</v>
      </c>
      <c r="J1026" s="115" t="s">
        <v>80</v>
      </c>
      <c r="K1026" s="115" t="s">
        <v>81</v>
      </c>
      <c r="L1026" s="115" t="n">
        <v>479.8</v>
      </c>
      <c r="M1026" s="115" t="n">
        <v>3.0</v>
      </c>
      <c r="N1026" s="115"/>
      <c r="O1026" s="115"/>
      <c r="P1026" s="115"/>
      <c r="Q1026" s="115"/>
      <c r="R1026" s="115"/>
      <c r="S1026" s="115"/>
      <c r="T1026" s="115"/>
      <c r="U1026" s="115"/>
      <c r="V1026" s="115" t="s">
        <v>82</v>
      </c>
      <c r="W1026" s="115" t="s">
        <v>92</v>
      </c>
      <c r="X1026" s="113">
        <f>IF(INDIRECT("W1026")="Clássico","12%",IF(INDIRECT("W1026")="Premium","17%","-"))</f>
      </c>
      <c r="Y1026" s="113" t="s">
        <v>3607</v>
      </c>
    </row>
    <row r="1027" ht="50.0" customHeight="true">
      <c r="A1027" s="113" t="s">
        <v>3608</v>
      </c>
      <c r="B1027" s="113" t="s">
        <v>3609</v>
      </c>
      <c r="C1027" s="113" t="s">
        <v>3610</v>
      </c>
      <c r="D1027" s="113"/>
      <c r="E1027" s="114" t="s">
        <v>3611</v>
      </c>
      <c r="F1027" s="113" t="s">
        <v>3612</v>
      </c>
      <c r="G1027" s="113" t="s">
        <v>3612</v>
      </c>
      <c r="H1027" s="113" t="s">
        <v>103</v>
      </c>
      <c r="I1027" s="115" t="n">
        <v>96.19</v>
      </c>
      <c r="J1027" s="115" t="s">
        <v>80</v>
      </c>
      <c r="K1027" s="115" t="s">
        <v>81</v>
      </c>
      <c r="L1027" s="115" t="n">
        <v>91.19</v>
      </c>
      <c r="M1027" s="115" t="n">
        <v>3.0</v>
      </c>
      <c r="N1027" s="115"/>
      <c r="O1027" s="115"/>
      <c r="P1027" s="115"/>
      <c r="Q1027" s="115"/>
      <c r="R1027" s="115"/>
      <c r="S1027" s="115"/>
      <c r="T1027" s="115"/>
      <c r="U1027" s="115"/>
      <c r="V1027" s="115" t="s">
        <v>82</v>
      </c>
      <c r="W1027" s="115" t="s">
        <v>92</v>
      </c>
      <c r="X1027" s="113">
        <f>IF(INDIRECT("W1027")="Clássico","12%",IF(INDIRECT("W1027")="Premium","17%","-"))</f>
      </c>
      <c r="Y1027" s="113" t="s">
        <v>3613</v>
      </c>
    </row>
    <row r="1028" ht="50.0" customHeight="true">
      <c r="A1028" s="113" t="s">
        <v>3614</v>
      </c>
      <c r="B1028" s="113" t="s">
        <v>3615</v>
      </c>
      <c r="C1028" s="113" t="s">
        <v>3616</v>
      </c>
      <c r="D1028" s="113"/>
      <c r="E1028" s="114" t="s">
        <v>3617</v>
      </c>
      <c r="F1028" s="113" t="s">
        <v>3618</v>
      </c>
      <c r="G1028" s="113" t="s">
        <v>3618</v>
      </c>
      <c r="H1028" s="113" t="s">
        <v>103</v>
      </c>
      <c r="I1028" s="115" t="n">
        <v>299.99</v>
      </c>
      <c r="J1028" s="115" t="s">
        <v>80</v>
      </c>
      <c r="K1028" s="115" t="s">
        <v>81</v>
      </c>
      <c r="L1028" s="115" t="n">
        <v>294.99</v>
      </c>
      <c r="M1028" s="115" t="n">
        <v>3.0</v>
      </c>
      <c r="N1028" s="115"/>
      <c r="O1028" s="115"/>
      <c r="P1028" s="115"/>
      <c r="Q1028" s="115"/>
      <c r="R1028" s="115"/>
      <c r="S1028" s="115"/>
      <c r="T1028" s="115"/>
      <c r="U1028" s="115"/>
      <c r="V1028" s="115" t="s">
        <v>82</v>
      </c>
      <c r="W1028" s="115" t="s">
        <v>92</v>
      </c>
      <c r="X1028" s="113">
        <f>IF(INDIRECT("W1028")="Clássico","12%",IF(INDIRECT("W1028")="Premium","17%","-"))</f>
      </c>
      <c r="Y1028" s="113" t="s">
        <v>1041</v>
      </c>
    </row>
    <row r="1029" ht="50.0" customHeight="true">
      <c r="A1029" s="113" t="s">
        <v>3619</v>
      </c>
      <c r="B1029" s="113" t="s">
        <v>3620</v>
      </c>
      <c r="C1029" s="113" t="s">
        <v>3621</v>
      </c>
      <c r="D1029" s="113"/>
      <c r="E1029" s="114" t="s">
        <v>3290</v>
      </c>
      <c r="F1029" s="113" t="s">
        <v>3622</v>
      </c>
      <c r="G1029" s="113" t="s">
        <v>3622</v>
      </c>
      <c r="H1029" s="113" t="s">
        <v>103</v>
      </c>
      <c r="I1029" s="115" t="n">
        <v>82.81</v>
      </c>
      <c r="J1029" s="115" t="s">
        <v>80</v>
      </c>
      <c r="K1029" s="115" t="s">
        <v>81</v>
      </c>
      <c r="L1029" s="115" t="n">
        <v>77.81</v>
      </c>
      <c r="M1029" s="115" t="n">
        <v>3.0</v>
      </c>
      <c r="N1029" s="115"/>
      <c r="O1029" s="115"/>
      <c r="P1029" s="115"/>
      <c r="Q1029" s="115"/>
      <c r="R1029" s="115"/>
      <c r="S1029" s="115"/>
      <c r="T1029" s="115"/>
      <c r="U1029" s="115"/>
      <c r="V1029" s="115" t="s">
        <v>82</v>
      </c>
      <c r="W1029" s="115" t="s">
        <v>92</v>
      </c>
      <c r="X1029" s="113">
        <f>IF(INDIRECT("W1029")="Clássico","12%",IF(INDIRECT("W1029")="Premium","17%","-"))</f>
      </c>
      <c r="Y1029" s="113" t="s">
        <v>3292</v>
      </c>
    </row>
    <row r="1030" ht="50.0" customHeight="true">
      <c r="A1030" s="113" t="s">
        <v>3623</v>
      </c>
      <c r="B1030" s="113" t="s">
        <v>3624</v>
      </c>
      <c r="C1030" s="113" t="s">
        <v>3625</v>
      </c>
      <c r="D1030" s="113"/>
      <c r="E1030" s="114" t="s">
        <v>3626</v>
      </c>
      <c r="F1030" s="113" t="s">
        <v>3627</v>
      </c>
      <c r="G1030" s="113" t="s">
        <v>3627</v>
      </c>
      <c r="H1030" s="113" t="s">
        <v>103</v>
      </c>
      <c r="I1030" s="115" t="n">
        <v>309.9</v>
      </c>
      <c r="J1030" s="115" t="s">
        <v>80</v>
      </c>
      <c r="K1030" s="115" t="s">
        <v>81</v>
      </c>
      <c r="L1030" s="115" t="n">
        <v>304.9</v>
      </c>
      <c r="M1030" s="115" t="n">
        <v>3.0</v>
      </c>
      <c r="N1030" s="115"/>
      <c r="O1030" s="115"/>
      <c r="P1030" s="115"/>
      <c r="Q1030" s="115"/>
      <c r="R1030" s="115"/>
      <c r="S1030" s="115"/>
      <c r="T1030" s="115"/>
      <c r="U1030" s="115"/>
      <c r="V1030" s="115" t="s">
        <v>82</v>
      </c>
      <c r="W1030" s="115" t="s">
        <v>83</v>
      </c>
      <c r="X1030" s="113">
        <f>IF(INDIRECT("W1030")="Clássico","12%",IF(INDIRECT("W1030")="Premium","17%","-"))</f>
      </c>
      <c r="Y1030" s="113" t="s">
        <v>3628</v>
      </c>
    </row>
    <row r="1031" ht="50.0" customHeight="true">
      <c r="A1031" s="113" t="s">
        <v>3629</v>
      </c>
      <c r="B1031" s="113" t="s">
        <v>3630</v>
      </c>
      <c r="C1031" s="113" t="s">
        <v>3631</v>
      </c>
      <c r="D1031" s="113"/>
      <c r="E1031" s="114" t="s">
        <v>3632</v>
      </c>
      <c r="F1031" s="113" t="s">
        <v>3633</v>
      </c>
      <c r="G1031" s="113" t="s">
        <v>127</v>
      </c>
      <c r="H1031" s="113" t="s">
        <v>103</v>
      </c>
      <c r="I1031" s="115" t="n">
        <v>136.58</v>
      </c>
      <c r="J1031" s="115" t="s">
        <v>80</v>
      </c>
      <c r="K1031" s="115" t="s">
        <v>81</v>
      </c>
      <c r="L1031" s="115" t="n">
        <v>131.58</v>
      </c>
      <c r="M1031" s="115" t="n">
        <v>3.0</v>
      </c>
      <c r="N1031" s="115"/>
      <c r="O1031" s="115"/>
      <c r="P1031" s="115"/>
      <c r="Q1031" s="115"/>
      <c r="R1031" s="115"/>
      <c r="S1031" s="115"/>
      <c r="T1031" s="115"/>
      <c r="U1031" s="115"/>
      <c r="V1031" s="115" t="s">
        <v>82</v>
      </c>
      <c r="W1031" s="115" t="s">
        <v>92</v>
      </c>
      <c r="X1031" s="113">
        <f>IF(INDIRECT("W1031")="Clássico","12%",IF(INDIRECT("W1031")="Premium","17%","-"))</f>
      </c>
      <c r="Y1031" s="113" t="s">
        <v>423</v>
      </c>
    </row>
    <row r="1032" ht="50.0" customHeight="true">
      <c r="A1032" s="113" t="s">
        <v>3634</v>
      </c>
      <c r="B1032" s="113" t="s">
        <v>3635</v>
      </c>
      <c r="C1032" s="113" t="s">
        <v>3636</v>
      </c>
      <c r="D1032" s="113"/>
      <c r="E1032" s="114" t="s">
        <v>3611</v>
      </c>
      <c r="F1032" s="113" t="s">
        <v>3637</v>
      </c>
      <c r="G1032" s="113" t="s">
        <v>3637</v>
      </c>
      <c r="H1032" s="113" t="s">
        <v>103</v>
      </c>
      <c r="I1032" s="115" t="n">
        <v>136.7</v>
      </c>
      <c r="J1032" s="115" t="s">
        <v>80</v>
      </c>
      <c r="K1032" s="115" t="s">
        <v>81</v>
      </c>
      <c r="L1032" s="115" t="n">
        <v>131.7</v>
      </c>
      <c r="M1032" s="115" t="n">
        <v>3.0</v>
      </c>
      <c r="N1032" s="115"/>
      <c r="O1032" s="115"/>
      <c r="P1032" s="115"/>
      <c r="Q1032" s="115"/>
      <c r="R1032" s="115"/>
      <c r="S1032" s="115"/>
      <c r="T1032" s="115"/>
      <c r="U1032" s="115"/>
      <c r="V1032" s="115" t="s">
        <v>82</v>
      </c>
      <c r="W1032" s="115" t="s">
        <v>92</v>
      </c>
      <c r="X1032" s="113">
        <f>IF(INDIRECT("W1032")="Clássico","12%",IF(INDIRECT("W1032")="Premium","17%","-"))</f>
      </c>
      <c r="Y1032" s="113" t="s">
        <v>3613</v>
      </c>
    </row>
    <row r="1033" ht="50.0" customHeight="true">
      <c r="A1033" s="113" t="s">
        <v>22</v>
      </c>
      <c r="B1033" s="113" t="s">
        <v>3638</v>
      </c>
      <c r="C1033" s="113"/>
      <c r="D1033" s="113"/>
      <c r="E1033" s="113" t="s">
        <v>22</v>
      </c>
      <c r="F1033" s="113" t="s">
        <v>3583</v>
      </c>
      <c r="G1033" s="113" t="s">
        <v>103</v>
      </c>
      <c r="H1033" s="113" t="s">
        <v>103</v>
      </c>
      <c r="I1033" s="115" t="n">
        <v>186.07</v>
      </c>
      <c r="J1033" s="115" t="s">
        <v>80</v>
      </c>
      <c r="K1033" s="113" t="s">
        <v>81</v>
      </c>
      <c r="L1033" s="115" t="n">
        <v>181.07</v>
      </c>
      <c r="M1033" s="115" t="n">
        <v>3.0</v>
      </c>
      <c r="N1033" s="115"/>
      <c r="O1033" s="115"/>
      <c r="P1033" s="115"/>
      <c r="Q1033" s="115"/>
      <c r="R1033" s="115"/>
      <c r="S1033" s="115"/>
      <c r="T1033" s="115"/>
      <c r="U1033" s="115"/>
      <c r="V1033" s="115" t="s">
        <v>82</v>
      </c>
      <c r="W1033" s="115" t="s">
        <v>83</v>
      </c>
      <c r="X1033" s="113">
        <f>IF(INDIRECT("W1033")="Clássico","11.5%",IF(INDIRECT("W1033")="Premium","16.5%","-"))</f>
      </c>
      <c r="Y1033" s="113" t="s">
        <v>684</v>
      </c>
    </row>
    <row r="1034" ht="50.0" customHeight="true">
      <c r="A1034" s="113" t="s">
        <v>22</v>
      </c>
      <c r="B1034" s="113" t="s">
        <v>3638</v>
      </c>
      <c r="C1034" s="113" t="s">
        <v>3639</v>
      </c>
      <c r="D1034" s="113" t="s">
        <v>3639</v>
      </c>
      <c r="E1034" s="114" t="s">
        <v>3392</v>
      </c>
      <c r="F1034" s="116">
        <f>"     "&amp;F1033</f>
      </c>
      <c r="G1034" s="113" t="s">
        <v>690</v>
      </c>
      <c r="H1034" s="113" t="s">
        <v>103</v>
      </c>
      <c r="I1034" s="113">
        <f>I1033</f>
      </c>
      <c r="J1034" s="113">
        <f>J1033&amp;"     "</f>
      </c>
      <c r="K1034" s="113" t="s">
        <v>81</v>
      </c>
      <c r="L1034" s="113">
        <f>L1033</f>
      </c>
      <c r="M1034" s="113">
        <f>M1033</f>
      </c>
      <c r="N1034" s="113">
        <f>N1033</f>
      </c>
      <c r="O1034" s="113">
        <f>O1033</f>
      </c>
      <c r="P1034" s="113">
        <f>P1033</f>
      </c>
      <c r="Q1034" s="113">
        <f>Q1033</f>
      </c>
      <c r="R1034" s="113">
        <f>R1033</f>
      </c>
      <c r="S1034" s="113">
        <f>S1033</f>
      </c>
      <c r="T1034" s="113">
        <f>T1033</f>
      </c>
      <c r="U1034" s="113">
        <f>U1033</f>
      </c>
      <c r="V1034" s="113">
        <f>V1033&amp;"     "</f>
      </c>
      <c r="W1034" s="113">
        <f>W1033&amp;"     "</f>
      </c>
      <c r="X1034" s="113">
        <f>X1033</f>
      </c>
      <c r="Y1034" s="113" t="s">
        <v>684</v>
      </c>
    </row>
    <row r="1035" ht="50.0" customHeight="true">
      <c r="A1035" s="113" t="s">
        <v>22</v>
      </c>
      <c r="B1035" s="113" t="s">
        <v>3638</v>
      </c>
      <c r="C1035" s="113" t="s">
        <v>3640</v>
      </c>
      <c r="D1035" s="113" t="s">
        <v>3640</v>
      </c>
      <c r="E1035" s="114" t="s">
        <v>3394</v>
      </c>
      <c r="F1035" s="116">
        <f>"     "&amp;F1033</f>
      </c>
      <c r="G1035" s="113" t="s">
        <v>687</v>
      </c>
      <c r="H1035" s="113" t="s">
        <v>103</v>
      </c>
      <c r="I1035" s="113">
        <f>I1033</f>
      </c>
      <c r="J1035" s="113">
        <f>J1033&amp;"     "</f>
      </c>
      <c r="K1035" s="113" t="s">
        <v>81</v>
      </c>
      <c r="L1035" s="113">
        <f>L1033</f>
      </c>
      <c r="M1035" s="113">
        <f>M1033</f>
      </c>
      <c r="N1035" s="113">
        <f>N1033</f>
      </c>
      <c r="O1035" s="113">
        <f>O1033</f>
      </c>
      <c r="P1035" s="113">
        <f>P1033</f>
      </c>
      <c r="Q1035" s="113">
        <f>Q1033</f>
      </c>
      <c r="R1035" s="113">
        <f>R1033</f>
      </c>
      <c r="S1035" s="113">
        <f>S1033</f>
      </c>
      <c r="T1035" s="113">
        <f>T1033</f>
      </c>
      <c r="U1035" s="113">
        <f>U1033</f>
      </c>
      <c r="V1035" s="113">
        <f>V1033&amp;"     "</f>
      </c>
      <c r="W1035" s="113">
        <f>W1033&amp;"     "</f>
      </c>
      <c r="X1035" s="113">
        <f>X1033</f>
      </c>
      <c r="Y1035" s="113" t="s">
        <v>684</v>
      </c>
    </row>
    <row r="1036" ht="50.0" customHeight="true">
      <c r="A1036" s="113" t="s">
        <v>3641</v>
      </c>
      <c r="B1036" s="113" t="s">
        <v>3642</v>
      </c>
      <c r="C1036" s="113" t="s">
        <v>3643</v>
      </c>
      <c r="D1036" s="113"/>
      <c r="E1036" s="114" t="s">
        <v>3503</v>
      </c>
      <c r="F1036" s="113" t="s">
        <v>3644</v>
      </c>
      <c r="G1036" s="113" t="s">
        <v>3644</v>
      </c>
      <c r="H1036" s="113" t="s">
        <v>103</v>
      </c>
      <c r="I1036" s="115" t="n">
        <v>218.86</v>
      </c>
      <c r="J1036" s="115" t="s">
        <v>80</v>
      </c>
      <c r="K1036" s="115" t="s">
        <v>81</v>
      </c>
      <c r="L1036" s="115" t="n">
        <v>213.86</v>
      </c>
      <c r="M1036" s="115" t="n">
        <v>3.0</v>
      </c>
      <c r="N1036" s="115"/>
      <c r="O1036" s="115"/>
      <c r="P1036" s="115"/>
      <c r="Q1036" s="115"/>
      <c r="R1036" s="115"/>
      <c r="S1036" s="115"/>
      <c r="T1036" s="115"/>
      <c r="U1036" s="115"/>
      <c r="V1036" s="115" t="s">
        <v>82</v>
      </c>
      <c r="W1036" s="115" t="s">
        <v>83</v>
      </c>
      <c r="X1036" s="113">
        <f>IF(INDIRECT("W1036")="Clássico","12%",IF(INDIRECT("W1036")="Premium","17%","-"))</f>
      </c>
      <c r="Y1036" s="113" t="s">
        <v>551</v>
      </c>
    </row>
    <row r="1037" ht="50.0" customHeight="true">
      <c r="A1037" s="113" t="s">
        <v>3645</v>
      </c>
      <c r="B1037" s="113" t="s">
        <v>3646</v>
      </c>
      <c r="C1037" s="113" t="s">
        <v>3647</v>
      </c>
      <c r="D1037" s="113"/>
      <c r="E1037" s="114" t="s">
        <v>3648</v>
      </c>
      <c r="F1037" s="113" t="s">
        <v>3649</v>
      </c>
      <c r="G1037" s="113" t="s">
        <v>127</v>
      </c>
      <c r="H1037" s="113" t="s">
        <v>103</v>
      </c>
      <c r="I1037" s="115" t="n">
        <v>341.65</v>
      </c>
      <c r="J1037" s="115" t="s">
        <v>80</v>
      </c>
      <c r="K1037" s="115" t="s">
        <v>81</v>
      </c>
      <c r="L1037" s="115" t="n">
        <v>273.36</v>
      </c>
      <c r="M1037" s="115" t="n">
        <v>3.0</v>
      </c>
      <c r="N1037" s="115"/>
      <c r="O1037" s="115"/>
      <c r="P1037" s="115"/>
      <c r="Q1037" s="115"/>
      <c r="R1037" s="115"/>
      <c r="S1037" s="115"/>
      <c r="T1037" s="115"/>
      <c r="U1037" s="115"/>
      <c r="V1037" s="115" t="s">
        <v>82</v>
      </c>
      <c r="W1037" s="115" t="s">
        <v>83</v>
      </c>
      <c r="X1037" s="113">
        <f>IF(INDIRECT("W1037")="Clássico","12%",IF(INDIRECT("W1037")="Premium","17%","-"))</f>
      </c>
      <c r="Y1037" s="113" t="s">
        <v>423</v>
      </c>
    </row>
    <row r="1038" ht="50.0" customHeight="true">
      <c r="A1038" s="113" t="s">
        <v>3650</v>
      </c>
      <c r="B1038" s="113" t="s">
        <v>3651</v>
      </c>
      <c r="C1038" s="113" t="s">
        <v>3652</v>
      </c>
      <c r="D1038" s="113"/>
      <c r="E1038" s="114" t="s">
        <v>3430</v>
      </c>
      <c r="F1038" s="113" t="s">
        <v>3653</v>
      </c>
      <c r="G1038" s="113" t="s">
        <v>3653</v>
      </c>
      <c r="H1038" s="113" t="s">
        <v>103</v>
      </c>
      <c r="I1038" s="115" t="n">
        <v>153.04</v>
      </c>
      <c r="J1038" s="115" t="s">
        <v>80</v>
      </c>
      <c r="K1038" s="115" t="s">
        <v>81</v>
      </c>
      <c r="L1038" s="115" t="n">
        <v>148.04</v>
      </c>
      <c r="M1038" s="115" t="n">
        <v>3.0</v>
      </c>
      <c r="N1038" s="115"/>
      <c r="O1038" s="115"/>
      <c r="P1038" s="115"/>
      <c r="Q1038" s="115"/>
      <c r="R1038" s="115"/>
      <c r="S1038" s="115"/>
      <c r="T1038" s="115"/>
      <c r="U1038" s="115"/>
      <c r="V1038" s="115" t="s">
        <v>82</v>
      </c>
      <c r="W1038" s="115" t="s">
        <v>83</v>
      </c>
      <c r="X1038" s="113">
        <f>IF(INDIRECT("W1038")="Clássico","12%",IF(INDIRECT("W1038")="Premium","17%","-"))</f>
      </c>
      <c r="Y1038" s="113" t="s">
        <v>343</v>
      </c>
    </row>
    <row r="1039" ht="50.0" customHeight="true">
      <c r="A1039" s="113" t="s">
        <v>3654</v>
      </c>
      <c r="B1039" s="113" t="s">
        <v>3655</v>
      </c>
      <c r="C1039" s="113" t="s">
        <v>3656</v>
      </c>
      <c r="D1039" s="113"/>
      <c r="E1039" s="114" t="s">
        <v>3657</v>
      </c>
      <c r="F1039" s="113" t="s">
        <v>3658</v>
      </c>
      <c r="G1039" s="113" t="s">
        <v>3658</v>
      </c>
      <c r="H1039" s="113" t="s">
        <v>103</v>
      </c>
      <c r="I1039" s="115" t="n">
        <v>477.09</v>
      </c>
      <c r="J1039" s="115" t="s">
        <v>80</v>
      </c>
      <c r="K1039" s="115" t="s">
        <v>81</v>
      </c>
      <c r="L1039" s="115" t="n">
        <v>472.09</v>
      </c>
      <c r="M1039" s="115" t="n">
        <v>3.0</v>
      </c>
      <c r="N1039" s="115"/>
      <c r="O1039" s="115"/>
      <c r="P1039" s="115"/>
      <c r="Q1039" s="115"/>
      <c r="R1039" s="115"/>
      <c r="S1039" s="115"/>
      <c r="T1039" s="115"/>
      <c r="U1039" s="115"/>
      <c r="V1039" s="115" t="s">
        <v>82</v>
      </c>
      <c r="W1039" s="115" t="s">
        <v>83</v>
      </c>
      <c r="X1039" s="113">
        <f>IF(INDIRECT("W1039")="Clássico","12%",IF(INDIRECT("W1039")="Premium","17%","-"))</f>
      </c>
      <c r="Y1039" s="113" t="s">
        <v>3282</v>
      </c>
    </row>
    <row r="1040" ht="50.0" customHeight="true">
      <c r="A1040" s="113" t="s">
        <v>3659</v>
      </c>
      <c r="B1040" s="113" t="s">
        <v>3660</v>
      </c>
      <c r="C1040" s="113" t="s">
        <v>3661</v>
      </c>
      <c r="D1040" s="113"/>
      <c r="E1040" s="114" t="s">
        <v>3662</v>
      </c>
      <c r="F1040" s="113" t="s">
        <v>3663</v>
      </c>
      <c r="G1040" s="113" t="s">
        <v>3663</v>
      </c>
      <c r="H1040" s="113" t="s">
        <v>103</v>
      </c>
      <c r="I1040" s="115" t="n">
        <v>169.5</v>
      </c>
      <c r="J1040" s="115" t="s">
        <v>80</v>
      </c>
      <c r="K1040" s="115" t="s">
        <v>81</v>
      </c>
      <c r="L1040" s="115" t="n">
        <v>156.39</v>
      </c>
      <c r="M1040" s="115" t="n">
        <v>3.0</v>
      </c>
      <c r="N1040" s="115"/>
      <c r="O1040" s="115"/>
      <c r="P1040" s="115"/>
      <c r="Q1040" s="115"/>
      <c r="R1040" s="115"/>
      <c r="S1040" s="115"/>
      <c r="T1040" s="115"/>
      <c r="U1040" s="115"/>
      <c r="V1040" s="115" t="s">
        <v>82</v>
      </c>
      <c r="W1040" s="115" t="s">
        <v>92</v>
      </c>
      <c r="X1040" s="113">
        <f>IF(INDIRECT("W1040")="Clássico","12%",IF(INDIRECT("W1040")="Premium","17%","-"))</f>
      </c>
      <c r="Y1040" s="113" t="s">
        <v>200</v>
      </c>
    </row>
    <row r="1041" ht="50.0" customHeight="true">
      <c r="A1041" s="113" t="s">
        <v>3664</v>
      </c>
      <c r="B1041" s="113" t="s">
        <v>3665</v>
      </c>
      <c r="C1041" s="113" t="s">
        <v>3666</v>
      </c>
      <c r="D1041" s="113"/>
      <c r="E1041" s="114" t="s">
        <v>3413</v>
      </c>
      <c r="F1041" s="113" t="s">
        <v>3667</v>
      </c>
      <c r="G1041" s="113" t="s">
        <v>3667</v>
      </c>
      <c r="H1041" s="113" t="s">
        <v>103</v>
      </c>
      <c r="I1041" s="115" t="n">
        <v>175.9</v>
      </c>
      <c r="J1041" s="115" t="s">
        <v>80</v>
      </c>
      <c r="K1041" s="115" t="s">
        <v>81</v>
      </c>
      <c r="L1041" s="115" t="n">
        <v>170.09</v>
      </c>
      <c r="M1041" s="115" t="n">
        <v>3.0</v>
      </c>
      <c r="N1041" s="115"/>
      <c r="O1041" s="115"/>
      <c r="P1041" s="115"/>
      <c r="Q1041" s="115"/>
      <c r="R1041" s="115"/>
      <c r="S1041" s="115"/>
      <c r="T1041" s="115"/>
      <c r="U1041" s="115"/>
      <c r="V1041" s="115" t="s">
        <v>82</v>
      </c>
      <c r="W1041" s="115" t="s">
        <v>92</v>
      </c>
      <c r="X1041" s="113">
        <f>IF(INDIRECT("W1041")="Clássico","12%",IF(INDIRECT("W1041")="Premium","17%","-"))</f>
      </c>
      <c r="Y1041" s="113" t="s">
        <v>245</v>
      </c>
    </row>
    <row r="1042" ht="50.0" customHeight="true">
      <c r="A1042" s="113" t="s">
        <v>3668</v>
      </c>
      <c r="B1042" s="113" t="s">
        <v>3669</v>
      </c>
      <c r="C1042" s="113" t="s">
        <v>3670</v>
      </c>
      <c r="D1042" s="113"/>
      <c r="E1042" s="114" t="s">
        <v>3225</v>
      </c>
      <c r="F1042" s="113" t="s">
        <v>3226</v>
      </c>
      <c r="G1042" s="113" t="s">
        <v>3226</v>
      </c>
      <c r="H1042" s="113" t="s">
        <v>103</v>
      </c>
      <c r="I1042" s="115" t="n">
        <v>202.52</v>
      </c>
      <c r="J1042" s="115" t="s">
        <v>80</v>
      </c>
      <c r="K1042" s="115" t="s">
        <v>81</v>
      </c>
      <c r="L1042" s="115" t="n">
        <v>197.52</v>
      </c>
      <c r="M1042" s="115" t="n">
        <v>3.0</v>
      </c>
      <c r="N1042" s="115"/>
      <c r="O1042" s="115"/>
      <c r="P1042" s="115"/>
      <c r="Q1042" s="115"/>
      <c r="R1042" s="115"/>
      <c r="S1042" s="115"/>
      <c r="T1042" s="115"/>
      <c r="U1042" s="115"/>
      <c r="V1042" s="115" t="s">
        <v>82</v>
      </c>
      <c r="W1042" s="115" t="s">
        <v>92</v>
      </c>
      <c r="X1042" s="113">
        <f>IF(INDIRECT("W1042")="Clássico","12%",IF(INDIRECT("W1042")="Premium","17%","-"))</f>
      </c>
      <c r="Y1042" s="113" t="s">
        <v>1293</v>
      </c>
    </row>
    <row r="1043" ht="50.0" customHeight="true">
      <c r="A1043" s="113" t="s">
        <v>3671</v>
      </c>
      <c r="B1043" s="113" t="s">
        <v>3672</v>
      </c>
      <c r="C1043" s="113" t="s">
        <v>3673</v>
      </c>
      <c r="D1043" s="113"/>
      <c r="E1043" s="114" t="s">
        <v>3674</v>
      </c>
      <c r="F1043" s="113" t="s">
        <v>3675</v>
      </c>
      <c r="G1043" s="113" t="s">
        <v>3675</v>
      </c>
      <c r="H1043" s="113" t="s">
        <v>103</v>
      </c>
      <c r="I1043" s="115" t="n">
        <v>77.09</v>
      </c>
      <c r="J1043" s="115" t="s">
        <v>80</v>
      </c>
      <c r="K1043" s="115" t="s">
        <v>81</v>
      </c>
      <c r="L1043" s="115" t="n">
        <v>83.48</v>
      </c>
      <c r="M1043" s="115" t="n">
        <v>3.0</v>
      </c>
      <c r="N1043" s="115"/>
      <c r="O1043" s="115"/>
      <c r="P1043" s="115"/>
      <c r="Q1043" s="115"/>
      <c r="R1043" s="115"/>
      <c r="S1043" s="115"/>
      <c r="T1043" s="115"/>
      <c r="U1043" s="115"/>
      <c r="V1043" s="115" t="s">
        <v>91</v>
      </c>
      <c r="W1043" s="115" t="s">
        <v>83</v>
      </c>
      <c r="X1043" s="113">
        <f>IF(INDIRECT("W1043")="Clássico","12%",IF(INDIRECT("W1043")="Premium","17%","-"))</f>
      </c>
      <c r="Y1043" s="113" t="s">
        <v>200</v>
      </c>
    </row>
    <row r="1044" ht="50.0" customHeight="true">
      <c r="A1044" s="113" t="s">
        <v>3676</v>
      </c>
      <c r="B1044" s="113" t="s">
        <v>3677</v>
      </c>
      <c r="C1044" s="113" t="s">
        <v>3678</v>
      </c>
      <c r="D1044" s="113"/>
      <c r="E1044" s="114" t="s">
        <v>3679</v>
      </c>
      <c r="F1044" s="113" t="s">
        <v>3680</v>
      </c>
      <c r="G1044" s="113" t="s">
        <v>3680</v>
      </c>
      <c r="H1044" s="113" t="s">
        <v>103</v>
      </c>
      <c r="I1044" s="115" t="n">
        <v>208.74</v>
      </c>
      <c r="J1044" s="115" t="s">
        <v>80</v>
      </c>
      <c r="K1044" s="115" t="s">
        <v>81</v>
      </c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 t="s">
        <v>82</v>
      </c>
      <c r="W1044" s="115" t="s">
        <v>83</v>
      </c>
      <c r="X1044" s="113">
        <f>IF(INDIRECT("W1044")="Clássico","12%",IF(INDIRECT("W1044")="Premium","17%","-"))</f>
      </c>
      <c r="Y1044" s="113" t="s">
        <v>3681</v>
      </c>
    </row>
    <row r="1045" ht="50.0" customHeight="true">
      <c r="A1045" s="113" t="s">
        <v>3682</v>
      </c>
      <c r="B1045" s="113" t="s">
        <v>3683</v>
      </c>
      <c r="C1045" s="113" t="s">
        <v>3684</v>
      </c>
      <c r="D1045" s="113"/>
      <c r="E1045" s="114" t="s">
        <v>2210</v>
      </c>
      <c r="F1045" s="113" t="s">
        <v>3685</v>
      </c>
      <c r="G1045" s="113" t="s">
        <v>3685</v>
      </c>
      <c r="H1045" s="113" t="s">
        <v>103</v>
      </c>
      <c r="I1045" s="115" t="n">
        <v>773.41</v>
      </c>
      <c r="J1045" s="115" t="s">
        <v>80</v>
      </c>
      <c r="K1045" s="115" t="s">
        <v>81</v>
      </c>
      <c r="L1045" s="115" t="n">
        <v>768.41</v>
      </c>
      <c r="M1045" s="115" t="n">
        <v>3.0</v>
      </c>
      <c r="N1045" s="115"/>
      <c r="O1045" s="115"/>
      <c r="P1045" s="115"/>
      <c r="Q1045" s="115"/>
      <c r="R1045" s="115"/>
      <c r="S1045" s="115"/>
      <c r="T1045" s="115"/>
      <c r="U1045" s="115"/>
      <c r="V1045" s="115" t="s">
        <v>82</v>
      </c>
      <c r="W1045" s="115" t="s">
        <v>92</v>
      </c>
      <c r="X1045" s="113">
        <f>IF(INDIRECT("W1045")="Clássico","12%",IF(INDIRECT("W1045")="Premium","17%","-"))</f>
      </c>
      <c r="Y1045" s="113" t="s">
        <v>712</v>
      </c>
    </row>
    <row r="1046" ht="50.0" customHeight="true">
      <c r="A1046" s="113" t="s">
        <v>3686</v>
      </c>
      <c r="B1046" s="113" t="s">
        <v>3687</v>
      </c>
      <c r="C1046" s="113" t="s">
        <v>3688</v>
      </c>
      <c r="D1046" s="113"/>
      <c r="E1046" s="114" t="s">
        <v>3662</v>
      </c>
      <c r="F1046" s="113" t="s">
        <v>3689</v>
      </c>
      <c r="G1046" s="113" t="s">
        <v>3689</v>
      </c>
      <c r="H1046" s="113" t="s">
        <v>103</v>
      </c>
      <c r="I1046" s="115" t="n">
        <v>161.9</v>
      </c>
      <c r="J1046" s="115" t="s">
        <v>80</v>
      </c>
      <c r="K1046" s="115" t="s">
        <v>81</v>
      </c>
      <c r="L1046" s="115" t="n">
        <v>156.9</v>
      </c>
      <c r="M1046" s="115" t="n">
        <v>3.0</v>
      </c>
      <c r="N1046" s="115"/>
      <c r="O1046" s="115"/>
      <c r="P1046" s="115"/>
      <c r="Q1046" s="115"/>
      <c r="R1046" s="115"/>
      <c r="S1046" s="115"/>
      <c r="T1046" s="115"/>
      <c r="U1046" s="115"/>
      <c r="V1046" s="115" t="s">
        <v>82</v>
      </c>
      <c r="W1046" s="115" t="s">
        <v>83</v>
      </c>
      <c r="X1046" s="113">
        <f>IF(INDIRECT("W1046")="Clássico","12%",IF(INDIRECT("W1046")="Premium","17%","-"))</f>
      </c>
      <c r="Y1046" s="113" t="s">
        <v>200</v>
      </c>
    </row>
    <row r="1047" ht="50.0" customHeight="true">
      <c r="A1047" s="113" t="s">
        <v>3690</v>
      </c>
      <c r="B1047" s="113" t="s">
        <v>3691</v>
      </c>
      <c r="C1047" s="113" t="s">
        <v>3692</v>
      </c>
      <c r="D1047" s="113"/>
      <c r="E1047" s="114" t="s">
        <v>3693</v>
      </c>
      <c r="F1047" s="113" t="s">
        <v>3694</v>
      </c>
      <c r="G1047" s="113" t="s">
        <v>3694</v>
      </c>
      <c r="H1047" s="113" t="s">
        <v>103</v>
      </c>
      <c r="I1047" s="115" t="n">
        <v>126.9</v>
      </c>
      <c r="J1047" s="115" t="s">
        <v>80</v>
      </c>
      <c r="K1047" s="115" t="s">
        <v>81</v>
      </c>
      <c r="L1047" s="115" t="n">
        <v>121.9</v>
      </c>
      <c r="M1047" s="115" t="n">
        <v>3.0</v>
      </c>
      <c r="N1047" s="115"/>
      <c r="O1047" s="115"/>
      <c r="P1047" s="115"/>
      <c r="Q1047" s="115"/>
      <c r="R1047" s="115"/>
      <c r="S1047" s="115"/>
      <c r="T1047" s="115"/>
      <c r="U1047" s="115"/>
      <c r="V1047" s="115" t="s">
        <v>82</v>
      </c>
      <c r="W1047" s="115" t="s">
        <v>83</v>
      </c>
      <c r="X1047" s="113">
        <f>IF(INDIRECT("W1047")="Clássico","12%",IF(INDIRECT("W1047")="Premium","17%","-"))</f>
      </c>
      <c r="Y1047" s="113" t="s">
        <v>3695</v>
      </c>
    </row>
    <row r="1048" ht="50.0" customHeight="true">
      <c r="A1048" s="113" t="s">
        <v>3696</v>
      </c>
      <c r="B1048" s="113" t="s">
        <v>3697</v>
      </c>
      <c r="C1048" s="113" t="s">
        <v>3698</v>
      </c>
      <c r="D1048" s="113"/>
      <c r="E1048" s="114" t="s">
        <v>3534</v>
      </c>
      <c r="F1048" s="113" t="s">
        <v>3699</v>
      </c>
      <c r="G1048" s="113" t="s">
        <v>3699</v>
      </c>
      <c r="H1048" s="113" t="s">
        <v>103</v>
      </c>
      <c r="I1048" s="115" t="n">
        <v>273.42</v>
      </c>
      <c r="J1048" s="115" t="s">
        <v>80</v>
      </c>
      <c r="K1048" s="115" t="s">
        <v>81</v>
      </c>
      <c r="L1048" s="115" t="n">
        <v>268.42</v>
      </c>
      <c r="M1048" s="115" t="n">
        <v>3.0</v>
      </c>
      <c r="N1048" s="115"/>
      <c r="O1048" s="115"/>
      <c r="P1048" s="115"/>
      <c r="Q1048" s="115"/>
      <c r="R1048" s="115"/>
      <c r="S1048" s="115"/>
      <c r="T1048" s="115"/>
      <c r="U1048" s="115"/>
      <c r="V1048" s="115" t="s">
        <v>82</v>
      </c>
      <c r="W1048" s="115" t="s">
        <v>92</v>
      </c>
      <c r="X1048" s="113">
        <f>IF(INDIRECT("W1048")="Clássico","12%",IF(INDIRECT("W1048")="Premium","17%","-"))</f>
      </c>
      <c r="Y1048" s="113" t="s">
        <v>482</v>
      </c>
    </row>
    <row r="1049" ht="50.0" customHeight="true">
      <c r="A1049" s="113" t="s">
        <v>3700</v>
      </c>
      <c r="B1049" s="113" t="s">
        <v>3701</v>
      </c>
      <c r="C1049" s="113" t="s">
        <v>3702</v>
      </c>
      <c r="D1049" s="113"/>
      <c r="E1049" s="114" t="s">
        <v>625</v>
      </c>
      <c r="F1049" s="113" t="s">
        <v>3703</v>
      </c>
      <c r="G1049" s="113" t="s">
        <v>3703</v>
      </c>
      <c r="H1049" s="113" t="s">
        <v>103</v>
      </c>
      <c r="I1049" s="115" t="n">
        <v>164.43</v>
      </c>
      <c r="J1049" s="115" t="s">
        <v>80</v>
      </c>
      <c r="K1049" s="115" t="s">
        <v>81</v>
      </c>
      <c r="L1049" s="115" t="n">
        <v>154.37</v>
      </c>
      <c r="M1049" s="115" t="n">
        <v>3.0</v>
      </c>
      <c r="N1049" s="115"/>
      <c r="O1049" s="115"/>
      <c r="P1049" s="115"/>
      <c r="Q1049" s="115"/>
      <c r="R1049" s="115"/>
      <c r="S1049" s="115"/>
      <c r="T1049" s="115"/>
      <c r="U1049" s="115"/>
      <c r="V1049" s="115" t="s">
        <v>82</v>
      </c>
      <c r="W1049" s="115" t="s">
        <v>83</v>
      </c>
      <c r="X1049" s="113">
        <f>IF(INDIRECT("W1049")="Clássico","12%",IF(INDIRECT("W1049")="Premium","17%","-"))</f>
      </c>
      <c r="Y1049" s="113" t="s">
        <v>627</v>
      </c>
    </row>
    <row r="1050" ht="50.0" customHeight="true">
      <c r="A1050" s="113" t="s">
        <v>3704</v>
      </c>
      <c r="B1050" s="113" t="s">
        <v>3705</v>
      </c>
      <c r="C1050" s="113" t="s">
        <v>3706</v>
      </c>
      <c r="D1050" s="113"/>
      <c r="E1050" s="114" t="s">
        <v>3548</v>
      </c>
      <c r="F1050" s="113" t="s">
        <v>3707</v>
      </c>
      <c r="G1050" s="113" t="s">
        <v>127</v>
      </c>
      <c r="H1050" s="113" t="s">
        <v>103</v>
      </c>
      <c r="I1050" s="115" t="n">
        <v>97.34</v>
      </c>
      <c r="J1050" s="115" t="s">
        <v>80</v>
      </c>
      <c r="K1050" s="115" t="s">
        <v>81</v>
      </c>
      <c r="L1050" s="115" t="n">
        <v>92.34</v>
      </c>
      <c r="M1050" s="115" t="n">
        <v>3.0</v>
      </c>
      <c r="N1050" s="115"/>
      <c r="O1050" s="115"/>
      <c r="P1050" s="115"/>
      <c r="Q1050" s="115"/>
      <c r="R1050" s="115"/>
      <c r="S1050" s="115"/>
      <c r="T1050" s="115"/>
      <c r="U1050" s="115"/>
      <c r="V1050" s="115" t="s">
        <v>82</v>
      </c>
      <c r="W1050" s="115" t="s">
        <v>92</v>
      </c>
      <c r="X1050" s="113">
        <f>IF(INDIRECT("W1050")="Clássico","12%",IF(INDIRECT("W1050")="Premium","17%","-"))</f>
      </c>
      <c r="Y1050" s="113" t="s">
        <v>128</v>
      </c>
    </row>
    <row r="1051" ht="50.0" customHeight="true">
      <c r="A1051" s="113" t="s">
        <v>3708</v>
      </c>
      <c r="B1051" s="113" t="s">
        <v>3709</v>
      </c>
      <c r="C1051" s="113" t="s">
        <v>3710</v>
      </c>
      <c r="D1051" s="113"/>
      <c r="E1051" s="114" t="s">
        <v>3290</v>
      </c>
      <c r="F1051" s="113" t="s">
        <v>3291</v>
      </c>
      <c r="G1051" s="113" t="s">
        <v>3291</v>
      </c>
      <c r="H1051" s="113" t="s">
        <v>103</v>
      </c>
      <c r="I1051" s="115" t="n">
        <v>61.52</v>
      </c>
      <c r="J1051" s="115" t="s">
        <v>80</v>
      </c>
      <c r="K1051" s="115" t="s">
        <v>81</v>
      </c>
      <c r="L1051" s="115" t="n">
        <v>56.52</v>
      </c>
      <c r="M1051" s="115" t="n">
        <v>3.0</v>
      </c>
      <c r="N1051" s="115"/>
      <c r="O1051" s="115"/>
      <c r="P1051" s="115"/>
      <c r="Q1051" s="115"/>
      <c r="R1051" s="115"/>
      <c r="S1051" s="115"/>
      <c r="T1051" s="115"/>
      <c r="U1051" s="115"/>
      <c r="V1051" s="115" t="s">
        <v>91</v>
      </c>
      <c r="W1051" s="115" t="s">
        <v>92</v>
      </c>
      <c r="X1051" s="113">
        <f>IF(INDIRECT("W1051")="Clássico","12%",IF(INDIRECT("W1051")="Premium","17%","-"))</f>
      </c>
      <c r="Y1051" s="113" t="s">
        <v>3470</v>
      </c>
    </row>
    <row r="1052" ht="50.0" customHeight="true">
      <c r="A1052" s="113" t="s">
        <v>3711</v>
      </c>
      <c r="B1052" s="113" t="s">
        <v>3712</v>
      </c>
      <c r="C1052" s="113" t="s">
        <v>3713</v>
      </c>
      <c r="D1052" s="113"/>
      <c r="E1052" s="114" t="s">
        <v>3657</v>
      </c>
      <c r="F1052" s="113" t="s">
        <v>3714</v>
      </c>
      <c r="G1052" s="113" t="s">
        <v>3714</v>
      </c>
      <c r="H1052" s="113" t="s">
        <v>103</v>
      </c>
      <c r="I1052" s="115" t="n">
        <v>623.93</v>
      </c>
      <c r="J1052" s="115" t="s">
        <v>80</v>
      </c>
      <c r="K1052" s="115" t="s">
        <v>81</v>
      </c>
      <c r="L1052" s="115" t="n">
        <v>580.96</v>
      </c>
      <c r="M1052" s="115" t="n">
        <v>3.0</v>
      </c>
      <c r="N1052" s="115"/>
      <c r="O1052" s="115"/>
      <c r="P1052" s="115"/>
      <c r="Q1052" s="115"/>
      <c r="R1052" s="115"/>
      <c r="S1052" s="115"/>
      <c r="T1052" s="115"/>
      <c r="U1052" s="115"/>
      <c r="V1052" s="115" t="s">
        <v>82</v>
      </c>
      <c r="W1052" s="115" t="s">
        <v>92</v>
      </c>
      <c r="X1052" s="113">
        <f>IF(INDIRECT("W1052")="Clássico","12%",IF(INDIRECT("W1052")="Premium","17%","-"))</f>
      </c>
      <c r="Y1052" s="113" t="s">
        <v>3282</v>
      </c>
    </row>
    <row r="1053" ht="50.0" customHeight="true">
      <c r="A1053" s="113" t="s">
        <v>22</v>
      </c>
      <c r="B1053" s="113" t="s">
        <v>3715</v>
      </c>
      <c r="C1053" s="113"/>
      <c r="D1053" s="113"/>
      <c r="E1053" s="113" t="s">
        <v>22</v>
      </c>
      <c r="F1053" s="113" t="s">
        <v>3716</v>
      </c>
      <c r="G1053" s="113" t="s">
        <v>103</v>
      </c>
      <c r="H1053" s="113" t="s">
        <v>103</v>
      </c>
      <c r="I1053" s="115" t="n">
        <v>138.76</v>
      </c>
      <c r="J1053" s="115" t="s">
        <v>80</v>
      </c>
      <c r="K1053" s="113" t="s">
        <v>81</v>
      </c>
      <c r="L1053" s="115" t="n">
        <v>133.76</v>
      </c>
      <c r="M1053" s="115" t="n">
        <v>3.0</v>
      </c>
      <c r="N1053" s="115"/>
      <c r="O1053" s="115"/>
      <c r="P1053" s="115"/>
      <c r="Q1053" s="115"/>
      <c r="R1053" s="115"/>
      <c r="S1053" s="115"/>
      <c r="T1053" s="115"/>
      <c r="U1053" s="115"/>
      <c r="V1053" s="115" t="s">
        <v>82</v>
      </c>
      <c r="W1053" s="115" t="s">
        <v>83</v>
      </c>
      <c r="X1053" s="113">
        <f>IF(INDIRECT("W1053")="Clássico","11.5%",IF(INDIRECT("W1053")="Premium","16.5%","-"))</f>
      </c>
      <c r="Y1053" s="113" t="s">
        <v>3552</v>
      </c>
    </row>
    <row r="1054" ht="50.0" customHeight="true">
      <c r="A1054" s="113" t="s">
        <v>22</v>
      </c>
      <c r="B1054" s="113" t="s">
        <v>3715</v>
      </c>
      <c r="C1054" s="113" t="s">
        <v>3717</v>
      </c>
      <c r="D1054" s="113" t="s">
        <v>3717</v>
      </c>
      <c r="E1054" s="114" t="s">
        <v>3554</v>
      </c>
      <c r="F1054" s="116">
        <f>"     "&amp;F1053</f>
      </c>
      <c r="G1054" s="113" t="s">
        <v>3718</v>
      </c>
      <c r="H1054" s="113" t="s">
        <v>103</v>
      </c>
      <c r="I1054" s="113">
        <f>I1053</f>
      </c>
      <c r="J1054" s="113">
        <f>J1053&amp;"     "</f>
      </c>
      <c r="K1054" s="113" t="s">
        <v>81</v>
      </c>
      <c r="L1054" s="113">
        <f>L1053</f>
      </c>
      <c r="M1054" s="113">
        <f>M1053</f>
      </c>
      <c r="N1054" s="113">
        <f>N1053</f>
      </c>
      <c r="O1054" s="113">
        <f>O1053</f>
      </c>
      <c r="P1054" s="113">
        <f>P1053</f>
      </c>
      <c r="Q1054" s="113">
        <f>Q1053</f>
      </c>
      <c r="R1054" s="113">
        <f>R1053</f>
      </c>
      <c r="S1054" s="113">
        <f>S1053</f>
      </c>
      <c r="T1054" s="113">
        <f>T1053</f>
      </c>
      <c r="U1054" s="113">
        <f>U1053</f>
      </c>
      <c r="V1054" s="113">
        <f>V1053&amp;"     "</f>
      </c>
      <c r="W1054" s="113">
        <f>W1053&amp;"     "</f>
      </c>
      <c r="X1054" s="113">
        <f>X1053</f>
      </c>
      <c r="Y1054" s="113" t="s">
        <v>3552</v>
      </c>
    </row>
    <row r="1055" ht="50.0" customHeight="true">
      <c r="A1055" s="113" t="s">
        <v>22</v>
      </c>
      <c r="B1055" s="113" t="s">
        <v>3715</v>
      </c>
      <c r="C1055" s="113" t="s">
        <v>3719</v>
      </c>
      <c r="D1055" s="113" t="s">
        <v>3719</v>
      </c>
      <c r="E1055" s="114" t="s">
        <v>3557</v>
      </c>
      <c r="F1055" s="116">
        <f>"     "&amp;F1053</f>
      </c>
      <c r="G1055" s="113" t="s">
        <v>3720</v>
      </c>
      <c r="H1055" s="113" t="s">
        <v>103</v>
      </c>
      <c r="I1055" s="113">
        <f>I1053</f>
      </c>
      <c r="J1055" s="113">
        <f>J1053&amp;"     "</f>
      </c>
      <c r="K1055" s="113" t="s">
        <v>81</v>
      </c>
      <c r="L1055" s="113">
        <f>L1053</f>
      </c>
      <c r="M1055" s="113">
        <f>M1053</f>
      </c>
      <c r="N1055" s="113">
        <f>N1053</f>
      </c>
      <c r="O1055" s="113">
        <f>O1053</f>
      </c>
      <c r="P1055" s="113">
        <f>P1053</f>
      </c>
      <c r="Q1055" s="113">
        <f>Q1053</f>
      </c>
      <c r="R1055" s="113">
        <f>R1053</f>
      </c>
      <c r="S1055" s="113">
        <f>S1053</f>
      </c>
      <c r="T1055" s="113">
        <f>T1053</f>
      </c>
      <c r="U1055" s="113">
        <f>U1053</f>
      </c>
      <c r="V1055" s="113">
        <f>V1053&amp;"     "</f>
      </c>
      <c r="W1055" s="113">
        <f>W1053&amp;"     "</f>
      </c>
      <c r="X1055" s="113">
        <f>X1053</f>
      </c>
      <c r="Y1055" s="113" t="s">
        <v>3552</v>
      </c>
    </row>
    <row r="1056" ht="50.0" customHeight="true">
      <c r="A1056" s="113" t="s">
        <v>3721</v>
      </c>
      <c r="B1056" s="113" t="s">
        <v>3722</v>
      </c>
      <c r="C1056" s="113" t="s">
        <v>3723</v>
      </c>
      <c r="D1056" s="113"/>
      <c r="E1056" s="114" t="s">
        <v>3377</v>
      </c>
      <c r="F1056" s="113" t="s">
        <v>3724</v>
      </c>
      <c r="G1056" s="113" t="s">
        <v>3724</v>
      </c>
      <c r="H1056" s="113" t="s">
        <v>103</v>
      </c>
      <c r="I1056" s="115" t="n">
        <v>235.43</v>
      </c>
      <c r="J1056" s="115" t="s">
        <v>80</v>
      </c>
      <c r="K1056" s="115" t="s">
        <v>81</v>
      </c>
      <c r="L1056" s="115" t="n">
        <v>230.43</v>
      </c>
      <c r="M1056" s="115" t="n">
        <v>3.0</v>
      </c>
      <c r="N1056" s="115"/>
      <c r="O1056" s="115"/>
      <c r="P1056" s="115"/>
      <c r="Q1056" s="115"/>
      <c r="R1056" s="115"/>
      <c r="S1056" s="115"/>
      <c r="T1056" s="115"/>
      <c r="U1056" s="115"/>
      <c r="V1056" s="115" t="s">
        <v>82</v>
      </c>
      <c r="W1056" s="115" t="s">
        <v>83</v>
      </c>
      <c r="X1056" s="113">
        <f>IF(INDIRECT("W1056")="Clássico","12%",IF(INDIRECT("W1056")="Premium","17%","-"))</f>
      </c>
      <c r="Y1056" s="113" t="s">
        <v>1105</v>
      </c>
    </row>
    <row r="1057" ht="50.0" customHeight="true">
      <c r="A1057" s="113" t="s">
        <v>3725</v>
      </c>
      <c r="B1057" s="113" t="s">
        <v>3726</v>
      </c>
      <c r="C1057" s="113" t="s">
        <v>3727</v>
      </c>
      <c r="D1057" s="113"/>
      <c r="E1057" s="114" t="s">
        <v>3617</v>
      </c>
      <c r="F1057" s="113" t="s">
        <v>3728</v>
      </c>
      <c r="G1057" s="113" t="s">
        <v>3728</v>
      </c>
      <c r="H1057" s="113" t="s">
        <v>103</v>
      </c>
      <c r="I1057" s="115" t="n">
        <v>277.22</v>
      </c>
      <c r="J1057" s="115" t="s">
        <v>80</v>
      </c>
      <c r="K1057" s="115" t="s">
        <v>81</v>
      </c>
      <c r="L1057" s="115" t="n">
        <v>272.22</v>
      </c>
      <c r="M1057" s="115" t="n">
        <v>3.0</v>
      </c>
      <c r="N1057" s="115"/>
      <c r="O1057" s="115"/>
      <c r="P1057" s="115"/>
      <c r="Q1057" s="115"/>
      <c r="R1057" s="115"/>
      <c r="S1057" s="115"/>
      <c r="T1057" s="115"/>
      <c r="U1057" s="115"/>
      <c r="V1057" s="115" t="s">
        <v>82</v>
      </c>
      <c r="W1057" s="115" t="s">
        <v>83</v>
      </c>
      <c r="X1057" s="113">
        <f>IF(INDIRECT("W1057")="Clássico","12%",IF(INDIRECT("W1057")="Premium","17%","-"))</f>
      </c>
      <c r="Y1057" s="113" t="s">
        <v>1041</v>
      </c>
    </row>
    <row r="1058" ht="50.0" customHeight="true">
      <c r="A1058" s="113" t="s">
        <v>3729</v>
      </c>
      <c r="B1058" s="113" t="s">
        <v>3730</v>
      </c>
      <c r="C1058" s="113" t="s">
        <v>3731</v>
      </c>
      <c r="D1058" s="113"/>
      <c r="E1058" s="114" t="s">
        <v>3368</v>
      </c>
      <c r="F1058" s="113" t="s">
        <v>3732</v>
      </c>
      <c r="G1058" s="113" t="s">
        <v>3732</v>
      </c>
      <c r="H1058" s="113" t="s">
        <v>103</v>
      </c>
      <c r="I1058" s="115" t="n">
        <v>298.79</v>
      </c>
      <c r="J1058" s="115" t="s">
        <v>80</v>
      </c>
      <c r="K1058" s="115" t="s">
        <v>81</v>
      </c>
      <c r="L1058" s="115" t="n">
        <v>293.79</v>
      </c>
      <c r="M1058" s="115" t="n">
        <v>3.0</v>
      </c>
      <c r="N1058" s="115"/>
      <c r="O1058" s="115"/>
      <c r="P1058" s="115"/>
      <c r="Q1058" s="115"/>
      <c r="R1058" s="115"/>
      <c r="S1058" s="115"/>
      <c r="T1058" s="115"/>
      <c r="U1058" s="115"/>
      <c r="V1058" s="115" t="s">
        <v>82</v>
      </c>
      <c r="W1058" s="115" t="s">
        <v>92</v>
      </c>
      <c r="X1058" s="113">
        <f>IF(INDIRECT("W1058")="Clássico","12%",IF(INDIRECT("W1058")="Premium","17%","-"))</f>
      </c>
      <c r="Y1058" s="113" t="s">
        <v>1774</v>
      </c>
    </row>
    <row r="1059" ht="50.0" customHeight="true">
      <c r="A1059" s="113" t="s">
        <v>3733</v>
      </c>
      <c r="B1059" s="113" t="s">
        <v>3734</v>
      </c>
      <c r="C1059" s="113" t="s">
        <v>3735</v>
      </c>
      <c r="D1059" s="113"/>
      <c r="E1059" s="114" t="s">
        <v>3736</v>
      </c>
      <c r="F1059" s="113" t="s">
        <v>3737</v>
      </c>
      <c r="G1059" s="113" t="s">
        <v>3737</v>
      </c>
      <c r="H1059" s="113" t="s">
        <v>103</v>
      </c>
      <c r="I1059" s="115" t="n">
        <v>431.52</v>
      </c>
      <c r="J1059" s="115" t="s">
        <v>80</v>
      </c>
      <c r="K1059" s="115" t="s">
        <v>81</v>
      </c>
      <c r="L1059" s="115" t="n">
        <v>497.41</v>
      </c>
      <c r="M1059" s="115" t="n">
        <v>3.0</v>
      </c>
      <c r="N1059" s="115"/>
      <c r="O1059" s="115"/>
      <c r="P1059" s="115"/>
      <c r="Q1059" s="115"/>
      <c r="R1059" s="115"/>
      <c r="S1059" s="115"/>
      <c r="T1059" s="115"/>
      <c r="U1059" s="115"/>
      <c r="V1059" s="115" t="s">
        <v>82</v>
      </c>
      <c r="W1059" s="115" t="s">
        <v>92</v>
      </c>
      <c r="X1059" s="113">
        <f>IF(INDIRECT("W1059")="Clássico","12%",IF(INDIRECT("W1059")="Premium","17%","-"))</f>
      </c>
      <c r="Y1059" s="113" t="s">
        <v>181</v>
      </c>
    </row>
    <row r="1060" ht="50.0" customHeight="true">
      <c r="A1060" s="113" t="s">
        <v>3738</v>
      </c>
      <c r="B1060" s="113" t="s">
        <v>3739</v>
      </c>
      <c r="C1060" s="113" t="s">
        <v>3740</v>
      </c>
      <c r="D1060" s="113"/>
      <c r="E1060" s="114" t="s">
        <v>3741</v>
      </c>
      <c r="F1060" s="113" t="s">
        <v>3742</v>
      </c>
      <c r="G1060" s="113" t="s">
        <v>3742</v>
      </c>
      <c r="H1060" s="113" t="s">
        <v>103</v>
      </c>
      <c r="I1060" s="115" t="n">
        <v>537.9</v>
      </c>
      <c r="J1060" s="115" t="s">
        <v>80</v>
      </c>
      <c r="K1060" s="115" t="s">
        <v>81</v>
      </c>
      <c r="L1060" s="115" t="n">
        <v>190.32</v>
      </c>
      <c r="M1060" s="115" t="n">
        <v>3.0</v>
      </c>
      <c r="N1060" s="115"/>
      <c r="O1060" s="115"/>
      <c r="P1060" s="115"/>
      <c r="Q1060" s="115"/>
      <c r="R1060" s="115"/>
      <c r="S1060" s="115"/>
      <c r="T1060" s="115"/>
      <c r="U1060" s="115"/>
      <c r="V1060" s="115" t="s">
        <v>82</v>
      </c>
      <c r="W1060" s="115" t="s">
        <v>83</v>
      </c>
      <c r="X1060" s="113">
        <f>IF(INDIRECT("W1060")="Clássico","12%",IF(INDIRECT("W1060")="Premium","17%","-"))</f>
      </c>
      <c r="Y1060" s="113" t="s">
        <v>1774</v>
      </c>
    </row>
    <row r="1061" ht="50.0" customHeight="true">
      <c r="A1061" s="113" t="s">
        <v>3743</v>
      </c>
      <c r="B1061" s="113" t="s">
        <v>3744</v>
      </c>
      <c r="C1061" s="113" t="s">
        <v>3745</v>
      </c>
      <c r="D1061" s="113"/>
      <c r="E1061" s="114" t="s">
        <v>3518</v>
      </c>
      <c r="F1061" s="113" t="s">
        <v>3746</v>
      </c>
      <c r="G1061" s="113" t="s">
        <v>3746</v>
      </c>
      <c r="H1061" s="113" t="s">
        <v>103</v>
      </c>
      <c r="I1061" s="115" t="n">
        <v>112.99</v>
      </c>
      <c r="J1061" s="115" t="s">
        <v>80</v>
      </c>
      <c r="K1061" s="115" t="s">
        <v>81</v>
      </c>
      <c r="L1061" s="115" t="n">
        <v>107.99</v>
      </c>
      <c r="M1061" s="115" t="n">
        <v>3.0</v>
      </c>
      <c r="N1061" s="115"/>
      <c r="O1061" s="115"/>
      <c r="P1061" s="115"/>
      <c r="Q1061" s="115"/>
      <c r="R1061" s="115"/>
      <c r="S1061" s="115"/>
      <c r="T1061" s="115"/>
      <c r="U1061" s="115"/>
      <c r="V1061" s="115" t="s">
        <v>82</v>
      </c>
      <c r="W1061" s="115" t="s">
        <v>83</v>
      </c>
      <c r="X1061" s="113">
        <f>IF(INDIRECT("W1061")="Clássico","12%",IF(INDIRECT("W1061")="Premium","17%","-"))</f>
      </c>
      <c r="Y1061" s="113" t="s">
        <v>3520</v>
      </c>
    </row>
    <row r="1062" ht="50.0" customHeight="true">
      <c r="A1062" s="113" t="s">
        <v>3747</v>
      </c>
      <c r="B1062" s="113" t="s">
        <v>3748</v>
      </c>
      <c r="C1062" s="113" t="s">
        <v>3749</v>
      </c>
      <c r="D1062" s="113"/>
      <c r="E1062" s="114" t="s">
        <v>2210</v>
      </c>
      <c r="F1062" s="113" t="s">
        <v>3750</v>
      </c>
      <c r="G1062" s="113" t="s">
        <v>3750</v>
      </c>
      <c r="H1062" s="113" t="s">
        <v>103</v>
      </c>
      <c r="I1062" s="115" t="n">
        <v>853.05</v>
      </c>
      <c r="J1062" s="115" t="s">
        <v>80</v>
      </c>
      <c r="K1062" s="115" t="s">
        <v>81</v>
      </c>
      <c r="L1062" s="115" t="n">
        <v>848.05</v>
      </c>
      <c r="M1062" s="115" t="n">
        <v>3.0</v>
      </c>
      <c r="N1062" s="115"/>
      <c r="O1062" s="115"/>
      <c r="P1062" s="115"/>
      <c r="Q1062" s="115"/>
      <c r="R1062" s="115"/>
      <c r="S1062" s="115"/>
      <c r="T1062" s="115"/>
      <c r="U1062" s="115"/>
      <c r="V1062" s="115" t="s">
        <v>82</v>
      </c>
      <c r="W1062" s="115" t="s">
        <v>92</v>
      </c>
      <c r="X1062" s="113">
        <f>IF(INDIRECT("W1062")="Clássico","12%",IF(INDIRECT("W1062")="Premium","17%","-"))</f>
      </c>
      <c r="Y1062" s="113" t="s">
        <v>712</v>
      </c>
    </row>
    <row r="1063" ht="50.0" customHeight="true">
      <c r="A1063" s="113" t="s">
        <v>3751</v>
      </c>
      <c r="B1063" s="113" t="s">
        <v>3752</v>
      </c>
      <c r="C1063" s="113" t="s">
        <v>3753</v>
      </c>
      <c r="D1063" s="113"/>
      <c r="E1063" s="114" t="s">
        <v>3754</v>
      </c>
      <c r="F1063" s="113" t="s">
        <v>3755</v>
      </c>
      <c r="G1063" s="113" t="s">
        <v>3755</v>
      </c>
      <c r="H1063" s="113" t="s">
        <v>103</v>
      </c>
      <c r="I1063" s="115" t="n">
        <v>370.88</v>
      </c>
      <c r="J1063" s="115" t="s">
        <v>80</v>
      </c>
      <c r="K1063" s="115" t="s">
        <v>81</v>
      </c>
      <c r="L1063" s="115" t="n">
        <v>365.88</v>
      </c>
      <c r="M1063" s="115" t="n">
        <v>3.0</v>
      </c>
      <c r="N1063" s="115"/>
      <c r="O1063" s="115"/>
      <c r="P1063" s="115"/>
      <c r="Q1063" s="115"/>
      <c r="R1063" s="115"/>
      <c r="S1063" s="115"/>
      <c r="T1063" s="115"/>
      <c r="U1063" s="115"/>
      <c r="V1063" s="115" t="s">
        <v>82</v>
      </c>
      <c r="W1063" s="115" t="s">
        <v>83</v>
      </c>
      <c r="X1063" s="113">
        <f>IF(INDIRECT("W1063")="Clássico","12%",IF(INDIRECT("W1063")="Premium","17%","-"))</f>
      </c>
      <c r="Y1063" s="113" t="s">
        <v>3756</v>
      </c>
    </row>
    <row r="1064" ht="50.0" customHeight="true">
      <c r="A1064" s="113" t="s">
        <v>3757</v>
      </c>
      <c r="B1064" s="113" t="s">
        <v>3758</v>
      </c>
      <c r="C1064" s="113" t="s">
        <v>3759</v>
      </c>
      <c r="D1064" s="113"/>
      <c r="E1064" s="114" t="s">
        <v>3760</v>
      </c>
      <c r="F1064" s="113" t="s">
        <v>3761</v>
      </c>
      <c r="G1064" s="113" t="s">
        <v>3761</v>
      </c>
      <c r="H1064" s="113" t="s">
        <v>103</v>
      </c>
      <c r="I1064" s="115" t="n">
        <v>77.09</v>
      </c>
      <c r="J1064" s="115" t="s">
        <v>80</v>
      </c>
      <c r="K1064" s="115" t="s">
        <v>81</v>
      </c>
      <c r="L1064" s="115" t="n">
        <v>88.55</v>
      </c>
      <c r="M1064" s="115" t="n">
        <v>3.0</v>
      </c>
      <c r="N1064" s="115"/>
      <c r="O1064" s="115"/>
      <c r="P1064" s="115"/>
      <c r="Q1064" s="115"/>
      <c r="R1064" s="115"/>
      <c r="S1064" s="115"/>
      <c r="T1064" s="115"/>
      <c r="U1064" s="115"/>
      <c r="V1064" s="115" t="s">
        <v>91</v>
      </c>
      <c r="W1064" s="115" t="s">
        <v>92</v>
      </c>
      <c r="X1064" s="113">
        <f>IF(INDIRECT("W1064")="Clássico","12%",IF(INDIRECT("W1064")="Premium","17%","-"))</f>
      </c>
      <c r="Y1064" s="113" t="s">
        <v>367</v>
      </c>
    </row>
    <row r="1065" ht="50.0" customHeight="true">
      <c r="A1065" s="113" t="s">
        <v>3762</v>
      </c>
      <c r="B1065" s="113" t="s">
        <v>3763</v>
      </c>
      <c r="C1065" s="113" t="s">
        <v>3764</v>
      </c>
      <c r="D1065" s="113"/>
      <c r="E1065" s="114" t="s">
        <v>3358</v>
      </c>
      <c r="F1065" s="113" t="s">
        <v>3765</v>
      </c>
      <c r="G1065" s="113" t="s">
        <v>3765</v>
      </c>
      <c r="H1065" s="113" t="s">
        <v>103</v>
      </c>
      <c r="I1065" s="115" t="n">
        <v>597.5</v>
      </c>
      <c r="J1065" s="115" t="s">
        <v>80</v>
      </c>
      <c r="K1065" s="115" t="s">
        <v>81</v>
      </c>
      <c r="L1065" s="115" t="n">
        <v>592.5</v>
      </c>
      <c r="M1065" s="115" t="n">
        <v>3.0</v>
      </c>
      <c r="N1065" s="115"/>
      <c r="O1065" s="115"/>
      <c r="P1065" s="115"/>
      <c r="Q1065" s="115"/>
      <c r="R1065" s="115"/>
      <c r="S1065" s="115"/>
      <c r="T1065" s="115"/>
      <c r="U1065" s="115"/>
      <c r="V1065" s="115" t="s">
        <v>82</v>
      </c>
      <c r="W1065" s="115" t="s">
        <v>92</v>
      </c>
      <c r="X1065" s="113">
        <f>IF(INDIRECT("W1065")="Clássico","11.5%",IF(INDIRECT("W1065")="Premium","16.5%","-"))</f>
      </c>
      <c r="Y1065" s="113" t="s">
        <v>684</v>
      </c>
    </row>
    <row r="1066" ht="50.0" customHeight="true">
      <c r="A1066" s="113" t="s">
        <v>3370</v>
      </c>
      <c r="B1066" s="113" t="s">
        <v>3766</v>
      </c>
      <c r="C1066" s="113" t="s">
        <v>3767</v>
      </c>
      <c r="D1066" s="113"/>
      <c r="E1066" s="114" t="s">
        <v>3170</v>
      </c>
      <c r="F1066" s="113" t="s">
        <v>3373</v>
      </c>
      <c r="G1066" s="113" t="s">
        <v>103</v>
      </c>
      <c r="H1066" s="113" t="s">
        <v>103</v>
      </c>
      <c r="I1066" s="115" t="n">
        <v>92.28</v>
      </c>
      <c r="J1066" s="115" t="s">
        <v>80</v>
      </c>
      <c r="K1066" s="115" t="s">
        <v>81</v>
      </c>
      <c r="L1066" s="115" t="n">
        <v>87.28</v>
      </c>
      <c r="M1066" s="115" t="n">
        <v>3.0</v>
      </c>
      <c r="N1066" s="115"/>
      <c r="O1066" s="115"/>
      <c r="P1066" s="115"/>
      <c r="Q1066" s="115"/>
      <c r="R1066" s="115"/>
      <c r="S1066" s="115"/>
      <c r="T1066" s="115"/>
      <c r="U1066" s="115"/>
      <c r="V1066" s="115" t="s">
        <v>91</v>
      </c>
      <c r="W1066" s="115" t="s">
        <v>92</v>
      </c>
      <c r="X1066" s="113">
        <f>IF(INDIRECT("W1066")="Clássico","12.5%",IF(INDIRECT("W1066")="Premium","17.5%","-"))</f>
      </c>
      <c r="Y1066" s="113" t="s">
        <v>3172</v>
      </c>
    </row>
    <row r="1067" ht="50.0" customHeight="true">
      <c r="A1067" s="113" t="s">
        <v>3733</v>
      </c>
      <c r="B1067" s="113" t="s">
        <v>3768</v>
      </c>
      <c r="C1067" s="113" t="s">
        <v>3769</v>
      </c>
      <c r="D1067" s="113"/>
      <c r="E1067" s="114" t="s">
        <v>3736</v>
      </c>
      <c r="F1067" s="113" t="s">
        <v>3737</v>
      </c>
      <c r="G1067" s="113" t="s">
        <v>3737</v>
      </c>
      <c r="H1067" s="113" t="s">
        <v>103</v>
      </c>
      <c r="I1067" s="115" t="n">
        <v>477.09</v>
      </c>
      <c r="J1067" s="115" t="s">
        <v>80</v>
      </c>
      <c r="K1067" s="115" t="s">
        <v>81</v>
      </c>
      <c r="L1067" s="115" t="n">
        <v>484.75</v>
      </c>
      <c r="M1067" s="115" t="n">
        <v>3.0</v>
      </c>
      <c r="N1067" s="115"/>
      <c r="O1067" s="115"/>
      <c r="P1067" s="115"/>
      <c r="Q1067" s="115"/>
      <c r="R1067" s="115"/>
      <c r="S1067" s="115"/>
      <c r="T1067" s="115"/>
      <c r="U1067" s="115"/>
      <c r="V1067" s="115" t="s">
        <v>82</v>
      </c>
      <c r="W1067" s="115" t="s">
        <v>83</v>
      </c>
      <c r="X1067" s="113">
        <f>IF(INDIRECT("W1067")="Clássico","12%",IF(INDIRECT("W1067")="Premium","17%","-"))</f>
      </c>
      <c r="Y1067" s="113" t="s">
        <v>181</v>
      </c>
    </row>
    <row r="1068" ht="50.0" customHeight="true">
      <c r="A1068" s="113" t="s">
        <v>3770</v>
      </c>
      <c r="B1068" s="113" t="s">
        <v>3771</v>
      </c>
      <c r="C1068" s="113" t="s">
        <v>3772</v>
      </c>
      <c r="D1068" s="113"/>
      <c r="E1068" s="114" t="s">
        <v>1061</v>
      </c>
      <c r="F1068" s="113" t="s">
        <v>3773</v>
      </c>
      <c r="G1068" s="113" t="s">
        <v>3773</v>
      </c>
      <c r="H1068" s="113" t="s">
        <v>103</v>
      </c>
      <c r="I1068" s="115" t="n">
        <v>63.92</v>
      </c>
      <c r="J1068" s="115" t="s">
        <v>80</v>
      </c>
      <c r="K1068" s="115" t="s">
        <v>81</v>
      </c>
      <c r="L1068" s="115" t="n">
        <v>64.6</v>
      </c>
      <c r="M1068" s="115" t="n">
        <v>3.0</v>
      </c>
      <c r="N1068" s="115"/>
      <c r="O1068" s="115"/>
      <c r="P1068" s="115"/>
      <c r="Q1068" s="115"/>
      <c r="R1068" s="115"/>
      <c r="S1068" s="115"/>
      <c r="T1068" s="115"/>
      <c r="U1068" s="115"/>
      <c r="V1068" s="115" t="s">
        <v>91</v>
      </c>
      <c r="W1068" s="115" t="s">
        <v>92</v>
      </c>
      <c r="X1068" s="113">
        <f>IF(INDIRECT("W1068")="Clássico","12%",IF(INDIRECT("W1068")="Premium","17%","-"))</f>
      </c>
      <c r="Y1068" s="113" t="s">
        <v>1063</v>
      </c>
    </row>
    <row r="1069" ht="50.0" customHeight="true">
      <c r="A1069" s="113" t="s">
        <v>3774</v>
      </c>
      <c r="B1069" s="113" t="s">
        <v>3775</v>
      </c>
      <c r="C1069" s="113" t="s">
        <v>3776</v>
      </c>
      <c r="D1069" s="113"/>
      <c r="E1069" s="114" t="s">
        <v>625</v>
      </c>
      <c r="F1069" s="113" t="s">
        <v>3777</v>
      </c>
      <c r="G1069" s="113" t="s">
        <v>3777</v>
      </c>
      <c r="H1069" s="113" t="s">
        <v>103</v>
      </c>
      <c r="I1069" s="115" t="n">
        <v>205.04</v>
      </c>
      <c r="J1069" s="115" t="s">
        <v>80</v>
      </c>
      <c r="K1069" s="115" t="s">
        <v>81</v>
      </c>
      <c r="L1069" s="115" t="n">
        <v>206.27</v>
      </c>
      <c r="M1069" s="115" t="n">
        <v>3.0</v>
      </c>
      <c r="N1069" s="115"/>
      <c r="O1069" s="115"/>
      <c r="P1069" s="115"/>
      <c r="Q1069" s="115"/>
      <c r="R1069" s="115"/>
      <c r="S1069" s="115"/>
      <c r="T1069" s="115"/>
      <c r="U1069" s="115"/>
      <c r="V1069" s="115" t="s">
        <v>82</v>
      </c>
      <c r="W1069" s="115" t="s">
        <v>92</v>
      </c>
      <c r="X1069" s="113">
        <f>IF(INDIRECT("W1069")="Clássico","12%",IF(INDIRECT("W1069")="Premium","17%","-"))</f>
      </c>
      <c r="Y1069" s="113" t="s">
        <v>627</v>
      </c>
    </row>
    <row r="1070" ht="50.0" customHeight="true">
      <c r="A1070" s="113" t="s">
        <v>3778</v>
      </c>
      <c r="B1070" s="113" t="s">
        <v>3779</v>
      </c>
      <c r="C1070" s="113" t="s">
        <v>3780</v>
      </c>
      <c r="D1070" s="113"/>
      <c r="E1070" s="114" t="s">
        <v>3216</v>
      </c>
      <c r="F1070" s="113" t="s">
        <v>3781</v>
      </c>
      <c r="G1070" s="113" t="s">
        <v>3781</v>
      </c>
      <c r="H1070" s="113" t="s">
        <v>103</v>
      </c>
      <c r="I1070" s="115" t="n">
        <v>169.5</v>
      </c>
      <c r="J1070" s="115" t="s">
        <v>80</v>
      </c>
      <c r="K1070" s="115" t="s">
        <v>81</v>
      </c>
      <c r="L1070" s="115" t="n">
        <v>153.07</v>
      </c>
      <c r="M1070" s="115" t="n">
        <v>3.0</v>
      </c>
      <c r="N1070" s="115"/>
      <c r="O1070" s="115"/>
      <c r="P1070" s="115"/>
      <c r="Q1070" s="115"/>
      <c r="R1070" s="115"/>
      <c r="S1070" s="115"/>
      <c r="T1070" s="115"/>
      <c r="U1070" s="115"/>
      <c r="V1070" s="115" t="s">
        <v>82</v>
      </c>
      <c r="W1070" s="115" t="s">
        <v>92</v>
      </c>
      <c r="X1070" s="113">
        <f>IF(INDIRECT("W1070")="Clássico","12%",IF(INDIRECT("W1070")="Premium","17%","-"))</f>
      </c>
      <c r="Y1070" s="113" t="s">
        <v>100</v>
      </c>
    </row>
    <row r="1071" ht="50.0" customHeight="true">
      <c r="A1071" s="113" t="s">
        <v>3782</v>
      </c>
      <c r="B1071" s="113" t="s">
        <v>3783</v>
      </c>
      <c r="C1071" s="113" t="s">
        <v>3784</v>
      </c>
      <c r="D1071" s="113"/>
      <c r="E1071" s="114" t="s">
        <v>3785</v>
      </c>
      <c r="F1071" s="113" t="s">
        <v>3786</v>
      </c>
      <c r="G1071" s="113" t="s">
        <v>3786</v>
      </c>
      <c r="H1071" s="113" t="s">
        <v>103</v>
      </c>
      <c r="I1071" s="115" t="n">
        <v>349.87</v>
      </c>
      <c r="J1071" s="115" t="s">
        <v>80</v>
      </c>
      <c r="K1071" s="115" t="s">
        <v>81</v>
      </c>
      <c r="L1071" s="115" t="n">
        <v>344.87</v>
      </c>
      <c r="M1071" s="115" t="n">
        <v>3.0</v>
      </c>
      <c r="N1071" s="115"/>
      <c r="O1071" s="115"/>
      <c r="P1071" s="115"/>
      <c r="Q1071" s="115"/>
      <c r="R1071" s="115"/>
      <c r="S1071" s="115"/>
      <c r="T1071" s="115"/>
      <c r="U1071" s="115"/>
      <c r="V1071" s="115" t="s">
        <v>82</v>
      </c>
      <c r="W1071" s="115" t="s">
        <v>83</v>
      </c>
      <c r="X1071" s="113">
        <f>IF(INDIRECT("W1071")="Clássico","12%",IF(INDIRECT("W1071")="Premium","17%","-"))</f>
      </c>
      <c r="Y1071" s="113" t="s">
        <v>3787</v>
      </c>
    </row>
    <row r="1072" ht="50.0" customHeight="true">
      <c r="A1072" s="113" t="s">
        <v>3788</v>
      </c>
      <c r="B1072" s="113" t="s">
        <v>3789</v>
      </c>
      <c r="C1072" s="113" t="s">
        <v>3790</v>
      </c>
      <c r="D1072" s="113"/>
      <c r="E1072" s="114" t="s">
        <v>3662</v>
      </c>
      <c r="F1072" s="113" t="s">
        <v>3791</v>
      </c>
      <c r="G1072" s="113" t="s">
        <v>3791</v>
      </c>
      <c r="H1072" s="113" t="s">
        <v>103</v>
      </c>
      <c r="I1072" s="115" t="n">
        <v>154.31</v>
      </c>
      <c r="J1072" s="115" t="s">
        <v>80</v>
      </c>
      <c r="K1072" s="115" t="s">
        <v>81</v>
      </c>
      <c r="L1072" s="115" t="n">
        <v>154.33</v>
      </c>
      <c r="M1072" s="115" t="n">
        <v>3.0</v>
      </c>
      <c r="N1072" s="115"/>
      <c r="O1072" s="115"/>
      <c r="P1072" s="115"/>
      <c r="Q1072" s="115"/>
      <c r="R1072" s="115"/>
      <c r="S1072" s="115"/>
      <c r="T1072" s="115"/>
      <c r="U1072" s="115"/>
      <c r="V1072" s="115" t="s">
        <v>82</v>
      </c>
      <c r="W1072" s="115" t="s">
        <v>92</v>
      </c>
      <c r="X1072" s="113">
        <f>IF(INDIRECT("W1072")="Clássico","12%",IF(INDIRECT("W1072")="Premium","17%","-"))</f>
      </c>
      <c r="Y1072" s="113" t="s">
        <v>200</v>
      </c>
    </row>
    <row r="1073" ht="50.0" customHeight="true">
      <c r="A1073" s="113" t="s">
        <v>3792</v>
      </c>
      <c r="B1073" s="113" t="s">
        <v>3793</v>
      </c>
      <c r="C1073" s="113" t="s">
        <v>3794</v>
      </c>
      <c r="D1073" s="113"/>
      <c r="E1073" s="114" t="s">
        <v>3430</v>
      </c>
      <c r="F1073" s="113" t="s">
        <v>3795</v>
      </c>
      <c r="G1073" s="113" t="s">
        <v>3795</v>
      </c>
      <c r="H1073" s="113" t="s">
        <v>103</v>
      </c>
      <c r="I1073" s="115" t="n">
        <v>153.8</v>
      </c>
      <c r="J1073" s="115" t="s">
        <v>80</v>
      </c>
      <c r="K1073" s="115" t="s">
        <v>81</v>
      </c>
      <c r="L1073" s="115" t="n">
        <v>148.8</v>
      </c>
      <c r="M1073" s="115" t="n">
        <v>3.0</v>
      </c>
      <c r="N1073" s="115"/>
      <c r="O1073" s="115"/>
      <c r="P1073" s="115"/>
      <c r="Q1073" s="115"/>
      <c r="R1073" s="115"/>
      <c r="S1073" s="115"/>
      <c r="T1073" s="115"/>
      <c r="U1073" s="115"/>
      <c r="V1073" s="115" t="s">
        <v>82</v>
      </c>
      <c r="W1073" s="115" t="s">
        <v>83</v>
      </c>
      <c r="X1073" s="113">
        <f>IF(INDIRECT("W1073")="Clássico","12%",IF(INDIRECT("W1073")="Premium","17%","-"))</f>
      </c>
      <c r="Y1073" s="113" t="s">
        <v>343</v>
      </c>
    </row>
    <row r="1074" ht="50.0" customHeight="true">
      <c r="A1074" s="113" t="s">
        <v>3796</v>
      </c>
      <c r="B1074" s="113" t="s">
        <v>3797</v>
      </c>
      <c r="C1074" s="113" t="s">
        <v>3798</v>
      </c>
      <c r="D1074" s="113"/>
      <c r="E1074" s="114" t="s">
        <v>3384</v>
      </c>
      <c r="F1074" s="113" t="s">
        <v>3799</v>
      </c>
      <c r="G1074" s="113" t="s">
        <v>690</v>
      </c>
      <c r="H1074" s="113" t="s">
        <v>103</v>
      </c>
      <c r="I1074" s="115" t="n">
        <v>183.52</v>
      </c>
      <c r="J1074" s="115" t="s">
        <v>80</v>
      </c>
      <c r="K1074" s="115" t="s">
        <v>81</v>
      </c>
      <c r="L1074" s="115" t="n">
        <v>178.52</v>
      </c>
      <c r="M1074" s="115" t="n">
        <v>3.0</v>
      </c>
      <c r="N1074" s="115"/>
      <c r="O1074" s="115"/>
      <c r="P1074" s="115"/>
      <c r="Q1074" s="115"/>
      <c r="R1074" s="115"/>
      <c r="S1074" s="115"/>
      <c r="T1074" s="115"/>
      <c r="U1074" s="115"/>
      <c r="V1074" s="115" t="s">
        <v>82</v>
      </c>
      <c r="W1074" s="115" t="s">
        <v>83</v>
      </c>
      <c r="X1074" s="113">
        <f>IF(INDIRECT("W1074")="Clássico","12%",IF(INDIRECT("W1074")="Premium","17%","-"))</f>
      </c>
      <c r="Y1074" s="113" t="s">
        <v>1048</v>
      </c>
    </row>
    <row r="1075" ht="50.0" customHeight="true">
      <c r="A1075" s="113" t="s">
        <v>3800</v>
      </c>
      <c r="B1075" s="113" t="s">
        <v>3801</v>
      </c>
      <c r="C1075" s="113" t="s">
        <v>3802</v>
      </c>
      <c r="D1075" s="113"/>
      <c r="E1075" s="114" t="s">
        <v>3803</v>
      </c>
      <c r="F1075" s="113" t="s">
        <v>3804</v>
      </c>
      <c r="G1075" s="113" t="s">
        <v>3804</v>
      </c>
      <c r="H1075" s="113" t="s">
        <v>103</v>
      </c>
      <c r="I1075" s="115" t="n">
        <v>121.5</v>
      </c>
      <c r="J1075" s="115" t="s">
        <v>80</v>
      </c>
      <c r="K1075" s="115" t="s">
        <v>81</v>
      </c>
      <c r="L1075" s="115" t="n">
        <v>116.5</v>
      </c>
      <c r="M1075" s="115" t="n">
        <v>3.0</v>
      </c>
      <c r="N1075" s="115"/>
      <c r="O1075" s="115"/>
      <c r="P1075" s="115"/>
      <c r="Q1075" s="115"/>
      <c r="R1075" s="115"/>
      <c r="S1075" s="115"/>
      <c r="T1075" s="115"/>
      <c r="U1075" s="115"/>
      <c r="V1075" s="115" t="s">
        <v>82</v>
      </c>
      <c r="W1075" s="115" t="s">
        <v>92</v>
      </c>
      <c r="X1075" s="113">
        <f>IF(INDIRECT("W1075")="Clássico","12%",IF(INDIRECT("W1075")="Premium","17%","-"))</f>
      </c>
      <c r="Y1075" s="113" t="s">
        <v>576</v>
      </c>
    </row>
    <row r="1076" ht="50.0" customHeight="true">
      <c r="A1076" s="113" t="s">
        <v>3805</v>
      </c>
      <c r="B1076" s="113" t="s">
        <v>3806</v>
      </c>
      <c r="C1076" s="113" t="s">
        <v>3807</v>
      </c>
      <c r="D1076" s="113"/>
      <c r="E1076" s="114" t="s">
        <v>3258</v>
      </c>
      <c r="F1076" s="113" t="s">
        <v>3808</v>
      </c>
      <c r="G1076" s="113" t="s">
        <v>127</v>
      </c>
      <c r="H1076" s="113" t="s">
        <v>103</v>
      </c>
      <c r="I1076" s="115" t="n">
        <v>249.36</v>
      </c>
      <c r="J1076" s="115" t="s">
        <v>80</v>
      </c>
      <c r="K1076" s="115" t="s">
        <v>81</v>
      </c>
      <c r="L1076" s="115" t="n">
        <v>244.36</v>
      </c>
      <c r="M1076" s="115" t="n">
        <v>3.0</v>
      </c>
      <c r="N1076" s="115"/>
      <c r="O1076" s="115"/>
      <c r="P1076" s="115"/>
      <c r="Q1076" s="115"/>
      <c r="R1076" s="115"/>
      <c r="S1076" s="115"/>
      <c r="T1076" s="115"/>
      <c r="U1076" s="115"/>
      <c r="V1076" s="115" t="s">
        <v>82</v>
      </c>
      <c r="W1076" s="115" t="s">
        <v>92</v>
      </c>
      <c r="X1076" s="113">
        <f>IF(INDIRECT("W1076")="Clássico","12%",IF(INDIRECT("W1076")="Premium","17%","-"))</f>
      </c>
      <c r="Y1076" s="113" t="s">
        <v>423</v>
      </c>
    </row>
    <row r="1077" ht="50.0" customHeight="true">
      <c r="A1077" s="113" t="s">
        <v>3809</v>
      </c>
      <c r="B1077" s="113" t="s">
        <v>3810</v>
      </c>
      <c r="C1077" s="113" t="s">
        <v>3811</v>
      </c>
      <c r="D1077" s="113"/>
      <c r="E1077" s="114" t="s">
        <v>3812</v>
      </c>
      <c r="F1077" s="113" t="s">
        <v>3813</v>
      </c>
      <c r="G1077" s="113" t="s">
        <v>127</v>
      </c>
      <c r="H1077" s="113" t="s">
        <v>103</v>
      </c>
      <c r="I1077" s="115" t="n">
        <v>101.25</v>
      </c>
      <c r="J1077" s="115" t="s">
        <v>80</v>
      </c>
      <c r="K1077" s="115" t="s">
        <v>81</v>
      </c>
      <c r="L1077" s="115" t="n">
        <v>96.25</v>
      </c>
      <c r="M1077" s="115" t="n">
        <v>3.0</v>
      </c>
      <c r="N1077" s="115"/>
      <c r="O1077" s="115"/>
      <c r="P1077" s="115"/>
      <c r="Q1077" s="115"/>
      <c r="R1077" s="115"/>
      <c r="S1077" s="115"/>
      <c r="T1077" s="115"/>
      <c r="U1077" s="115"/>
      <c r="V1077" s="115" t="s">
        <v>82</v>
      </c>
      <c r="W1077" s="115" t="s">
        <v>92</v>
      </c>
      <c r="X1077" s="113">
        <f>IF(INDIRECT("W1077")="Clássico","12%",IF(INDIRECT("W1077")="Premium","17%","-"))</f>
      </c>
      <c r="Y1077" s="113" t="s">
        <v>423</v>
      </c>
    </row>
    <row r="1078" ht="50.0" customHeight="true">
      <c r="A1078" s="113" t="s">
        <v>3814</v>
      </c>
      <c r="B1078" s="113" t="s">
        <v>3815</v>
      </c>
      <c r="C1078" s="113" t="s">
        <v>3816</v>
      </c>
      <c r="D1078" s="113"/>
      <c r="E1078" s="114" t="s">
        <v>3736</v>
      </c>
      <c r="F1078" s="113" t="s">
        <v>3817</v>
      </c>
      <c r="G1078" s="113" t="s">
        <v>3817</v>
      </c>
      <c r="H1078" s="113" t="s">
        <v>103</v>
      </c>
      <c r="I1078" s="115" t="n">
        <v>376.9</v>
      </c>
      <c r="J1078" s="115" t="s">
        <v>80</v>
      </c>
      <c r="K1078" s="115" t="s">
        <v>81</v>
      </c>
      <c r="L1078" s="115" t="n">
        <v>374.9</v>
      </c>
      <c r="M1078" s="115" t="n">
        <v>3.0</v>
      </c>
      <c r="N1078" s="115"/>
      <c r="O1078" s="115"/>
      <c r="P1078" s="115"/>
      <c r="Q1078" s="115"/>
      <c r="R1078" s="115"/>
      <c r="S1078" s="115"/>
      <c r="T1078" s="115"/>
      <c r="U1078" s="115"/>
      <c r="V1078" s="115" t="s">
        <v>82</v>
      </c>
      <c r="W1078" s="115" t="s">
        <v>83</v>
      </c>
      <c r="X1078" s="113">
        <f>IF(INDIRECT("W1078")="Clássico","12%",IF(INDIRECT("W1078")="Premium","17%","-"))</f>
      </c>
      <c r="Y1078" s="113" t="s">
        <v>181</v>
      </c>
    </row>
    <row r="1079" ht="50.0" customHeight="true">
      <c r="A1079" s="113" t="s">
        <v>3818</v>
      </c>
      <c r="B1079" s="113" t="s">
        <v>3819</v>
      </c>
      <c r="C1079" s="113" t="s">
        <v>3820</v>
      </c>
      <c r="D1079" s="113"/>
      <c r="E1079" s="114" t="s">
        <v>3821</v>
      </c>
      <c r="F1079" s="113" t="s">
        <v>3822</v>
      </c>
      <c r="G1079" s="113" t="s">
        <v>3822</v>
      </c>
      <c r="H1079" s="113" t="s">
        <v>103</v>
      </c>
      <c r="I1079" s="115" t="n">
        <v>54.49</v>
      </c>
      <c r="J1079" s="115" t="s">
        <v>80</v>
      </c>
      <c r="K1079" s="115" t="s">
        <v>81</v>
      </c>
      <c r="L1079" s="115" t="n">
        <v>49.49</v>
      </c>
      <c r="M1079" s="115" t="n">
        <v>3.0</v>
      </c>
      <c r="N1079" s="115"/>
      <c r="O1079" s="115"/>
      <c r="P1079" s="115"/>
      <c r="Q1079" s="115"/>
      <c r="R1079" s="115"/>
      <c r="S1079" s="115"/>
      <c r="T1079" s="115"/>
      <c r="U1079" s="115"/>
      <c r="V1079" s="115" t="s">
        <v>91</v>
      </c>
      <c r="W1079" s="115" t="s">
        <v>92</v>
      </c>
      <c r="X1079" s="113">
        <f>IF(INDIRECT("W1079")="Clássico","12%",IF(INDIRECT("W1079")="Premium","17%","-"))</f>
      </c>
      <c r="Y1079" s="113" t="s">
        <v>3823</v>
      </c>
    </row>
    <row r="1080" ht="50.0" customHeight="true">
      <c r="A1080" s="113" t="s">
        <v>3824</v>
      </c>
      <c r="B1080" s="113" t="s">
        <v>3825</v>
      </c>
      <c r="C1080" s="113" t="s">
        <v>3826</v>
      </c>
      <c r="D1080" s="113"/>
      <c r="E1080" s="114" t="s">
        <v>3632</v>
      </c>
      <c r="F1080" s="113" t="s">
        <v>3827</v>
      </c>
      <c r="G1080" s="113" t="s">
        <v>127</v>
      </c>
      <c r="H1080" s="113" t="s">
        <v>103</v>
      </c>
      <c r="I1080" s="115" t="n">
        <v>85.95</v>
      </c>
      <c r="J1080" s="115" t="s">
        <v>80</v>
      </c>
      <c r="K1080" s="115" t="s">
        <v>81</v>
      </c>
      <c r="L1080" s="115" t="n">
        <v>80.94</v>
      </c>
      <c r="M1080" s="115" t="n">
        <v>3.0</v>
      </c>
      <c r="N1080" s="115"/>
      <c r="O1080" s="115"/>
      <c r="P1080" s="115"/>
      <c r="Q1080" s="115"/>
      <c r="R1080" s="115"/>
      <c r="S1080" s="115"/>
      <c r="T1080" s="115"/>
      <c r="U1080" s="115"/>
      <c r="V1080" s="115" t="s">
        <v>91</v>
      </c>
      <c r="W1080" s="115" t="s">
        <v>83</v>
      </c>
      <c r="X1080" s="113">
        <f>IF(INDIRECT("W1080")="Clássico","12%",IF(INDIRECT("W1080")="Premium","17%","-"))</f>
      </c>
      <c r="Y1080" s="113" t="s">
        <v>423</v>
      </c>
    </row>
    <row r="1081" ht="50.0" customHeight="true">
      <c r="A1081" s="113" t="s">
        <v>3828</v>
      </c>
      <c r="B1081" s="113" t="s">
        <v>3829</v>
      </c>
      <c r="C1081" s="113" t="s">
        <v>3830</v>
      </c>
      <c r="D1081" s="113"/>
      <c r="E1081" s="114" t="s">
        <v>3831</v>
      </c>
      <c r="F1081" s="113" t="s">
        <v>3832</v>
      </c>
      <c r="G1081" s="113" t="s">
        <v>3832</v>
      </c>
      <c r="H1081" s="113" t="s">
        <v>103</v>
      </c>
      <c r="I1081" s="115" t="n">
        <v>316.21</v>
      </c>
      <c r="J1081" s="115" t="s">
        <v>80</v>
      </c>
      <c r="K1081" s="115" t="s">
        <v>81</v>
      </c>
      <c r="L1081" s="115" t="n">
        <v>311.21</v>
      </c>
      <c r="M1081" s="115" t="n">
        <v>3.0</v>
      </c>
      <c r="N1081" s="115"/>
      <c r="O1081" s="115"/>
      <c r="P1081" s="115"/>
      <c r="Q1081" s="115"/>
      <c r="R1081" s="115"/>
      <c r="S1081" s="115"/>
      <c r="T1081" s="115"/>
      <c r="U1081" s="115"/>
      <c r="V1081" s="115" t="s">
        <v>82</v>
      </c>
      <c r="W1081" s="115" t="s">
        <v>92</v>
      </c>
      <c r="X1081" s="113">
        <f>IF(INDIRECT("W1081")="Clássico","12%",IF(INDIRECT("W1081")="Premium","17%","-"))</f>
      </c>
      <c r="Y1081" s="113" t="s">
        <v>1774</v>
      </c>
    </row>
    <row r="1082" ht="50.0" customHeight="true">
      <c r="A1082" s="113" t="s">
        <v>3833</v>
      </c>
      <c r="B1082" s="113" t="s">
        <v>3834</v>
      </c>
      <c r="C1082" s="113" t="s">
        <v>3835</v>
      </c>
      <c r="D1082" s="113"/>
      <c r="E1082" s="114" t="s">
        <v>3836</v>
      </c>
      <c r="F1082" s="113" t="s">
        <v>3837</v>
      </c>
      <c r="G1082" s="113" t="s">
        <v>3837</v>
      </c>
      <c r="H1082" s="113" t="s">
        <v>103</v>
      </c>
      <c r="I1082" s="115" t="n">
        <v>353.17</v>
      </c>
      <c r="J1082" s="115" t="s">
        <v>80</v>
      </c>
      <c r="K1082" s="115" t="s">
        <v>81</v>
      </c>
      <c r="L1082" s="115" t="n">
        <v>348.17</v>
      </c>
      <c r="M1082" s="115" t="n">
        <v>3.0</v>
      </c>
      <c r="N1082" s="115"/>
      <c r="O1082" s="115"/>
      <c r="P1082" s="115"/>
      <c r="Q1082" s="115"/>
      <c r="R1082" s="115"/>
      <c r="S1082" s="115"/>
      <c r="T1082" s="115"/>
      <c r="U1082" s="115"/>
      <c r="V1082" s="115" t="s">
        <v>82</v>
      </c>
      <c r="W1082" s="115" t="s">
        <v>83</v>
      </c>
      <c r="X1082" s="113">
        <f>IF(INDIRECT("W1082")="Clássico","12%",IF(INDIRECT("W1082")="Premium","17%","-"))</f>
      </c>
      <c r="Y1082" s="113" t="s">
        <v>3838</v>
      </c>
    </row>
    <row r="1083" ht="50.0" customHeight="true">
      <c r="A1083" s="113" t="s">
        <v>3839</v>
      </c>
      <c r="B1083" s="113" t="s">
        <v>3840</v>
      </c>
      <c r="C1083" s="113" t="s">
        <v>3841</v>
      </c>
      <c r="D1083" s="113"/>
      <c r="E1083" s="114" t="s">
        <v>3812</v>
      </c>
      <c r="F1083" s="113" t="s">
        <v>3842</v>
      </c>
      <c r="G1083" s="113" t="s">
        <v>3842</v>
      </c>
      <c r="H1083" s="113" t="s">
        <v>103</v>
      </c>
      <c r="I1083" s="115" t="n">
        <v>91.01</v>
      </c>
      <c r="J1083" s="115" t="s">
        <v>80</v>
      </c>
      <c r="K1083" s="115" t="s">
        <v>81</v>
      </c>
      <c r="L1083" s="115" t="n">
        <v>86.01</v>
      </c>
      <c r="M1083" s="115" t="n">
        <v>3.0</v>
      </c>
      <c r="N1083" s="115"/>
      <c r="O1083" s="115"/>
      <c r="P1083" s="115"/>
      <c r="Q1083" s="115"/>
      <c r="R1083" s="115"/>
      <c r="S1083" s="115"/>
      <c r="T1083" s="115"/>
      <c r="U1083" s="115"/>
      <c r="V1083" s="115" t="s">
        <v>82</v>
      </c>
      <c r="W1083" s="115" t="s">
        <v>92</v>
      </c>
      <c r="X1083" s="113">
        <f>IF(INDIRECT("W1083")="Clássico","12%",IF(INDIRECT("W1083")="Premium","17%","-"))</f>
      </c>
      <c r="Y1083" s="113" t="s">
        <v>3298</v>
      </c>
    </row>
    <row r="1084" ht="50.0" customHeight="true">
      <c r="A1084" s="113" t="s">
        <v>3299</v>
      </c>
      <c r="B1084" s="113" t="s">
        <v>3843</v>
      </c>
      <c r="C1084" s="113" t="s">
        <v>3844</v>
      </c>
      <c r="D1084" s="113"/>
      <c r="E1084" s="114" t="s">
        <v>3302</v>
      </c>
      <c r="F1084" s="113" t="s">
        <v>3303</v>
      </c>
      <c r="G1084" s="113" t="s">
        <v>127</v>
      </c>
      <c r="H1084" s="113" t="s">
        <v>103</v>
      </c>
      <c r="I1084" s="115" t="n">
        <v>69.49</v>
      </c>
      <c r="J1084" s="115" t="s">
        <v>80</v>
      </c>
      <c r="K1084" s="115" t="s">
        <v>81</v>
      </c>
      <c r="L1084" s="115" t="n">
        <v>64.49</v>
      </c>
      <c r="M1084" s="115" t="n">
        <v>3.0</v>
      </c>
      <c r="N1084" s="115"/>
      <c r="O1084" s="115"/>
      <c r="P1084" s="115"/>
      <c r="Q1084" s="115"/>
      <c r="R1084" s="115"/>
      <c r="S1084" s="115"/>
      <c r="T1084" s="115"/>
      <c r="U1084" s="115"/>
      <c r="V1084" s="115" t="s">
        <v>91</v>
      </c>
      <c r="W1084" s="115" t="s">
        <v>92</v>
      </c>
      <c r="X1084" s="113">
        <f>IF(INDIRECT("W1084")="Clássico","12%",IF(INDIRECT("W1084")="Premium","17%","-"))</f>
      </c>
      <c r="Y1084" s="113" t="s">
        <v>423</v>
      </c>
    </row>
    <row r="1085" ht="50.0" customHeight="true">
      <c r="A1085" s="113" t="s">
        <v>3845</v>
      </c>
      <c r="B1085" s="113" t="s">
        <v>3846</v>
      </c>
      <c r="C1085" s="113" t="s">
        <v>3847</v>
      </c>
      <c r="D1085" s="113"/>
      <c r="E1085" s="114" t="s">
        <v>3258</v>
      </c>
      <c r="F1085" s="113" t="s">
        <v>3848</v>
      </c>
      <c r="G1085" s="113" t="s">
        <v>127</v>
      </c>
      <c r="H1085" s="113" t="s">
        <v>103</v>
      </c>
      <c r="I1085" s="115" t="n">
        <v>291.14</v>
      </c>
      <c r="J1085" s="115" t="s">
        <v>80</v>
      </c>
      <c r="K1085" s="115" t="s">
        <v>81</v>
      </c>
      <c r="L1085" s="115" t="n">
        <v>286.14</v>
      </c>
      <c r="M1085" s="115" t="n">
        <v>3.0</v>
      </c>
      <c r="N1085" s="115"/>
      <c r="O1085" s="115"/>
      <c r="P1085" s="115"/>
      <c r="Q1085" s="115"/>
      <c r="R1085" s="115"/>
      <c r="S1085" s="115"/>
      <c r="T1085" s="115"/>
      <c r="U1085" s="115"/>
      <c r="V1085" s="115" t="s">
        <v>82</v>
      </c>
      <c r="W1085" s="115" t="s">
        <v>83</v>
      </c>
      <c r="X1085" s="113">
        <f>IF(INDIRECT("W1085")="Clássico","12%",IF(INDIRECT("W1085")="Premium","17%","-"))</f>
      </c>
      <c r="Y1085" s="113" t="s">
        <v>423</v>
      </c>
    </row>
    <row r="1086" ht="50.0" customHeight="true">
      <c r="A1086" s="113" t="s">
        <v>3849</v>
      </c>
      <c r="B1086" s="113" t="s">
        <v>3850</v>
      </c>
      <c r="C1086" s="113" t="s">
        <v>3851</v>
      </c>
      <c r="D1086" s="113"/>
      <c r="E1086" s="114" t="s">
        <v>3852</v>
      </c>
      <c r="F1086" s="113" t="s">
        <v>3853</v>
      </c>
      <c r="G1086" s="113" t="s">
        <v>493</v>
      </c>
      <c r="H1086" s="113" t="s">
        <v>103</v>
      </c>
      <c r="I1086" s="115" t="n">
        <v>115.9</v>
      </c>
      <c r="J1086" s="115" t="s">
        <v>80</v>
      </c>
      <c r="K1086" s="115" t="s">
        <v>81</v>
      </c>
      <c r="L1086" s="115" t="n">
        <v>110.9</v>
      </c>
      <c r="M1086" s="115" t="n">
        <v>3.0</v>
      </c>
      <c r="N1086" s="115"/>
      <c r="O1086" s="115"/>
      <c r="P1086" s="115"/>
      <c r="Q1086" s="115"/>
      <c r="R1086" s="115"/>
      <c r="S1086" s="115"/>
      <c r="T1086" s="115"/>
      <c r="U1086" s="115"/>
      <c r="V1086" s="115" t="s">
        <v>82</v>
      </c>
      <c r="W1086" s="115" t="s">
        <v>92</v>
      </c>
      <c r="X1086" s="113">
        <f>IF(INDIRECT("W1086")="Clássico","11.5%",IF(INDIRECT("W1086")="Premium","16.5%","-"))</f>
      </c>
      <c r="Y1086" s="113" t="s">
        <v>3854</v>
      </c>
    </row>
    <row r="1087" ht="50.0" customHeight="true">
      <c r="A1087" s="113" t="s">
        <v>3855</v>
      </c>
      <c r="B1087" s="113" t="s">
        <v>3856</v>
      </c>
      <c r="C1087" s="113" t="s">
        <v>3857</v>
      </c>
      <c r="D1087" s="113"/>
      <c r="E1087" s="114" t="s">
        <v>3290</v>
      </c>
      <c r="F1087" s="113" t="s">
        <v>3858</v>
      </c>
      <c r="G1087" s="113" t="s">
        <v>3858</v>
      </c>
      <c r="H1087" s="113" t="s">
        <v>103</v>
      </c>
      <c r="I1087" s="115" t="n">
        <v>128.13</v>
      </c>
      <c r="J1087" s="115" t="s">
        <v>80</v>
      </c>
      <c r="K1087" s="115" t="s">
        <v>81</v>
      </c>
      <c r="L1087" s="115" t="n">
        <v>123.13</v>
      </c>
      <c r="M1087" s="115" t="n">
        <v>3.0</v>
      </c>
      <c r="N1087" s="115"/>
      <c r="O1087" s="115"/>
      <c r="P1087" s="115"/>
      <c r="Q1087" s="115"/>
      <c r="R1087" s="115"/>
      <c r="S1087" s="115"/>
      <c r="T1087" s="115"/>
      <c r="U1087" s="115"/>
      <c r="V1087" s="115" t="s">
        <v>82</v>
      </c>
      <c r="W1087" s="115" t="s">
        <v>83</v>
      </c>
      <c r="X1087" s="113">
        <f>IF(INDIRECT("W1087")="Clássico","12%",IF(INDIRECT("W1087")="Premium","17%","-"))</f>
      </c>
      <c r="Y1087" s="113" t="s">
        <v>3470</v>
      </c>
    </row>
    <row r="1088" ht="50.0" customHeight="true">
      <c r="A1088" s="113" t="s">
        <v>3859</v>
      </c>
      <c r="B1088" s="113" t="s">
        <v>3860</v>
      </c>
      <c r="C1088" s="113" t="s">
        <v>3861</v>
      </c>
      <c r="D1088" s="113"/>
      <c r="E1088" s="114" t="s">
        <v>3862</v>
      </c>
      <c r="F1088" s="113" t="s">
        <v>3863</v>
      </c>
      <c r="G1088" s="113" t="s">
        <v>3863</v>
      </c>
      <c r="H1088" s="113" t="s">
        <v>103</v>
      </c>
      <c r="I1088" s="115" t="n">
        <v>165.69</v>
      </c>
      <c r="J1088" s="115" t="s">
        <v>80</v>
      </c>
      <c r="K1088" s="115" t="s">
        <v>81</v>
      </c>
      <c r="L1088" s="115" t="n">
        <v>160.69</v>
      </c>
      <c r="M1088" s="115" t="n">
        <v>3.0</v>
      </c>
      <c r="N1088" s="115"/>
      <c r="O1088" s="115"/>
      <c r="P1088" s="115"/>
      <c r="Q1088" s="115"/>
      <c r="R1088" s="115"/>
      <c r="S1088" s="115"/>
      <c r="T1088" s="115"/>
      <c r="U1088" s="115"/>
      <c r="V1088" s="115" t="s">
        <v>82</v>
      </c>
      <c r="W1088" s="115" t="s">
        <v>92</v>
      </c>
      <c r="X1088" s="113">
        <f>IF(INDIRECT("W1088")="Clássico","12%",IF(INDIRECT("W1088")="Premium","17%","-"))</f>
      </c>
      <c r="Y1088" s="113" t="s">
        <v>482</v>
      </c>
    </row>
    <row r="1089" ht="50.0" customHeight="true">
      <c r="A1089" s="113" t="s">
        <v>3864</v>
      </c>
      <c r="B1089" s="113" t="s">
        <v>3865</v>
      </c>
      <c r="C1089" s="113" t="s">
        <v>3866</v>
      </c>
      <c r="D1089" s="113"/>
      <c r="E1089" s="114" t="s">
        <v>3648</v>
      </c>
      <c r="F1089" s="113" t="s">
        <v>3867</v>
      </c>
      <c r="G1089" s="113" t="s">
        <v>127</v>
      </c>
      <c r="H1089" s="113" t="s">
        <v>103</v>
      </c>
      <c r="I1089" s="115" t="n">
        <v>334.05</v>
      </c>
      <c r="J1089" s="115" t="s">
        <v>80</v>
      </c>
      <c r="K1089" s="115" t="s">
        <v>81</v>
      </c>
      <c r="L1089" s="115" t="n">
        <v>267.03</v>
      </c>
      <c r="M1089" s="115" t="n">
        <v>3.0</v>
      </c>
      <c r="N1089" s="115"/>
      <c r="O1089" s="115"/>
      <c r="P1089" s="115"/>
      <c r="Q1089" s="115"/>
      <c r="R1089" s="115"/>
      <c r="S1089" s="115"/>
      <c r="T1089" s="115"/>
      <c r="U1089" s="115"/>
      <c r="V1089" s="115" t="s">
        <v>82</v>
      </c>
      <c r="W1089" s="115" t="s">
        <v>92</v>
      </c>
      <c r="X1089" s="113">
        <f>IF(INDIRECT("W1089")="Clássico","12%",IF(INDIRECT("W1089")="Premium","17%","-"))</f>
      </c>
      <c r="Y1089" s="113" t="s">
        <v>423</v>
      </c>
    </row>
    <row r="1090" ht="50.0" customHeight="true">
      <c r="A1090" s="113" t="s">
        <v>3868</v>
      </c>
      <c r="B1090" s="113" t="s">
        <v>3869</v>
      </c>
      <c r="C1090" s="113" t="s">
        <v>3870</v>
      </c>
      <c r="D1090" s="113"/>
      <c r="E1090" s="114" t="s">
        <v>3548</v>
      </c>
      <c r="F1090" s="113" t="s">
        <v>3871</v>
      </c>
      <c r="G1090" s="113" t="s">
        <v>127</v>
      </c>
      <c r="H1090" s="113" t="s">
        <v>103</v>
      </c>
      <c r="I1090" s="115" t="n">
        <v>85.9</v>
      </c>
      <c r="J1090" s="115" t="s">
        <v>80</v>
      </c>
      <c r="K1090" s="115" t="s">
        <v>81</v>
      </c>
      <c r="L1090" s="115" t="n">
        <v>91.44</v>
      </c>
      <c r="M1090" s="115" t="n">
        <v>3.0</v>
      </c>
      <c r="N1090" s="115"/>
      <c r="O1090" s="115"/>
      <c r="P1090" s="115"/>
      <c r="Q1090" s="115"/>
      <c r="R1090" s="115"/>
      <c r="S1090" s="115"/>
      <c r="T1090" s="115"/>
      <c r="U1090" s="115"/>
      <c r="V1090" s="115" t="s">
        <v>82</v>
      </c>
      <c r="W1090" s="115" t="s">
        <v>92</v>
      </c>
      <c r="X1090" s="113">
        <f>IF(INDIRECT("W1090")="Clássico","12%",IF(INDIRECT("W1090")="Premium","17%","-"))</f>
      </c>
      <c r="Y1090" s="113" t="s">
        <v>128</v>
      </c>
    </row>
    <row r="1091" ht="50.0" customHeight="true">
      <c r="A1091" s="113" t="s">
        <v>3872</v>
      </c>
      <c r="B1091" s="113" t="s">
        <v>3873</v>
      </c>
      <c r="C1091" s="113" t="s">
        <v>3874</v>
      </c>
      <c r="D1091" s="113"/>
      <c r="E1091" s="114" t="s">
        <v>3875</v>
      </c>
      <c r="F1091" s="113" t="s">
        <v>3876</v>
      </c>
      <c r="G1091" s="113" t="s">
        <v>3876</v>
      </c>
      <c r="H1091" s="113" t="s">
        <v>103</v>
      </c>
      <c r="I1091" s="115" t="n">
        <v>54.79</v>
      </c>
      <c r="J1091" s="115" t="s">
        <v>80</v>
      </c>
      <c r="K1091" s="115" t="s">
        <v>81</v>
      </c>
      <c r="L1091" s="115" t="n">
        <v>49.79</v>
      </c>
      <c r="M1091" s="115" t="n">
        <v>3.0</v>
      </c>
      <c r="N1091" s="115"/>
      <c r="O1091" s="115"/>
      <c r="P1091" s="115"/>
      <c r="Q1091" s="115"/>
      <c r="R1091" s="115"/>
      <c r="S1091" s="115"/>
      <c r="T1091" s="115"/>
      <c r="U1091" s="115"/>
      <c r="V1091" s="115" t="s">
        <v>91</v>
      </c>
      <c r="W1091" s="115" t="s">
        <v>83</v>
      </c>
      <c r="X1091" s="113">
        <f>IF(INDIRECT("W1091")="Clássico","12%",IF(INDIRECT("W1091")="Premium","17%","-"))</f>
      </c>
      <c r="Y1091" s="113" t="s">
        <v>1774</v>
      </c>
    </row>
    <row r="1092" ht="50.0" customHeight="true">
      <c r="A1092" s="113" t="s">
        <v>3725</v>
      </c>
      <c r="B1092" s="113" t="s">
        <v>3877</v>
      </c>
      <c r="C1092" s="113" t="s">
        <v>3878</v>
      </c>
      <c r="D1092" s="113"/>
      <c r="E1092" s="114" t="s">
        <v>3617</v>
      </c>
      <c r="F1092" s="113" t="s">
        <v>3728</v>
      </c>
      <c r="G1092" s="113" t="s">
        <v>3728</v>
      </c>
      <c r="H1092" s="113" t="s">
        <v>103</v>
      </c>
      <c r="I1092" s="115" t="n">
        <v>375.94</v>
      </c>
      <c r="J1092" s="115" t="s">
        <v>80</v>
      </c>
      <c r="K1092" s="115" t="s">
        <v>81</v>
      </c>
      <c r="L1092" s="115" t="n">
        <v>370.94</v>
      </c>
      <c r="M1092" s="115" t="n">
        <v>3.0</v>
      </c>
      <c r="N1092" s="115"/>
      <c r="O1092" s="115"/>
      <c r="P1092" s="115"/>
      <c r="Q1092" s="115"/>
      <c r="R1092" s="115"/>
      <c r="S1092" s="115"/>
      <c r="T1092" s="115"/>
      <c r="U1092" s="115"/>
      <c r="V1092" s="115" t="s">
        <v>82</v>
      </c>
      <c r="W1092" s="115" t="s">
        <v>83</v>
      </c>
      <c r="X1092" s="113">
        <f>IF(INDIRECT("W1092")="Clássico","12%",IF(INDIRECT("W1092")="Premium","17%","-"))</f>
      </c>
      <c r="Y1092" s="113" t="s">
        <v>1041</v>
      </c>
    </row>
    <row r="1093" ht="50.0" customHeight="true">
      <c r="A1093" s="113" t="s">
        <v>3879</v>
      </c>
      <c r="B1093" s="113" t="s">
        <v>3880</v>
      </c>
      <c r="C1093" s="113" t="s">
        <v>3881</v>
      </c>
      <c r="D1093" s="113"/>
      <c r="E1093" s="114" t="s">
        <v>3882</v>
      </c>
      <c r="F1093" s="113" t="s">
        <v>3883</v>
      </c>
      <c r="G1093" s="113" t="s">
        <v>3883</v>
      </c>
      <c r="H1093" s="113" t="s">
        <v>103</v>
      </c>
      <c r="I1093" s="115" t="n">
        <v>160.62</v>
      </c>
      <c r="J1093" s="115" t="s">
        <v>80</v>
      </c>
      <c r="K1093" s="115" t="s">
        <v>81</v>
      </c>
      <c r="L1093" s="115" t="n">
        <v>155.62</v>
      </c>
      <c r="M1093" s="115" t="n">
        <v>3.0</v>
      </c>
      <c r="N1093" s="115"/>
      <c r="O1093" s="115"/>
      <c r="P1093" s="115"/>
      <c r="Q1093" s="115"/>
      <c r="R1093" s="115"/>
      <c r="S1093" s="115"/>
      <c r="T1093" s="115"/>
      <c r="U1093" s="115"/>
      <c r="V1093" s="115" t="s">
        <v>82</v>
      </c>
      <c r="W1093" s="115" t="s">
        <v>92</v>
      </c>
      <c r="X1093" s="113">
        <f>IF(INDIRECT("W1093")="Clássico","12%",IF(INDIRECT("W1093")="Premium","17%","-"))</f>
      </c>
      <c r="Y1093" s="113" t="s">
        <v>3628</v>
      </c>
    </row>
    <row r="1094" ht="50.0" customHeight="true">
      <c r="A1094" s="113" t="s">
        <v>3884</v>
      </c>
      <c r="B1094" s="113" t="s">
        <v>3885</v>
      </c>
      <c r="C1094" s="113" t="s">
        <v>3886</v>
      </c>
      <c r="D1094" s="113"/>
      <c r="E1094" s="114" t="s">
        <v>3887</v>
      </c>
      <c r="F1094" s="113" t="s">
        <v>3888</v>
      </c>
      <c r="G1094" s="113" t="s">
        <v>3888</v>
      </c>
      <c r="H1094" s="113" t="s">
        <v>103</v>
      </c>
      <c r="I1094" s="115" t="n">
        <v>240.18</v>
      </c>
      <c r="J1094" s="115" t="s">
        <v>80</v>
      </c>
      <c r="K1094" s="115" t="s">
        <v>81</v>
      </c>
      <c r="L1094" s="115" t="n">
        <v>235.18</v>
      </c>
      <c r="M1094" s="115" t="n">
        <v>3.0</v>
      </c>
      <c r="N1094" s="115"/>
      <c r="O1094" s="115"/>
      <c r="P1094" s="115"/>
      <c r="Q1094" s="115"/>
      <c r="R1094" s="115"/>
      <c r="S1094" s="115"/>
      <c r="T1094" s="115"/>
      <c r="U1094" s="115"/>
      <c r="V1094" s="115" t="s">
        <v>82</v>
      </c>
      <c r="W1094" s="115" t="s">
        <v>83</v>
      </c>
      <c r="X1094" s="113">
        <f>IF(INDIRECT("W1094")="Clássico","12%",IF(INDIRECT("W1094")="Premium","17%","-"))</f>
      </c>
      <c r="Y1094" s="113" t="s">
        <v>2886</v>
      </c>
    </row>
    <row r="1095" ht="50.0" customHeight="true">
      <c r="A1095" s="113" t="s">
        <v>3889</v>
      </c>
      <c r="B1095" s="113" t="s">
        <v>3890</v>
      </c>
      <c r="C1095" s="113" t="s">
        <v>3891</v>
      </c>
      <c r="D1095" s="113"/>
      <c r="E1095" s="114" t="s">
        <v>3225</v>
      </c>
      <c r="F1095" s="113" t="s">
        <v>3892</v>
      </c>
      <c r="G1095" s="113" t="s">
        <v>3892</v>
      </c>
      <c r="H1095" s="113" t="s">
        <v>103</v>
      </c>
      <c r="I1095" s="115" t="n">
        <v>168.33</v>
      </c>
      <c r="J1095" s="115" t="s">
        <v>80</v>
      </c>
      <c r="K1095" s="115" t="s">
        <v>81</v>
      </c>
      <c r="L1095" s="115" t="n">
        <v>163.33</v>
      </c>
      <c r="M1095" s="115" t="n">
        <v>3.0</v>
      </c>
      <c r="N1095" s="115"/>
      <c r="O1095" s="115"/>
      <c r="P1095" s="115"/>
      <c r="Q1095" s="115"/>
      <c r="R1095" s="115"/>
      <c r="S1095" s="115"/>
      <c r="T1095" s="115"/>
      <c r="U1095" s="115"/>
      <c r="V1095" s="115" t="s">
        <v>82</v>
      </c>
      <c r="W1095" s="115" t="s">
        <v>83</v>
      </c>
      <c r="X1095" s="113">
        <f>IF(INDIRECT("W1095")="Clássico","12%",IF(INDIRECT("W1095")="Premium","17%","-"))</f>
      </c>
      <c r="Y1095" s="113" t="s">
        <v>3893</v>
      </c>
    </row>
    <row r="1096" ht="50.0" customHeight="true">
      <c r="A1096" s="113" t="s">
        <v>3894</v>
      </c>
      <c r="B1096" s="113" t="s">
        <v>3895</v>
      </c>
      <c r="C1096" s="113" t="s">
        <v>3896</v>
      </c>
      <c r="D1096" s="113"/>
      <c r="E1096" s="114" t="s">
        <v>3897</v>
      </c>
      <c r="F1096" s="113" t="s">
        <v>3898</v>
      </c>
      <c r="G1096" s="113" t="s">
        <v>3898</v>
      </c>
      <c r="H1096" s="113" t="s">
        <v>103</v>
      </c>
      <c r="I1096" s="115" t="n">
        <v>253.98</v>
      </c>
      <c r="J1096" s="115" t="s">
        <v>80</v>
      </c>
      <c r="K1096" s="115" t="s">
        <v>81</v>
      </c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 t="s">
        <v>82</v>
      </c>
      <c r="W1096" s="115" t="s">
        <v>83</v>
      </c>
      <c r="X1096" s="113">
        <f>IF(INDIRECT("W1096")="Clássico","12%",IF(INDIRECT("W1096")="Premium","17%","-"))</f>
      </c>
      <c r="Y1096" s="113" t="s">
        <v>3454</v>
      </c>
    </row>
    <row r="1097" ht="50.0" customHeight="true">
      <c r="A1097" s="113" t="s">
        <v>3899</v>
      </c>
      <c r="B1097" s="113" t="s">
        <v>3900</v>
      </c>
      <c r="C1097" s="113" t="s">
        <v>3901</v>
      </c>
      <c r="D1097" s="113"/>
      <c r="E1097" s="114" t="s">
        <v>3648</v>
      </c>
      <c r="F1097" s="113" t="s">
        <v>3902</v>
      </c>
      <c r="G1097" s="113" t="s">
        <v>127</v>
      </c>
      <c r="H1097" s="113" t="s">
        <v>103</v>
      </c>
      <c r="I1097" s="115" t="n">
        <v>323.93</v>
      </c>
      <c r="J1097" s="115" t="s">
        <v>80</v>
      </c>
      <c r="K1097" s="115" t="s">
        <v>81</v>
      </c>
      <c r="L1097" s="115" t="n">
        <v>267.79</v>
      </c>
      <c r="M1097" s="115" t="n">
        <v>3.0</v>
      </c>
      <c r="N1097" s="115"/>
      <c r="O1097" s="115"/>
      <c r="P1097" s="115"/>
      <c r="Q1097" s="115"/>
      <c r="R1097" s="115"/>
      <c r="S1097" s="115"/>
      <c r="T1097" s="115"/>
      <c r="U1097" s="115"/>
      <c r="V1097" s="115" t="s">
        <v>82</v>
      </c>
      <c r="W1097" s="115" t="s">
        <v>92</v>
      </c>
      <c r="X1097" s="113">
        <f>IF(INDIRECT("W1097")="Clássico","12%",IF(INDIRECT("W1097")="Premium","17%","-"))</f>
      </c>
      <c r="Y1097" s="113" t="s">
        <v>423</v>
      </c>
    </row>
    <row r="1098" ht="50.0" customHeight="true">
      <c r="A1098" s="113" t="s">
        <v>3903</v>
      </c>
      <c r="B1098" s="113" t="s">
        <v>3904</v>
      </c>
      <c r="C1098" s="113" t="s">
        <v>3905</v>
      </c>
      <c r="D1098" s="113"/>
      <c r="E1098" s="114" t="s">
        <v>3906</v>
      </c>
      <c r="F1098" s="113" t="s">
        <v>3907</v>
      </c>
      <c r="G1098" s="113" t="s">
        <v>3907</v>
      </c>
      <c r="H1098" s="113" t="s">
        <v>103</v>
      </c>
      <c r="I1098" s="115" t="n">
        <v>142.9</v>
      </c>
      <c r="J1098" s="115" t="s">
        <v>80</v>
      </c>
      <c r="K1098" s="115" t="s">
        <v>81</v>
      </c>
      <c r="L1098" s="115" t="n">
        <v>137.9</v>
      </c>
      <c r="M1098" s="115" t="n">
        <v>3.0</v>
      </c>
      <c r="N1098" s="115"/>
      <c r="O1098" s="115"/>
      <c r="P1098" s="115"/>
      <c r="Q1098" s="115"/>
      <c r="R1098" s="115"/>
      <c r="S1098" s="115"/>
      <c r="T1098" s="115"/>
      <c r="U1098" s="115"/>
      <c r="V1098" s="115" t="s">
        <v>82</v>
      </c>
      <c r="W1098" s="115" t="s">
        <v>92</v>
      </c>
      <c r="X1098" s="113">
        <f>IF(INDIRECT("W1098")="Clássico","12%",IF(INDIRECT("W1098")="Premium","17%","-"))</f>
      </c>
      <c r="Y1098" s="113" t="s">
        <v>3198</v>
      </c>
    </row>
    <row r="1099" ht="50.0" customHeight="true">
      <c r="A1099" s="113" t="s">
        <v>3908</v>
      </c>
      <c r="B1099" s="113" t="s">
        <v>3909</v>
      </c>
      <c r="C1099" s="113" t="s">
        <v>3910</v>
      </c>
      <c r="D1099" s="113"/>
      <c r="E1099" s="114" t="s">
        <v>3339</v>
      </c>
      <c r="F1099" s="113" t="s">
        <v>3911</v>
      </c>
      <c r="G1099" s="113" t="s">
        <v>3911</v>
      </c>
      <c r="H1099" s="113" t="s">
        <v>103</v>
      </c>
      <c r="I1099" s="115" t="n">
        <v>284.69</v>
      </c>
      <c r="J1099" s="115" t="s">
        <v>80</v>
      </c>
      <c r="K1099" s="115" t="s">
        <v>81</v>
      </c>
      <c r="L1099" s="115" t="n">
        <v>279.69</v>
      </c>
      <c r="M1099" s="115" t="n">
        <v>3.0</v>
      </c>
      <c r="N1099" s="115"/>
      <c r="O1099" s="115"/>
      <c r="P1099" s="115"/>
      <c r="Q1099" s="115"/>
      <c r="R1099" s="115"/>
      <c r="S1099" s="115"/>
      <c r="T1099" s="115"/>
      <c r="U1099" s="115"/>
      <c r="V1099" s="115" t="s">
        <v>82</v>
      </c>
      <c r="W1099" s="115" t="s">
        <v>83</v>
      </c>
      <c r="X1099" s="113">
        <f>IF(INDIRECT("W1099")="Clássico","12%",IF(INDIRECT("W1099")="Premium","17%","-"))</f>
      </c>
      <c r="Y1099" s="113" t="s">
        <v>121</v>
      </c>
    </row>
    <row r="1100" ht="50.0" customHeight="true">
      <c r="A1100" s="113" t="s">
        <v>3912</v>
      </c>
      <c r="B1100" s="113" t="s">
        <v>3913</v>
      </c>
      <c r="C1100" s="113" t="s">
        <v>3914</v>
      </c>
      <c r="D1100" s="113"/>
      <c r="E1100" s="114" t="s">
        <v>3831</v>
      </c>
      <c r="F1100" s="113" t="s">
        <v>3915</v>
      </c>
      <c r="G1100" s="113" t="s">
        <v>3915</v>
      </c>
      <c r="H1100" s="113" t="s">
        <v>103</v>
      </c>
      <c r="I1100" s="115" t="n">
        <v>395.55</v>
      </c>
      <c r="J1100" s="115" t="s">
        <v>80</v>
      </c>
      <c r="K1100" s="115" t="s">
        <v>81</v>
      </c>
      <c r="L1100" s="115" t="n">
        <v>390.55</v>
      </c>
      <c r="M1100" s="115" t="n">
        <v>3.0</v>
      </c>
      <c r="N1100" s="115"/>
      <c r="O1100" s="115"/>
      <c r="P1100" s="115"/>
      <c r="Q1100" s="115"/>
      <c r="R1100" s="115"/>
      <c r="S1100" s="115"/>
      <c r="T1100" s="115"/>
      <c r="U1100" s="115"/>
      <c r="V1100" s="115" t="s">
        <v>82</v>
      </c>
      <c r="W1100" s="115" t="s">
        <v>83</v>
      </c>
      <c r="X1100" s="113">
        <f>IF(INDIRECT("W1100")="Clássico","12%",IF(INDIRECT("W1100")="Premium","17%","-"))</f>
      </c>
      <c r="Y1100" s="113" t="s">
        <v>1774</v>
      </c>
    </row>
    <row r="1101" ht="50.0" customHeight="true">
      <c r="A1101" s="113" t="s">
        <v>3916</v>
      </c>
      <c r="B1101" s="113" t="s">
        <v>3917</v>
      </c>
      <c r="C1101" s="113" t="s">
        <v>3918</v>
      </c>
      <c r="D1101" s="113"/>
      <c r="E1101" s="114" t="s">
        <v>3736</v>
      </c>
      <c r="F1101" s="113" t="s">
        <v>3919</v>
      </c>
      <c r="G1101" s="113" t="s">
        <v>3919</v>
      </c>
      <c r="H1101" s="113" t="s">
        <v>103</v>
      </c>
      <c r="I1101" s="115" t="n">
        <v>476.59</v>
      </c>
      <c r="J1101" s="115" t="s">
        <v>80</v>
      </c>
      <c r="K1101" s="115" t="s">
        <v>81</v>
      </c>
      <c r="L1101" s="115" t="n">
        <v>474.74</v>
      </c>
      <c r="M1101" s="115" t="n">
        <v>3.0</v>
      </c>
      <c r="N1101" s="115"/>
      <c r="O1101" s="115"/>
      <c r="P1101" s="115"/>
      <c r="Q1101" s="115"/>
      <c r="R1101" s="115"/>
      <c r="S1101" s="115"/>
      <c r="T1101" s="115"/>
      <c r="U1101" s="115"/>
      <c r="V1101" s="115" t="s">
        <v>82</v>
      </c>
      <c r="W1101" s="115" t="s">
        <v>83</v>
      </c>
      <c r="X1101" s="113">
        <f>IF(INDIRECT("W1101")="Clássico","12%",IF(INDIRECT("W1101")="Premium","17%","-"))</f>
      </c>
      <c r="Y1101" s="113" t="s">
        <v>181</v>
      </c>
    </row>
    <row r="1102" ht="50.0" customHeight="true">
      <c r="A1102" s="113" t="s">
        <v>3920</v>
      </c>
      <c r="B1102" s="113" t="s">
        <v>3921</v>
      </c>
      <c r="C1102" s="113" t="s">
        <v>3922</v>
      </c>
      <c r="D1102" s="113"/>
      <c r="E1102" s="114" t="s">
        <v>1815</v>
      </c>
      <c r="F1102" s="113" t="s">
        <v>3923</v>
      </c>
      <c r="G1102" s="113" t="s">
        <v>3923</v>
      </c>
      <c r="H1102" s="113" t="s">
        <v>103</v>
      </c>
      <c r="I1102" s="115" t="n">
        <v>469.5</v>
      </c>
      <c r="J1102" s="115" t="s">
        <v>80</v>
      </c>
      <c r="K1102" s="115" t="s">
        <v>81</v>
      </c>
      <c r="L1102" s="115" t="n">
        <v>292.46</v>
      </c>
      <c r="M1102" s="115" t="n">
        <v>3.0</v>
      </c>
      <c r="N1102" s="115"/>
      <c r="O1102" s="115"/>
      <c r="P1102" s="115"/>
      <c r="Q1102" s="115"/>
      <c r="R1102" s="115"/>
      <c r="S1102" s="115"/>
      <c r="T1102" s="115"/>
      <c r="U1102" s="115"/>
      <c r="V1102" s="115" t="s">
        <v>82</v>
      </c>
      <c r="W1102" s="115" t="s">
        <v>83</v>
      </c>
      <c r="X1102" s="113">
        <f>IF(INDIRECT("W1102")="Clássico","12%",IF(INDIRECT("W1102")="Premium","17%","-"))</f>
      </c>
      <c r="Y1102" s="113" t="s">
        <v>181</v>
      </c>
    </row>
    <row r="1103" ht="50.0" customHeight="true">
      <c r="A1103" s="113" t="s">
        <v>3924</v>
      </c>
      <c r="B1103" s="113" t="s">
        <v>3925</v>
      </c>
      <c r="C1103" s="113" t="s">
        <v>3926</v>
      </c>
      <c r="D1103" s="113"/>
      <c r="E1103" s="114" t="s">
        <v>3413</v>
      </c>
      <c r="F1103" s="113" t="s">
        <v>3927</v>
      </c>
      <c r="G1103" s="113" t="s">
        <v>3927</v>
      </c>
      <c r="H1103" s="113" t="s">
        <v>103</v>
      </c>
      <c r="I1103" s="115" t="n">
        <v>227.72</v>
      </c>
      <c r="J1103" s="115" t="s">
        <v>80</v>
      </c>
      <c r="K1103" s="115" t="s">
        <v>81</v>
      </c>
      <c r="L1103" s="115" t="n">
        <v>222.85</v>
      </c>
      <c r="M1103" s="115" t="n">
        <v>3.0</v>
      </c>
      <c r="N1103" s="115"/>
      <c r="O1103" s="115"/>
      <c r="P1103" s="115"/>
      <c r="Q1103" s="115"/>
      <c r="R1103" s="115"/>
      <c r="S1103" s="115"/>
      <c r="T1103" s="115"/>
      <c r="U1103" s="115"/>
      <c r="V1103" s="115" t="s">
        <v>82</v>
      </c>
      <c r="W1103" s="115" t="s">
        <v>92</v>
      </c>
      <c r="X1103" s="113">
        <f>IF(INDIRECT("W1103")="Clássico","12%",IF(INDIRECT("W1103")="Premium","17%","-"))</f>
      </c>
      <c r="Y1103" s="113" t="s">
        <v>245</v>
      </c>
    </row>
    <row r="1104" ht="50.0" customHeight="true">
      <c r="A1104" s="113" t="s">
        <v>3928</v>
      </c>
      <c r="B1104" s="113" t="s">
        <v>3929</v>
      </c>
      <c r="C1104" s="113" t="s">
        <v>3930</v>
      </c>
      <c r="D1104" s="113"/>
      <c r="E1104" s="114" t="s">
        <v>3931</v>
      </c>
      <c r="F1104" s="113" t="s">
        <v>3932</v>
      </c>
      <c r="G1104" s="113" t="s">
        <v>3932</v>
      </c>
      <c r="H1104" s="113" t="s">
        <v>103</v>
      </c>
      <c r="I1104" s="115" t="n">
        <v>616.45</v>
      </c>
      <c r="J1104" s="115" t="s">
        <v>80</v>
      </c>
      <c r="K1104" s="115" t="s">
        <v>81</v>
      </c>
      <c r="L1104" s="115" t="n">
        <v>611.45</v>
      </c>
      <c r="M1104" s="115" t="n">
        <v>3.0</v>
      </c>
      <c r="N1104" s="115"/>
      <c r="O1104" s="115"/>
      <c r="P1104" s="115"/>
      <c r="Q1104" s="115"/>
      <c r="R1104" s="115"/>
      <c r="S1104" s="115"/>
      <c r="T1104" s="115"/>
      <c r="U1104" s="115"/>
      <c r="V1104" s="115" t="s">
        <v>82</v>
      </c>
      <c r="W1104" s="115" t="s">
        <v>83</v>
      </c>
      <c r="X1104" s="113">
        <f>IF(INDIRECT("W1104")="Clássico","12%",IF(INDIRECT("W1104")="Premium","17%","-"))</f>
      </c>
      <c r="Y1104" s="113" t="s">
        <v>2126</v>
      </c>
    </row>
    <row r="1105" ht="50.0" customHeight="true">
      <c r="A1105" s="113" t="s">
        <v>3933</v>
      </c>
      <c r="B1105" s="113" t="s">
        <v>3934</v>
      </c>
      <c r="C1105" s="113" t="s">
        <v>3935</v>
      </c>
      <c r="D1105" s="113"/>
      <c r="E1105" s="114" t="s">
        <v>3358</v>
      </c>
      <c r="F1105" s="113" t="s">
        <v>3936</v>
      </c>
      <c r="G1105" s="113" t="s">
        <v>3936</v>
      </c>
      <c r="H1105" s="113" t="s">
        <v>103</v>
      </c>
      <c r="I1105" s="115" t="n">
        <v>377.19</v>
      </c>
      <c r="J1105" s="115" t="s">
        <v>80</v>
      </c>
      <c r="K1105" s="115" t="s">
        <v>81</v>
      </c>
      <c r="L1105" s="115" t="n">
        <v>372.19</v>
      </c>
      <c r="M1105" s="115" t="n">
        <v>3.0</v>
      </c>
      <c r="N1105" s="115"/>
      <c r="O1105" s="115"/>
      <c r="P1105" s="115"/>
      <c r="Q1105" s="115"/>
      <c r="R1105" s="115"/>
      <c r="S1105" s="115"/>
      <c r="T1105" s="115"/>
      <c r="U1105" s="115"/>
      <c r="V1105" s="115" t="s">
        <v>82</v>
      </c>
      <c r="W1105" s="115" t="s">
        <v>83</v>
      </c>
      <c r="X1105" s="113">
        <f>IF(INDIRECT("W1105")="Clássico","11.5%",IF(INDIRECT("W1105")="Premium","16.5%","-"))</f>
      </c>
      <c r="Y1105" s="113" t="s">
        <v>684</v>
      </c>
    </row>
    <row r="1106" ht="50.0" customHeight="true">
      <c r="A1106" s="113" t="s">
        <v>22</v>
      </c>
      <c r="B1106" s="113" t="s">
        <v>3937</v>
      </c>
      <c r="C1106" s="113"/>
      <c r="D1106" s="113"/>
      <c r="E1106" s="113" t="s">
        <v>3330</v>
      </c>
      <c r="F1106" s="113" t="s">
        <v>3938</v>
      </c>
      <c r="G1106" s="113" t="s">
        <v>103</v>
      </c>
      <c r="H1106" s="113" t="s">
        <v>103</v>
      </c>
      <c r="I1106" s="115" t="n">
        <v>79.74</v>
      </c>
      <c r="J1106" s="115" t="s">
        <v>80</v>
      </c>
      <c r="K1106" s="113" t="s">
        <v>81</v>
      </c>
      <c r="L1106" s="115" t="n">
        <v>74.74</v>
      </c>
      <c r="M1106" s="115" t="n">
        <v>3.0</v>
      </c>
      <c r="N1106" s="115"/>
      <c r="O1106" s="115"/>
      <c r="P1106" s="115"/>
      <c r="Q1106" s="115"/>
      <c r="R1106" s="115"/>
      <c r="S1106" s="115"/>
      <c r="T1106" s="115"/>
      <c r="U1106" s="115"/>
      <c r="V1106" s="115" t="s">
        <v>82</v>
      </c>
      <c r="W1106" s="115" t="s">
        <v>83</v>
      </c>
      <c r="X1106" s="113">
        <f>IF(INDIRECT("W1106")="Clássico","12%",IF(INDIRECT("W1106")="Premium","17%","-"))</f>
      </c>
      <c r="Y1106" s="113" t="s">
        <v>1048</v>
      </c>
    </row>
    <row r="1107" ht="50.0" customHeight="true">
      <c r="A1107" s="113" t="s">
        <v>22</v>
      </c>
      <c r="B1107" s="113" t="s">
        <v>3937</v>
      </c>
      <c r="C1107" s="113" t="s">
        <v>3939</v>
      </c>
      <c r="D1107" s="113" t="s">
        <v>3939</v>
      </c>
      <c r="E1107" s="114" t="s">
        <v>3333</v>
      </c>
      <c r="F1107" s="116">
        <f>"     "&amp;F1106</f>
      </c>
      <c r="G1107" s="113" t="s">
        <v>687</v>
      </c>
      <c r="H1107" s="113" t="s">
        <v>103</v>
      </c>
      <c r="I1107" s="113">
        <f>I1106</f>
      </c>
      <c r="J1107" s="113">
        <f>J1106&amp;"     "</f>
      </c>
      <c r="K1107" s="113" t="s">
        <v>81</v>
      </c>
      <c r="L1107" s="113">
        <f>L1106</f>
      </c>
      <c r="M1107" s="113">
        <f>M1106</f>
      </c>
      <c r="N1107" s="113">
        <f>N1106</f>
      </c>
      <c r="O1107" s="113">
        <f>O1106</f>
      </c>
      <c r="P1107" s="113">
        <f>P1106</f>
      </c>
      <c r="Q1107" s="113">
        <f>Q1106</f>
      </c>
      <c r="R1107" s="113">
        <f>R1106</f>
      </c>
      <c r="S1107" s="113">
        <f>S1106</f>
      </c>
      <c r="T1107" s="113">
        <f>T1106</f>
      </c>
      <c r="U1107" s="113">
        <f>U1106</f>
      </c>
      <c r="V1107" s="113">
        <f>V1106&amp;"     "</f>
      </c>
      <c r="W1107" s="113">
        <f>W1106&amp;"     "</f>
      </c>
      <c r="X1107" s="113">
        <f>X1106</f>
      </c>
      <c r="Y1107" s="113" t="s">
        <v>1048</v>
      </c>
    </row>
    <row r="1108" ht="50.0" customHeight="true">
      <c r="A1108" s="113" t="s">
        <v>22</v>
      </c>
      <c r="B1108" s="113" t="s">
        <v>3937</v>
      </c>
      <c r="C1108" s="113" t="s">
        <v>3940</v>
      </c>
      <c r="D1108" s="113" t="s">
        <v>3940</v>
      </c>
      <c r="E1108" s="114" t="s">
        <v>3335</v>
      </c>
      <c r="F1108" s="116">
        <f>"     "&amp;F1106</f>
      </c>
      <c r="G1108" s="113" t="s">
        <v>690</v>
      </c>
      <c r="H1108" s="113" t="s">
        <v>103</v>
      </c>
      <c r="I1108" s="113">
        <f>I1106</f>
      </c>
      <c r="J1108" s="113">
        <f>J1106&amp;"     "</f>
      </c>
      <c r="K1108" s="113" t="s">
        <v>81</v>
      </c>
      <c r="L1108" s="113">
        <f>L1106</f>
      </c>
      <c r="M1108" s="113">
        <f>M1106</f>
      </c>
      <c r="N1108" s="113">
        <f>N1106</f>
      </c>
      <c r="O1108" s="113">
        <f>O1106</f>
      </c>
      <c r="P1108" s="113">
        <f>P1106</f>
      </c>
      <c r="Q1108" s="113">
        <f>Q1106</f>
      </c>
      <c r="R1108" s="113">
        <f>R1106</f>
      </c>
      <c r="S1108" s="113">
        <f>S1106</f>
      </c>
      <c r="T1108" s="113">
        <f>T1106</f>
      </c>
      <c r="U1108" s="113">
        <f>U1106</f>
      </c>
      <c r="V1108" s="113">
        <f>V1106&amp;"     "</f>
      </c>
      <c r="W1108" s="113">
        <f>W1106&amp;"     "</f>
      </c>
      <c r="X1108" s="113">
        <f>X1106</f>
      </c>
      <c r="Y1108" s="113" t="s">
        <v>1048</v>
      </c>
    </row>
    <row r="1109" ht="50.0" customHeight="true">
      <c r="A1109" s="113" t="s">
        <v>3941</v>
      </c>
      <c r="B1109" s="113" t="s">
        <v>3942</v>
      </c>
      <c r="C1109" s="113" t="s">
        <v>3943</v>
      </c>
      <c r="D1109" s="113"/>
      <c r="E1109" s="114" t="s">
        <v>3290</v>
      </c>
      <c r="F1109" s="113" t="s">
        <v>3944</v>
      </c>
      <c r="G1109" s="113" t="s">
        <v>3944</v>
      </c>
      <c r="H1109" s="113" t="s">
        <v>103</v>
      </c>
      <c r="I1109" s="115" t="n">
        <v>63.17</v>
      </c>
      <c r="J1109" s="115" t="s">
        <v>80</v>
      </c>
      <c r="K1109" s="115" t="s">
        <v>81</v>
      </c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 t="s">
        <v>91</v>
      </c>
      <c r="W1109" s="115" t="s">
        <v>92</v>
      </c>
      <c r="X1109" s="113">
        <f>IF(INDIRECT("W1109")="Clássico","12%",IF(INDIRECT("W1109")="Premium","17%","-"))</f>
      </c>
      <c r="Y1109" s="113" t="s">
        <v>3470</v>
      </c>
    </row>
    <row r="1110" ht="50.0" customHeight="true">
      <c r="A1110" s="113" t="s">
        <v>3945</v>
      </c>
      <c r="B1110" s="113" t="s">
        <v>3946</v>
      </c>
      <c r="C1110" s="113" t="s">
        <v>3947</v>
      </c>
      <c r="D1110" s="113"/>
      <c r="E1110" s="114" t="s">
        <v>3464</v>
      </c>
      <c r="F1110" s="113" t="s">
        <v>3948</v>
      </c>
      <c r="G1110" s="113" t="s">
        <v>127</v>
      </c>
      <c r="H1110" s="113" t="s">
        <v>103</v>
      </c>
      <c r="I1110" s="115" t="n">
        <v>420.16</v>
      </c>
      <c r="J1110" s="115" t="s">
        <v>80</v>
      </c>
      <c r="K1110" s="115" t="s">
        <v>81</v>
      </c>
      <c r="L1110" s="115" t="n">
        <v>330.45</v>
      </c>
      <c r="M1110" s="115" t="n">
        <v>3.0</v>
      </c>
      <c r="N1110" s="115"/>
      <c r="O1110" s="115"/>
      <c r="P1110" s="115"/>
      <c r="Q1110" s="115"/>
      <c r="R1110" s="115"/>
      <c r="S1110" s="115"/>
      <c r="T1110" s="115"/>
      <c r="U1110" s="115"/>
      <c r="V1110" s="115" t="s">
        <v>82</v>
      </c>
      <c r="W1110" s="115" t="s">
        <v>92</v>
      </c>
      <c r="X1110" s="113">
        <f>IF(INDIRECT("W1110")="Clássico","12%",IF(INDIRECT("W1110")="Premium","17%","-"))</f>
      </c>
      <c r="Y1110" s="113" t="s">
        <v>423</v>
      </c>
    </row>
    <row r="1111" ht="50.0" customHeight="true">
      <c r="A1111" s="113" t="s">
        <v>3949</v>
      </c>
      <c r="B1111" s="113" t="s">
        <v>3950</v>
      </c>
      <c r="C1111" s="113" t="s">
        <v>3951</v>
      </c>
      <c r="D1111" s="113"/>
      <c r="E1111" s="114" t="s">
        <v>3952</v>
      </c>
      <c r="F1111" s="113" t="s">
        <v>3953</v>
      </c>
      <c r="G1111" s="113" t="s">
        <v>3953</v>
      </c>
      <c r="H1111" s="113" t="s">
        <v>103</v>
      </c>
      <c r="I1111" s="115" t="n">
        <v>102.78</v>
      </c>
      <c r="J1111" s="115" t="s">
        <v>80</v>
      </c>
      <c r="K1111" s="115" t="s">
        <v>81</v>
      </c>
      <c r="L1111" s="115" t="n">
        <v>97.78</v>
      </c>
      <c r="M1111" s="115" t="n">
        <v>3.0</v>
      </c>
      <c r="N1111" s="115"/>
      <c r="O1111" s="115"/>
      <c r="P1111" s="115"/>
      <c r="Q1111" s="115"/>
      <c r="R1111" s="115"/>
      <c r="S1111" s="115"/>
      <c r="T1111" s="115"/>
      <c r="U1111" s="115"/>
      <c r="V1111" s="115" t="s">
        <v>82</v>
      </c>
      <c r="W1111" s="115" t="s">
        <v>92</v>
      </c>
      <c r="X1111" s="113">
        <f>IF(INDIRECT("W1111")="Clássico","12%",IF(INDIRECT("W1111")="Premium","17%","-"))</f>
      </c>
      <c r="Y1111" s="113" t="s">
        <v>3954</v>
      </c>
    </row>
    <row r="1112" ht="50.0" customHeight="true">
      <c r="A1112" s="113" t="s">
        <v>22</v>
      </c>
      <c r="B1112" s="113" t="s">
        <v>3955</v>
      </c>
      <c r="C1112" s="113"/>
      <c r="D1112" s="113"/>
      <c r="E1112" s="113" t="s">
        <v>22</v>
      </c>
      <c r="F1112" s="113" t="s">
        <v>3956</v>
      </c>
      <c r="G1112" s="113" t="s">
        <v>103</v>
      </c>
      <c r="H1112" s="113" t="s">
        <v>103</v>
      </c>
      <c r="I1112" s="115" t="n">
        <v>22.33</v>
      </c>
      <c r="J1112" s="115" t="s">
        <v>80</v>
      </c>
      <c r="K1112" s="113" t="s">
        <v>81</v>
      </c>
      <c r="L1112" s="115" t="n">
        <v>17.33</v>
      </c>
      <c r="M1112" s="115" t="n">
        <v>3.0</v>
      </c>
      <c r="N1112" s="115"/>
      <c r="O1112" s="115"/>
      <c r="P1112" s="115"/>
      <c r="Q1112" s="115"/>
      <c r="R1112" s="115"/>
      <c r="S1112" s="115"/>
      <c r="T1112" s="115"/>
      <c r="U1112" s="115"/>
      <c r="V1112" s="115" t="s">
        <v>91</v>
      </c>
      <c r="W1112" s="115" t="s">
        <v>92</v>
      </c>
      <c r="X1112" s="113">
        <f>IF(INDIRECT("W1112")="Clássico","12%",IF(INDIRECT("W1112")="Premium","17%","-"))</f>
      </c>
      <c r="Y1112" s="113" t="s">
        <v>3957</v>
      </c>
    </row>
    <row r="1113" ht="50.0" customHeight="true">
      <c r="A1113" s="113" t="s">
        <v>22</v>
      </c>
      <c r="B1113" s="113" t="s">
        <v>3955</v>
      </c>
      <c r="C1113" s="113" t="s">
        <v>3958</v>
      </c>
      <c r="D1113" s="113" t="s">
        <v>3958</v>
      </c>
      <c r="E1113" s="114" t="s">
        <v>3959</v>
      </c>
      <c r="F1113" s="116">
        <f>"     "&amp;F1112</f>
      </c>
      <c r="G1113" s="113" t="s">
        <v>3960</v>
      </c>
      <c r="H1113" s="113" t="s">
        <v>103</v>
      </c>
      <c r="I1113" s="113">
        <f>I1112</f>
      </c>
      <c r="J1113" s="113">
        <f>J1112&amp;"     "</f>
      </c>
      <c r="K1113" s="113" t="s">
        <v>81</v>
      </c>
      <c r="L1113" s="113">
        <f>L1112</f>
      </c>
      <c r="M1113" s="113">
        <f>M1112</f>
      </c>
      <c r="N1113" s="113">
        <f>N1112</f>
      </c>
      <c r="O1113" s="113">
        <f>O1112</f>
      </c>
      <c r="P1113" s="113">
        <f>P1112</f>
      </c>
      <c r="Q1113" s="113">
        <f>Q1112</f>
      </c>
      <c r="R1113" s="113">
        <f>R1112</f>
      </c>
      <c r="S1113" s="113">
        <f>S1112</f>
      </c>
      <c r="T1113" s="113">
        <f>T1112</f>
      </c>
      <c r="U1113" s="113">
        <f>U1112</f>
      </c>
      <c r="V1113" s="113">
        <f>V1112&amp;"     "</f>
      </c>
      <c r="W1113" s="113">
        <f>W1112&amp;"     "</f>
      </c>
      <c r="X1113" s="113">
        <f>X1112</f>
      </c>
      <c r="Y1113" s="113" t="s">
        <v>3957</v>
      </c>
    </row>
    <row r="1114" ht="50.0" customHeight="true">
      <c r="A1114" s="113" t="s">
        <v>22</v>
      </c>
      <c r="B1114" s="113" t="s">
        <v>3955</v>
      </c>
      <c r="C1114" s="113" t="s">
        <v>3961</v>
      </c>
      <c r="D1114" s="113" t="s">
        <v>3961</v>
      </c>
      <c r="E1114" s="114" t="s">
        <v>3962</v>
      </c>
      <c r="F1114" s="116">
        <f>"     "&amp;F1112</f>
      </c>
      <c r="G1114" s="113" t="s">
        <v>3963</v>
      </c>
      <c r="H1114" s="113" t="s">
        <v>103</v>
      </c>
      <c r="I1114" s="113">
        <f>I1112</f>
      </c>
      <c r="J1114" s="113">
        <f>J1112&amp;"     "</f>
      </c>
      <c r="K1114" s="113" t="s">
        <v>81</v>
      </c>
      <c r="L1114" s="113">
        <f>L1112</f>
      </c>
      <c r="M1114" s="113">
        <f>M1112</f>
      </c>
      <c r="N1114" s="113">
        <f>N1112</f>
      </c>
      <c r="O1114" s="113">
        <f>O1112</f>
      </c>
      <c r="P1114" s="113">
        <f>P1112</f>
      </c>
      <c r="Q1114" s="113">
        <f>Q1112</f>
      </c>
      <c r="R1114" s="113">
        <f>R1112</f>
      </c>
      <c r="S1114" s="113">
        <f>S1112</f>
      </c>
      <c r="T1114" s="113">
        <f>T1112</f>
      </c>
      <c r="U1114" s="113">
        <f>U1112</f>
      </c>
      <c r="V1114" s="113">
        <f>V1112&amp;"     "</f>
      </c>
      <c r="W1114" s="113">
        <f>W1112&amp;"     "</f>
      </c>
      <c r="X1114" s="113">
        <f>X1112</f>
      </c>
      <c r="Y1114" s="113" t="s">
        <v>3957</v>
      </c>
    </row>
    <row r="1115" ht="50.0" customHeight="true">
      <c r="A1115" s="113" t="s">
        <v>3964</v>
      </c>
      <c r="B1115" s="113" t="s">
        <v>3965</v>
      </c>
      <c r="C1115" s="113" t="s">
        <v>3966</v>
      </c>
      <c r="D1115" s="113"/>
      <c r="E1115" s="114" t="s">
        <v>3271</v>
      </c>
      <c r="F1115" s="113" t="s">
        <v>3967</v>
      </c>
      <c r="G1115" s="113" t="s">
        <v>3967</v>
      </c>
      <c r="H1115" s="113" t="s">
        <v>103</v>
      </c>
      <c r="I1115" s="115" t="n">
        <v>36.47</v>
      </c>
      <c r="J1115" s="115" t="s">
        <v>80</v>
      </c>
      <c r="K1115" s="115" t="s">
        <v>81</v>
      </c>
      <c r="L1115" s="115" t="n">
        <v>31.47</v>
      </c>
      <c r="M1115" s="115" t="n">
        <v>3.0</v>
      </c>
      <c r="N1115" s="115"/>
      <c r="O1115" s="115"/>
      <c r="P1115" s="115"/>
      <c r="Q1115" s="115"/>
      <c r="R1115" s="115"/>
      <c r="S1115" s="115"/>
      <c r="T1115" s="115"/>
      <c r="U1115" s="115"/>
      <c r="V1115" s="115" t="s">
        <v>91</v>
      </c>
      <c r="W1115" s="115" t="s">
        <v>83</v>
      </c>
      <c r="X1115" s="113">
        <f>IF(INDIRECT("W1115")="Clássico","12%",IF(INDIRECT("W1115")="Premium","17%","-"))</f>
      </c>
      <c r="Y1115" s="113" t="s">
        <v>1048</v>
      </c>
    </row>
    <row r="1116" ht="50.0" customHeight="true">
      <c r="A1116" s="113" t="s">
        <v>3968</v>
      </c>
      <c r="B1116" s="113" t="s">
        <v>3969</v>
      </c>
      <c r="C1116" s="113" t="s">
        <v>3970</v>
      </c>
      <c r="D1116" s="113"/>
      <c r="E1116" s="114" t="s">
        <v>704</v>
      </c>
      <c r="F1116" s="113" t="s">
        <v>3971</v>
      </c>
      <c r="G1116" s="113" t="s">
        <v>493</v>
      </c>
      <c r="H1116" s="113" t="s">
        <v>103</v>
      </c>
      <c r="I1116" s="115" t="n">
        <v>401.14</v>
      </c>
      <c r="J1116" s="115" t="s">
        <v>80</v>
      </c>
      <c r="K1116" s="115" t="s">
        <v>81</v>
      </c>
      <c r="L1116" s="115" t="n">
        <v>382.22</v>
      </c>
      <c r="M1116" s="115" t="n">
        <v>3.0</v>
      </c>
      <c r="N1116" s="115"/>
      <c r="O1116" s="115"/>
      <c r="P1116" s="115"/>
      <c r="Q1116" s="115"/>
      <c r="R1116" s="115"/>
      <c r="S1116" s="115"/>
      <c r="T1116" s="115"/>
      <c r="U1116" s="115"/>
      <c r="V1116" s="115" t="s">
        <v>82</v>
      </c>
      <c r="W1116" s="115" t="s">
        <v>92</v>
      </c>
      <c r="X1116" s="113">
        <f>IF(INDIRECT("W1116")="Clássico","12%",IF(INDIRECT("W1116")="Premium","17%","-"))</f>
      </c>
      <c r="Y1116" s="113" t="s">
        <v>1718</v>
      </c>
    </row>
    <row r="1117" ht="50.0" customHeight="true">
      <c r="A1117" s="113" t="s">
        <v>3972</v>
      </c>
      <c r="B1117" s="113" t="s">
        <v>3973</v>
      </c>
      <c r="C1117" s="113" t="s">
        <v>3974</v>
      </c>
      <c r="D1117" s="113"/>
      <c r="E1117" s="114" t="s">
        <v>3662</v>
      </c>
      <c r="F1117" s="113" t="s">
        <v>3975</v>
      </c>
      <c r="G1117" s="113" t="s">
        <v>3975</v>
      </c>
      <c r="H1117" s="113" t="s">
        <v>103</v>
      </c>
      <c r="I1117" s="115" t="n">
        <v>145.44</v>
      </c>
      <c r="J1117" s="115" t="s">
        <v>80</v>
      </c>
      <c r="K1117" s="115" t="s">
        <v>81</v>
      </c>
      <c r="L1117" s="115" t="n">
        <v>140.44</v>
      </c>
      <c r="M1117" s="115" t="n">
        <v>3.0</v>
      </c>
      <c r="N1117" s="115"/>
      <c r="O1117" s="115"/>
      <c r="P1117" s="115"/>
      <c r="Q1117" s="115"/>
      <c r="R1117" s="115"/>
      <c r="S1117" s="115"/>
      <c r="T1117" s="115"/>
      <c r="U1117" s="115"/>
      <c r="V1117" s="115" t="s">
        <v>82</v>
      </c>
      <c r="W1117" s="115" t="s">
        <v>92</v>
      </c>
      <c r="X1117" s="113">
        <f>IF(INDIRECT("W1117")="Clássico","12%",IF(INDIRECT("W1117")="Premium","17%","-"))</f>
      </c>
      <c r="Y1117" s="113" t="s">
        <v>200</v>
      </c>
    </row>
    <row r="1118" ht="50.0" customHeight="true">
      <c r="A1118" s="113" t="s">
        <v>3976</v>
      </c>
      <c r="B1118" s="113" t="s">
        <v>3977</v>
      </c>
      <c r="C1118" s="113" t="s">
        <v>3978</v>
      </c>
      <c r="D1118" s="113"/>
      <c r="E1118" s="114" t="s">
        <v>3492</v>
      </c>
      <c r="F1118" s="113" t="s">
        <v>3979</v>
      </c>
      <c r="G1118" s="113" t="s">
        <v>3979</v>
      </c>
      <c r="H1118" s="113" t="s">
        <v>103</v>
      </c>
      <c r="I1118" s="113" t="s">
        <v>22</v>
      </c>
      <c r="J1118" s="115" t="s">
        <v>80</v>
      </c>
      <c r="K1118" s="115" t="s">
        <v>81</v>
      </c>
      <c r="L1118" s="115" t="n">
        <v>168.29</v>
      </c>
      <c r="M1118" s="115" t="n">
        <v>3.0</v>
      </c>
      <c r="N1118" s="115"/>
      <c r="O1118" s="115"/>
      <c r="P1118" s="115"/>
      <c r="Q1118" s="115"/>
      <c r="R1118" s="115"/>
      <c r="S1118" s="115"/>
      <c r="T1118" s="115"/>
      <c r="U1118" s="115"/>
      <c r="V1118" s="115" t="s">
        <v>82</v>
      </c>
      <c r="W1118" s="115" t="s">
        <v>83</v>
      </c>
      <c r="X1118" s="113">
        <f>IF(INDIRECT("W1118")="Clássico","12%",IF(INDIRECT("W1118")="Premium","17%","-"))</f>
      </c>
      <c r="Y1118" s="113" t="s">
        <v>200</v>
      </c>
    </row>
    <row r="1119" ht="50.0" customHeight="true">
      <c r="A1119" s="113" t="s">
        <v>3980</v>
      </c>
      <c r="B1119" s="113" t="s">
        <v>3981</v>
      </c>
      <c r="C1119" s="113" t="s">
        <v>3982</v>
      </c>
      <c r="D1119" s="113"/>
      <c r="E1119" s="114" t="s">
        <v>3983</v>
      </c>
      <c r="F1119" s="113" t="s">
        <v>3984</v>
      </c>
      <c r="G1119" s="113" t="s">
        <v>3984</v>
      </c>
      <c r="H1119" s="113" t="s">
        <v>103</v>
      </c>
      <c r="I1119" s="115" t="n">
        <v>522.08</v>
      </c>
      <c r="J1119" s="115" t="s">
        <v>80</v>
      </c>
      <c r="K1119" s="115" t="s">
        <v>81</v>
      </c>
      <c r="L1119" s="115" t="n">
        <v>517.08</v>
      </c>
      <c r="M1119" s="115" t="n">
        <v>3.0</v>
      </c>
      <c r="N1119" s="115"/>
      <c r="O1119" s="115"/>
      <c r="P1119" s="115"/>
      <c r="Q1119" s="115"/>
      <c r="R1119" s="115"/>
      <c r="S1119" s="115"/>
      <c r="T1119" s="115"/>
      <c r="U1119" s="115"/>
      <c r="V1119" s="115" t="s">
        <v>82</v>
      </c>
      <c r="W1119" s="115" t="s">
        <v>83</v>
      </c>
      <c r="X1119" s="113">
        <f>IF(INDIRECT("W1119")="Clássico","12%",IF(INDIRECT("W1119")="Premium","17%","-"))</f>
      </c>
      <c r="Y1119" s="113" t="s">
        <v>1774</v>
      </c>
    </row>
    <row r="1120" ht="50.0" customHeight="true">
      <c r="A1120" s="113" t="s">
        <v>3985</v>
      </c>
      <c r="B1120" s="113" t="s">
        <v>3986</v>
      </c>
      <c r="C1120" s="113" t="s">
        <v>3987</v>
      </c>
      <c r="D1120" s="113"/>
      <c r="E1120" s="114" t="s">
        <v>3988</v>
      </c>
      <c r="F1120" s="113" t="s">
        <v>3989</v>
      </c>
      <c r="G1120" s="113" t="s">
        <v>3989</v>
      </c>
      <c r="H1120" s="113" t="s">
        <v>103</v>
      </c>
      <c r="I1120" s="115" t="n">
        <v>332.84</v>
      </c>
      <c r="J1120" s="115" t="s">
        <v>80</v>
      </c>
      <c r="K1120" s="115" t="s">
        <v>81</v>
      </c>
      <c r="L1120" s="115" t="n">
        <v>327.84</v>
      </c>
      <c r="M1120" s="115" t="n">
        <v>3.0</v>
      </c>
      <c r="N1120" s="115"/>
      <c r="O1120" s="115"/>
      <c r="P1120" s="115"/>
      <c r="Q1120" s="115"/>
      <c r="R1120" s="115"/>
      <c r="S1120" s="115"/>
      <c r="T1120" s="115"/>
      <c r="U1120" s="115"/>
      <c r="V1120" s="115" t="s">
        <v>82</v>
      </c>
      <c r="W1120" s="115" t="s">
        <v>92</v>
      </c>
      <c r="X1120" s="113">
        <f>IF(INDIRECT("W1120")="Clássico","12%",IF(INDIRECT("W1120")="Premium","17%","-"))</f>
      </c>
      <c r="Y1120" s="113" t="s">
        <v>3787</v>
      </c>
    </row>
    <row r="1121" ht="50.0" customHeight="true">
      <c r="A1121" s="113" t="s">
        <v>3990</v>
      </c>
      <c r="B1121" s="113" t="s">
        <v>3991</v>
      </c>
      <c r="C1121" s="113" t="s">
        <v>3992</v>
      </c>
      <c r="D1121" s="113"/>
      <c r="E1121" s="114" t="s">
        <v>3993</v>
      </c>
      <c r="F1121" s="113" t="s">
        <v>3994</v>
      </c>
      <c r="G1121" s="113" t="s">
        <v>3994</v>
      </c>
      <c r="H1121" s="113" t="s">
        <v>103</v>
      </c>
      <c r="I1121" s="115" t="n">
        <v>51.99</v>
      </c>
      <c r="J1121" s="115" t="s">
        <v>80</v>
      </c>
      <c r="K1121" s="115" t="s">
        <v>81</v>
      </c>
      <c r="L1121" s="115" t="n">
        <v>46.99</v>
      </c>
      <c r="M1121" s="115" t="n">
        <v>3.0</v>
      </c>
      <c r="N1121" s="115"/>
      <c r="O1121" s="115"/>
      <c r="P1121" s="115"/>
      <c r="Q1121" s="115"/>
      <c r="R1121" s="115"/>
      <c r="S1121" s="115"/>
      <c r="T1121" s="115"/>
      <c r="U1121" s="115"/>
      <c r="V1121" s="115" t="s">
        <v>91</v>
      </c>
      <c r="W1121" s="115" t="s">
        <v>92</v>
      </c>
      <c r="X1121" s="113">
        <f>IF(INDIRECT("W1121")="Clássico","12%",IF(INDIRECT("W1121")="Premium","17%","-"))</f>
      </c>
      <c r="Y1121" s="113" t="s">
        <v>3308</v>
      </c>
    </row>
    <row r="1122" ht="50.0" customHeight="true">
      <c r="A1122" s="113" t="s">
        <v>3995</v>
      </c>
      <c r="B1122" s="113" t="s">
        <v>3996</v>
      </c>
      <c r="C1122" s="113" t="s">
        <v>3997</v>
      </c>
      <c r="D1122" s="113"/>
      <c r="E1122" s="114" t="s">
        <v>3998</v>
      </c>
      <c r="F1122" s="113" t="s">
        <v>3999</v>
      </c>
      <c r="G1122" s="113" t="s">
        <v>3999</v>
      </c>
      <c r="H1122" s="113" t="s">
        <v>103</v>
      </c>
      <c r="I1122" s="115" t="n">
        <v>180.7</v>
      </c>
      <c r="J1122" s="115" t="s">
        <v>80</v>
      </c>
      <c r="K1122" s="115" t="s">
        <v>81</v>
      </c>
      <c r="L1122" s="115" t="n">
        <v>175.7</v>
      </c>
      <c r="M1122" s="115" t="n">
        <v>3.0</v>
      </c>
      <c r="N1122" s="115"/>
      <c r="O1122" s="115"/>
      <c r="P1122" s="115"/>
      <c r="Q1122" s="115"/>
      <c r="R1122" s="115"/>
      <c r="S1122" s="115"/>
      <c r="T1122" s="115"/>
      <c r="U1122" s="115"/>
      <c r="V1122" s="115" t="s">
        <v>82</v>
      </c>
      <c r="W1122" s="115" t="s">
        <v>83</v>
      </c>
      <c r="X1122" s="113">
        <f>IF(INDIRECT("W1122")="Clássico","12%",IF(INDIRECT("W1122")="Premium","17%","-"))</f>
      </c>
      <c r="Y1122" s="113" t="s">
        <v>2653</v>
      </c>
    </row>
    <row r="1123" ht="50.0" customHeight="true">
      <c r="A1123" s="113" t="s">
        <v>4000</v>
      </c>
      <c r="B1123" s="113" t="s">
        <v>4001</v>
      </c>
      <c r="C1123" s="113" t="s">
        <v>4002</v>
      </c>
      <c r="D1123" s="113"/>
      <c r="E1123" s="114" t="s">
        <v>4003</v>
      </c>
      <c r="F1123" s="113" t="s">
        <v>4004</v>
      </c>
      <c r="G1123" s="113" t="s">
        <v>4004</v>
      </c>
      <c r="H1123" s="113" t="s">
        <v>103</v>
      </c>
      <c r="I1123" s="115" t="n">
        <v>88.57</v>
      </c>
      <c r="J1123" s="115" t="s">
        <v>80</v>
      </c>
      <c r="K1123" s="115" t="s">
        <v>81</v>
      </c>
      <c r="L1123" s="115" t="n">
        <v>83.57</v>
      </c>
      <c r="M1123" s="115" t="n">
        <v>3.0</v>
      </c>
      <c r="N1123" s="115"/>
      <c r="O1123" s="115"/>
      <c r="P1123" s="115"/>
      <c r="Q1123" s="115"/>
      <c r="R1123" s="115"/>
      <c r="S1123" s="115"/>
      <c r="T1123" s="115"/>
      <c r="U1123" s="115"/>
      <c r="V1123" s="115" t="s">
        <v>82</v>
      </c>
      <c r="W1123" s="115" t="s">
        <v>83</v>
      </c>
      <c r="X1123" s="113">
        <f>IF(INDIRECT("W1123")="Clássico","12%",IF(INDIRECT("W1123")="Premium","17%","-"))</f>
      </c>
      <c r="Y1123" s="113" t="s">
        <v>1048</v>
      </c>
    </row>
    <row r="1124" ht="50.0" customHeight="true">
      <c r="A1124" s="113" t="s">
        <v>4005</v>
      </c>
      <c r="B1124" s="113" t="s">
        <v>4006</v>
      </c>
      <c r="C1124" s="113" t="s">
        <v>4007</v>
      </c>
      <c r="D1124" s="113"/>
      <c r="E1124" s="114" t="s">
        <v>4008</v>
      </c>
      <c r="F1124" s="113" t="s">
        <v>4009</v>
      </c>
      <c r="G1124" s="113" t="s">
        <v>4009</v>
      </c>
      <c r="H1124" s="113" t="s">
        <v>103</v>
      </c>
      <c r="I1124" s="115" t="n">
        <v>163.28</v>
      </c>
      <c r="J1124" s="115" t="s">
        <v>80</v>
      </c>
      <c r="K1124" s="115" t="s">
        <v>81</v>
      </c>
      <c r="L1124" s="115" t="n">
        <v>158.28</v>
      </c>
      <c r="M1124" s="115" t="n">
        <v>3.0</v>
      </c>
      <c r="N1124" s="115"/>
      <c r="O1124" s="115"/>
      <c r="P1124" s="115"/>
      <c r="Q1124" s="115"/>
      <c r="R1124" s="115"/>
      <c r="S1124" s="115"/>
      <c r="T1124" s="115"/>
      <c r="U1124" s="115"/>
      <c r="V1124" s="115" t="s">
        <v>82</v>
      </c>
      <c r="W1124" s="115" t="s">
        <v>92</v>
      </c>
      <c r="X1124" s="113">
        <f>IF(INDIRECT("W1124")="Clássico","12%",IF(INDIRECT("W1124")="Premium","17%","-"))</f>
      </c>
      <c r="Y1124" s="113" t="s">
        <v>2653</v>
      </c>
    </row>
    <row r="1125" ht="50.0" customHeight="true">
      <c r="A1125" s="113" t="s">
        <v>22</v>
      </c>
      <c r="B1125" s="113" t="s">
        <v>4010</v>
      </c>
      <c r="C1125" s="113"/>
      <c r="D1125" s="113"/>
      <c r="E1125" s="113" t="s">
        <v>3452</v>
      </c>
      <c r="F1125" s="113" t="s">
        <v>4011</v>
      </c>
      <c r="G1125" s="113" t="s">
        <v>103</v>
      </c>
      <c r="H1125" s="113" t="s">
        <v>103</v>
      </c>
      <c r="I1125" s="115" t="n">
        <v>270.76</v>
      </c>
      <c r="J1125" s="115" t="s">
        <v>80</v>
      </c>
      <c r="K1125" s="113" t="s">
        <v>81</v>
      </c>
      <c r="L1125" s="115" t="n">
        <v>148.04</v>
      </c>
      <c r="M1125" s="115" t="n">
        <v>3.0</v>
      </c>
      <c r="N1125" s="115"/>
      <c r="O1125" s="115"/>
      <c r="P1125" s="115"/>
      <c r="Q1125" s="115"/>
      <c r="R1125" s="115"/>
      <c r="S1125" s="115"/>
      <c r="T1125" s="115"/>
      <c r="U1125" s="115"/>
      <c r="V1125" s="115" t="s">
        <v>82</v>
      </c>
      <c r="W1125" s="115" t="s">
        <v>83</v>
      </c>
      <c r="X1125" s="113">
        <f>IF(INDIRECT("W1125")="Clássico","12%",IF(INDIRECT("W1125")="Premium","17%","-"))</f>
      </c>
      <c r="Y1125" s="113" t="s">
        <v>3454</v>
      </c>
    </row>
    <row r="1126" ht="50.0" customHeight="true">
      <c r="A1126" s="113" t="s">
        <v>22</v>
      </c>
      <c r="B1126" s="113" t="s">
        <v>4010</v>
      </c>
      <c r="C1126" s="113" t="s">
        <v>4012</v>
      </c>
      <c r="D1126" s="113" t="s">
        <v>4012</v>
      </c>
      <c r="E1126" s="114" t="s">
        <v>3456</v>
      </c>
      <c r="F1126" s="116">
        <f>"     "&amp;F1125</f>
      </c>
      <c r="G1126" s="113" t="s">
        <v>3457</v>
      </c>
      <c r="H1126" s="113" t="s">
        <v>103</v>
      </c>
      <c r="I1126" s="113">
        <f>I1125</f>
      </c>
      <c r="J1126" s="113">
        <f>J1125&amp;"     "</f>
      </c>
      <c r="K1126" s="113" t="s">
        <v>81</v>
      </c>
      <c r="L1126" s="113">
        <f>L1125</f>
      </c>
      <c r="M1126" s="113">
        <f>M1125</f>
      </c>
      <c r="N1126" s="113">
        <f>N1125</f>
      </c>
      <c r="O1126" s="113">
        <f>O1125</f>
      </c>
      <c r="P1126" s="113">
        <f>P1125</f>
      </c>
      <c r="Q1126" s="113">
        <f>Q1125</f>
      </c>
      <c r="R1126" s="113">
        <f>R1125</f>
      </c>
      <c r="S1126" s="113">
        <f>S1125</f>
      </c>
      <c r="T1126" s="113">
        <f>T1125</f>
      </c>
      <c r="U1126" s="113">
        <f>U1125</f>
      </c>
      <c r="V1126" s="113">
        <f>V1125&amp;"     "</f>
      </c>
      <c r="W1126" s="113">
        <f>W1125&amp;"     "</f>
      </c>
      <c r="X1126" s="113">
        <f>X1125</f>
      </c>
      <c r="Y1126" s="113" t="s">
        <v>3454</v>
      </c>
    </row>
    <row r="1127" ht="50.0" customHeight="true">
      <c r="A1127" s="113" t="s">
        <v>22</v>
      </c>
      <c r="B1127" s="113" t="s">
        <v>4010</v>
      </c>
      <c r="C1127" s="113" t="s">
        <v>4013</v>
      </c>
      <c r="D1127" s="113" t="s">
        <v>4013</v>
      </c>
      <c r="E1127" s="114" t="s">
        <v>3459</v>
      </c>
      <c r="F1127" s="116">
        <f>"     "&amp;F1125</f>
      </c>
      <c r="G1127" s="113" t="s">
        <v>3460</v>
      </c>
      <c r="H1127" s="113" t="s">
        <v>103</v>
      </c>
      <c r="I1127" s="113">
        <f>I1125</f>
      </c>
      <c r="J1127" s="113">
        <f>J1125&amp;"     "</f>
      </c>
      <c r="K1127" s="113" t="s">
        <v>81</v>
      </c>
      <c r="L1127" s="113">
        <f>L1125</f>
      </c>
      <c r="M1127" s="113">
        <f>M1125</f>
      </c>
      <c r="N1127" s="113">
        <f>N1125</f>
      </c>
      <c r="O1127" s="113">
        <f>O1125</f>
      </c>
      <c r="P1127" s="113">
        <f>P1125</f>
      </c>
      <c r="Q1127" s="113">
        <f>Q1125</f>
      </c>
      <c r="R1127" s="113">
        <f>R1125</f>
      </c>
      <c r="S1127" s="113">
        <f>S1125</f>
      </c>
      <c r="T1127" s="113">
        <f>T1125</f>
      </c>
      <c r="U1127" s="113">
        <f>U1125</f>
      </c>
      <c r="V1127" s="113">
        <f>V1125&amp;"     "</f>
      </c>
      <c r="W1127" s="113">
        <f>W1125&amp;"     "</f>
      </c>
      <c r="X1127" s="113">
        <f>X1125</f>
      </c>
      <c r="Y1127" s="113" t="s">
        <v>3454</v>
      </c>
    </row>
    <row r="1128" ht="50.0" customHeight="true">
      <c r="A1128" s="113" t="s">
        <v>4014</v>
      </c>
      <c r="B1128" s="113" t="s">
        <v>4015</v>
      </c>
      <c r="C1128" s="113" t="s">
        <v>4016</v>
      </c>
      <c r="D1128" s="113"/>
      <c r="E1128" s="114" t="s">
        <v>4017</v>
      </c>
      <c r="F1128" s="113" t="s">
        <v>4018</v>
      </c>
      <c r="G1128" s="113" t="s">
        <v>4018</v>
      </c>
      <c r="H1128" s="113" t="s">
        <v>103</v>
      </c>
      <c r="I1128" s="115" t="n">
        <v>327.83</v>
      </c>
      <c r="J1128" s="115" t="s">
        <v>80</v>
      </c>
      <c r="K1128" s="115" t="s">
        <v>81</v>
      </c>
      <c r="L1128" s="115" t="n">
        <v>322.83</v>
      </c>
      <c r="M1128" s="115" t="n">
        <v>3.0</v>
      </c>
      <c r="N1128" s="115"/>
      <c r="O1128" s="115"/>
      <c r="P1128" s="115"/>
      <c r="Q1128" s="115"/>
      <c r="R1128" s="115"/>
      <c r="S1128" s="115"/>
      <c r="T1128" s="115"/>
      <c r="U1128" s="115"/>
      <c r="V1128" s="115" t="s">
        <v>82</v>
      </c>
      <c r="W1128" s="115" t="s">
        <v>83</v>
      </c>
      <c r="X1128" s="113">
        <f>IF(INDIRECT("W1128")="Clássico","12%",IF(INDIRECT("W1128")="Premium","17%","-"))</f>
      </c>
      <c r="Y1128" s="113" t="s">
        <v>1741</v>
      </c>
    </row>
    <row r="1129" ht="50.0" customHeight="true">
      <c r="A1129" s="113" t="s">
        <v>4019</v>
      </c>
      <c r="B1129" s="113" t="s">
        <v>4020</v>
      </c>
      <c r="C1129" s="113" t="s">
        <v>4021</v>
      </c>
      <c r="D1129" s="113"/>
      <c r="E1129" s="114" t="s">
        <v>3754</v>
      </c>
      <c r="F1129" s="113" t="s">
        <v>4022</v>
      </c>
      <c r="G1129" s="113" t="s">
        <v>4022</v>
      </c>
      <c r="H1129" s="113" t="s">
        <v>103</v>
      </c>
      <c r="I1129" s="115" t="n">
        <v>359.49</v>
      </c>
      <c r="J1129" s="115" t="s">
        <v>80</v>
      </c>
      <c r="K1129" s="115" t="s">
        <v>81</v>
      </c>
      <c r="L1129" s="115" t="n">
        <v>354.49</v>
      </c>
      <c r="M1129" s="115" t="n">
        <v>3.0</v>
      </c>
      <c r="N1129" s="115"/>
      <c r="O1129" s="115"/>
      <c r="P1129" s="115"/>
      <c r="Q1129" s="115"/>
      <c r="R1129" s="115"/>
      <c r="S1129" s="115"/>
      <c r="T1129" s="115"/>
      <c r="U1129" s="115"/>
      <c r="V1129" s="115" t="s">
        <v>82</v>
      </c>
      <c r="W1129" s="115" t="s">
        <v>83</v>
      </c>
      <c r="X1129" s="113">
        <f>IF(INDIRECT("W1129")="Clássico","12%",IF(INDIRECT("W1129")="Premium","17%","-"))</f>
      </c>
      <c r="Y1129" s="113" t="s">
        <v>3756</v>
      </c>
    </row>
    <row r="1130" ht="50.0" customHeight="true">
      <c r="A1130" s="113" t="s">
        <v>4023</v>
      </c>
      <c r="B1130" s="113" t="s">
        <v>4024</v>
      </c>
      <c r="C1130" s="113" t="s">
        <v>4025</v>
      </c>
      <c r="D1130" s="113"/>
      <c r="E1130" s="114" t="s">
        <v>3358</v>
      </c>
      <c r="F1130" s="113" t="s">
        <v>4026</v>
      </c>
      <c r="G1130" s="113" t="s">
        <v>4026</v>
      </c>
      <c r="H1130" s="113" t="s">
        <v>103</v>
      </c>
      <c r="I1130" s="115" t="n">
        <v>597.5</v>
      </c>
      <c r="J1130" s="115" t="s">
        <v>80</v>
      </c>
      <c r="K1130" s="115" t="s">
        <v>81</v>
      </c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 t="s">
        <v>82</v>
      </c>
      <c r="W1130" s="115" t="s">
        <v>83</v>
      </c>
      <c r="X1130" s="113">
        <f>IF(INDIRECT("W1130")="Clássico","11.5%",IF(INDIRECT("W1130")="Premium","16.5%","-"))</f>
      </c>
      <c r="Y1130" s="113" t="s">
        <v>684</v>
      </c>
    </row>
    <row r="1131" ht="50.0" customHeight="true">
      <c r="A1131" s="113" t="s">
        <v>22</v>
      </c>
      <c r="B1131" s="113" t="s">
        <v>4027</v>
      </c>
      <c r="C1131" s="113"/>
      <c r="D1131" s="113"/>
      <c r="E1131" s="113" t="s">
        <v>3452</v>
      </c>
      <c r="F1131" s="113" t="s">
        <v>4028</v>
      </c>
      <c r="G1131" s="113" t="s">
        <v>103</v>
      </c>
      <c r="H1131" s="113" t="s">
        <v>103</v>
      </c>
      <c r="I1131" s="115" t="n">
        <v>249.24</v>
      </c>
      <c r="J1131" s="115" t="s">
        <v>80</v>
      </c>
      <c r="K1131" s="113" t="s">
        <v>81</v>
      </c>
      <c r="L1131" s="115" t="n">
        <v>210.19</v>
      </c>
      <c r="M1131" s="115" t="n">
        <v>3.0</v>
      </c>
      <c r="N1131" s="115"/>
      <c r="O1131" s="115"/>
      <c r="P1131" s="115"/>
      <c r="Q1131" s="115"/>
      <c r="R1131" s="115"/>
      <c r="S1131" s="115"/>
      <c r="T1131" s="115"/>
      <c r="U1131" s="115"/>
      <c r="V1131" s="115" t="s">
        <v>82</v>
      </c>
      <c r="W1131" s="115" t="s">
        <v>92</v>
      </c>
      <c r="X1131" s="113">
        <f>IF(INDIRECT("W1131")="Clássico","12%",IF(INDIRECT("W1131")="Premium","17%","-"))</f>
      </c>
      <c r="Y1131" s="113" t="s">
        <v>3454</v>
      </c>
    </row>
    <row r="1132" ht="50.0" customHeight="true">
      <c r="A1132" s="113" t="s">
        <v>22</v>
      </c>
      <c r="B1132" s="113" t="s">
        <v>4027</v>
      </c>
      <c r="C1132" s="113" t="s">
        <v>4029</v>
      </c>
      <c r="D1132" s="113" t="s">
        <v>4029</v>
      </c>
      <c r="E1132" s="114" t="s">
        <v>3456</v>
      </c>
      <c r="F1132" s="116">
        <f>"     "&amp;F1131</f>
      </c>
      <c r="G1132" s="113" t="s">
        <v>3457</v>
      </c>
      <c r="H1132" s="113" t="s">
        <v>103</v>
      </c>
      <c r="I1132" s="113">
        <f>I1131</f>
      </c>
      <c r="J1132" s="113">
        <f>J1131&amp;"     "</f>
      </c>
      <c r="K1132" s="113" t="s">
        <v>81</v>
      </c>
      <c r="L1132" s="113">
        <f>L1131</f>
      </c>
      <c r="M1132" s="113">
        <f>M1131</f>
      </c>
      <c r="N1132" s="113">
        <f>N1131</f>
      </c>
      <c r="O1132" s="113">
        <f>O1131</f>
      </c>
      <c r="P1132" s="113">
        <f>P1131</f>
      </c>
      <c r="Q1132" s="113">
        <f>Q1131</f>
      </c>
      <c r="R1132" s="113">
        <f>R1131</f>
      </c>
      <c r="S1132" s="113">
        <f>S1131</f>
      </c>
      <c r="T1132" s="113">
        <f>T1131</f>
      </c>
      <c r="U1132" s="113">
        <f>U1131</f>
      </c>
      <c r="V1132" s="113">
        <f>V1131&amp;"     "</f>
      </c>
      <c r="W1132" s="113">
        <f>W1131&amp;"     "</f>
      </c>
      <c r="X1132" s="113">
        <f>X1131</f>
      </c>
      <c r="Y1132" s="113" t="s">
        <v>3454</v>
      </c>
    </row>
    <row r="1133" ht="50.0" customHeight="true">
      <c r="A1133" s="113" t="s">
        <v>22</v>
      </c>
      <c r="B1133" s="113" t="s">
        <v>4027</v>
      </c>
      <c r="C1133" s="113" t="s">
        <v>4030</v>
      </c>
      <c r="D1133" s="113" t="s">
        <v>4030</v>
      </c>
      <c r="E1133" s="114" t="s">
        <v>3459</v>
      </c>
      <c r="F1133" s="116">
        <f>"     "&amp;F1131</f>
      </c>
      <c r="G1133" s="113" t="s">
        <v>3460</v>
      </c>
      <c r="H1133" s="113" t="s">
        <v>103</v>
      </c>
      <c r="I1133" s="113">
        <f>I1131</f>
      </c>
      <c r="J1133" s="113">
        <f>J1131&amp;"     "</f>
      </c>
      <c r="K1133" s="113" t="s">
        <v>81</v>
      </c>
      <c r="L1133" s="113">
        <f>L1131</f>
      </c>
      <c r="M1133" s="113">
        <f>M1131</f>
      </c>
      <c r="N1133" s="113">
        <f>N1131</f>
      </c>
      <c r="O1133" s="113">
        <f>O1131</f>
      </c>
      <c r="P1133" s="113">
        <f>P1131</f>
      </c>
      <c r="Q1133" s="113">
        <f>Q1131</f>
      </c>
      <c r="R1133" s="113">
        <f>R1131</f>
      </c>
      <c r="S1133" s="113">
        <f>S1131</f>
      </c>
      <c r="T1133" s="113">
        <f>T1131</f>
      </c>
      <c r="U1133" s="113">
        <f>U1131</f>
      </c>
      <c r="V1133" s="113">
        <f>V1131&amp;"     "</f>
      </c>
      <c r="W1133" s="113">
        <f>W1131&amp;"     "</f>
      </c>
      <c r="X1133" s="113">
        <f>X1131</f>
      </c>
      <c r="Y1133" s="113" t="s">
        <v>3454</v>
      </c>
    </row>
    <row r="1134" ht="50.0" customHeight="true">
      <c r="A1134" s="113" t="s">
        <v>4031</v>
      </c>
      <c r="B1134" s="113" t="s">
        <v>4032</v>
      </c>
      <c r="C1134" s="113" t="s">
        <v>4033</v>
      </c>
      <c r="D1134" s="113"/>
      <c r="E1134" s="114" t="s">
        <v>4034</v>
      </c>
      <c r="F1134" s="113" t="s">
        <v>4035</v>
      </c>
      <c r="G1134" s="113" t="s">
        <v>4035</v>
      </c>
      <c r="H1134" s="113" t="s">
        <v>103</v>
      </c>
      <c r="I1134" s="115" t="n">
        <v>52.5</v>
      </c>
      <c r="J1134" s="115" t="s">
        <v>80</v>
      </c>
      <c r="K1134" s="115" t="s">
        <v>81</v>
      </c>
      <c r="L1134" s="115" t="n">
        <v>47.5</v>
      </c>
      <c r="M1134" s="115" t="n">
        <v>3.0</v>
      </c>
      <c r="N1134" s="115"/>
      <c r="O1134" s="115"/>
      <c r="P1134" s="115"/>
      <c r="Q1134" s="115"/>
      <c r="R1134" s="115"/>
      <c r="S1134" s="115"/>
      <c r="T1134" s="115"/>
      <c r="U1134" s="115"/>
      <c r="V1134" s="115" t="s">
        <v>91</v>
      </c>
      <c r="W1134" s="115" t="s">
        <v>83</v>
      </c>
      <c r="X1134" s="113">
        <f>IF(INDIRECT("W1134")="Clássico","12%",IF(INDIRECT("W1134")="Premium","17%","-"))</f>
      </c>
      <c r="Y1134" s="113" t="s">
        <v>164</v>
      </c>
    </row>
    <row r="1135" ht="50.0" customHeight="true">
      <c r="A1135" s="113" t="s">
        <v>3676</v>
      </c>
      <c r="B1135" s="113" t="s">
        <v>4036</v>
      </c>
      <c r="C1135" s="113" t="s">
        <v>4037</v>
      </c>
      <c r="D1135" s="113"/>
      <c r="E1135" s="114" t="s">
        <v>3679</v>
      </c>
      <c r="F1135" s="113" t="s">
        <v>3680</v>
      </c>
      <c r="G1135" s="113" t="s">
        <v>3680</v>
      </c>
      <c r="H1135" s="113" t="s">
        <v>103</v>
      </c>
      <c r="I1135" s="115" t="n">
        <v>179.74</v>
      </c>
      <c r="J1135" s="115" t="s">
        <v>80</v>
      </c>
      <c r="K1135" s="115" t="s">
        <v>81</v>
      </c>
      <c r="L1135" s="115" t="n">
        <v>174.74</v>
      </c>
      <c r="M1135" s="115" t="n">
        <v>3.0</v>
      </c>
      <c r="N1135" s="115"/>
      <c r="O1135" s="115"/>
      <c r="P1135" s="115"/>
      <c r="Q1135" s="115"/>
      <c r="R1135" s="115"/>
      <c r="S1135" s="115"/>
      <c r="T1135" s="115"/>
      <c r="U1135" s="115"/>
      <c r="V1135" s="115" t="s">
        <v>82</v>
      </c>
      <c r="W1135" s="115" t="s">
        <v>92</v>
      </c>
      <c r="X1135" s="113">
        <f>IF(INDIRECT("W1135")="Clássico","12%",IF(INDIRECT("W1135")="Premium","17%","-"))</f>
      </c>
      <c r="Y1135" s="113" t="s">
        <v>3681</v>
      </c>
    </row>
    <row r="1136" ht="50.0" customHeight="true">
      <c r="A1136" s="113" t="s">
        <v>4038</v>
      </c>
      <c r="B1136" s="113" t="s">
        <v>4039</v>
      </c>
      <c r="C1136" s="113" t="s">
        <v>4040</v>
      </c>
      <c r="D1136" s="113"/>
      <c r="E1136" s="114" t="s">
        <v>3497</v>
      </c>
      <c r="F1136" s="113" t="s">
        <v>4041</v>
      </c>
      <c r="G1136" s="113" t="s">
        <v>4041</v>
      </c>
      <c r="H1136" s="113" t="s">
        <v>103</v>
      </c>
      <c r="I1136" s="115" t="n">
        <v>394.35</v>
      </c>
      <c r="J1136" s="115" t="s">
        <v>80</v>
      </c>
      <c r="K1136" s="115" t="s">
        <v>81</v>
      </c>
      <c r="L1136" s="115" t="n">
        <v>389.35</v>
      </c>
      <c r="M1136" s="115" t="n">
        <v>3.0</v>
      </c>
      <c r="N1136" s="115"/>
      <c r="O1136" s="115"/>
      <c r="P1136" s="115"/>
      <c r="Q1136" s="115"/>
      <c r="R1136" s="115"/>
      <c r="S1136" s="115"/>
      <c r="T1136" s="115"/>
      <c r="U1136" s="115"/>
      <c r="V1136" s="115" t="s">
        <v>82</v>
      </c>
      <c r="W1136" s="115" t="s">
        <v>83</v>
      </c>
      <c r="X1136" s="113">
        <f>IF(INDIRECT("W1136")="Clássico","12%",IF(INDIRECT("W1136")="Premium","17%","-"))</f>
      </c>
      <c r="Y1136" s="113" t="s">
        <v>3499</v>
      </c>
    </row>
    <row r="1137" ht="50.0" customHeight="true">
      <c r="A1137" s="113" t="s">
        <v>4042</v>
      </c>
      <c r="B1137" s="113" t="s">
        <v>4043</v>
      </c>
      <c r="C1137" s="113" t="s">
        <v>4044</v>
      </c>
      <c r="D1137" s="113"/>
      <c r="E1137" s="114" t="s">
        <v>3562</v>
      </c>
      <c r="F1137" s="113" t="s">
        <v>4045</v>
      </c>
      <c r="G1137" s="113" t="s">
        <v>4045</v>
      </c>
      <c r="H1137" s="113" t="s">
        <v>103</v>
      </c>
      <c r="I1137" s="115" t="n">
        <v>540.39</v>
      </c>
      <c r="J1137" s="115" t="s">
        <v>80</v>
      </c>
      <c r="K1137" s="115" t="s">
        <v>81</v>
      </c>
      <c r="L1137" s="115" t="n">
        <v>535.39</v>
      </c>
      <c r="M1137" s="115" t="n">
        <v>3.0</v>
      </c>
      <c r="N1137" s="115"/>
      <c r="O1137" s="115"/>
      <c r="P1137" s="115"/>
      <c r="Q1137" s="115"/>
      <c r="R1137" s="115"/>
      <c r="S1137" s="115"/>
      <c r="T1137" s="115"/>
      <c r="U1137" s="115"/>
      <c r="V1137" s="115" t="s">
        <v>82</v>
      </c>
      <c r="W1137" s="115" t="s">
        <v>83</v>
      </c>
      <c r="X1137" s="113">
        <f>IF(INDIRECT("W1137")="Clássico","12%",IF(INDIRECT("W1137")="Premium","17%","-"))</f>
      </c>
      <c r="Y1137" s="113" t="s">
        <v>3607</v>
      </c>
    </row>
    <row r="1138" ht="50.0" customHeight="true">
      <c r="A1138" s="113" t="s">
        <v>4046</v>
      </c>
      <c r="B1138" s="113" t="s">
        <v>4047</v>
      </c>
      <c r="C1138" s="113" t="s">
        <v>4048</v>
      </c>
      <c r="D1138" s="113"/>
      <c r="E1138" s="114" t="s">
        <v>4049</v>
      </c>
      <c r="F1138" s="113" t="s">
        <v>4050</v>
      </c>
      <c r="G1138" s="113" t="s">
        <v>4050</v>
      </c>
      <c r="H1138" s="113" t="s">
        <v>103</v>
      </c>
      <c r="I1138" s="115" t="n">
        <v>401.26</v>
      </c>
      <c r="J1138" s="115" t="s">
        <v>80</v>
      </c>
      <c r="K1138" s="115" t="s">
        <v>81</v>
      </c>
      <c r="L1138" s="115" t="n">
        <v>396.26</v>
      </c>
      <c r="M1138" s="115" t="n">
        <v>3.0</v>
      </c>
      <c r="N1138" s="115"/>
      <c r="O1138" s="115"/>
      <c r="P1138" s="115"/>
      <c r="Q1138" s="115"/>
      <c r="R1138" s="115"/>
      <c r="S1138" s="115"/>
      <c r="T1138" s="115"/>
      <c r="U1138" s="115"/>
      <c r="V1138" s="115" t="s">
        <v>82</v>
      </c>
      <c r="W1138" s="115" t="s">
        <v>83</v>
      </c>
      <c r="X1138" s="113">
        <f>IF(INDIRECT("W1138")="Clássico","12%",IF(INDIRECT("W1138")="Premium","17%","-"))</f>
      </c>
      <c r="Y1138" s="113" t="s">
        <v>4051</v>
      </c>
    </row>
    <row r="1139" ht="50.0" customHeight="true">
      <c r="A1139" s="113" t="s">
        <v>4052</v>
      </c>
      <c r="B1139" s="113" t="s">
        <v>4053</v>
      </c>
      <c r="C1139" s="113" t="s">
        <v>4054</v>
      </c>
      <c r="D1139" s="113"/>
      <c r="E1139" s="114" t="s">
        <v>3518</v>
      </c>
      <c r="F1139" s="113" t="s">
        <v>4055</v>
      </c>
      <c r="G1139" s="113" t="s">
        <v>4055</v>
      </c>
      <c r="H1139" s="113" t="s">
        <v>103</v>
      </c>
      <c r="I1139" s="115" t="n">
        <v>110.98</v>
      </c>
      <c r="J1139" s="115" t="s">
        <v>80</v>
      </c>
      <c r="K1139" s="115" t="s">
        <v>81</v>
      </c>
      <c r="L1139" s="115" t="n">
        <v>105.98</v>
      </c>
      <c r="M1139" s="115" t="n">
        <v>3.0</v>
      </c>
      <c r="N1139" s="115"/>
      <c r="O1139" s="115"/>
      <c r="P1139" s="115"/>
      <c r="Q1139" s="115"/>
      <c r="R1139" s="115"/>
      <c r="S1139" s="115"/>
      <c r="T1139" s="115"/>
      <c r="U1139" s="115"/>
      <c r="V1139" s="115" t="s">
        <v>82</v>
      </c>
      <c r="W1139" s="115" t="s">
        <v>92</v>
      </c>
      <c r="X1139" s="113">
        <f>IF(INDIRECT("W1139")="Clássico","12%",IF(INDIRECT("W1139")="Premium","17%","-"))</f>
      </c>
      <c r="Y1139" s="113" t="s">
        <v>3520</v>
      </c>
    </row>
    <row r="1140" ht="50.0" customHeight="true">
      <c r="A1140" s="113" t="s">
        <v>3395</v>
      </c>
      <c r="B1140" s="113" t="s">
        <v>4056</v>
      </c>
      <c r="C1140" s="113" t="s">
        <v>4057</v>
      </c>
      <c r="D1140" s="113"/>
      <c r="E1140" s="114" t="s">
        <v>3398</v>
      </c>
      <c r="F1140" s="113" t="s">
        <v>3399</v>
      </c>
      <c r="G1140" s="113" t="s">
        <v>3399</v>
      </c>
      <c r="H1140" s="113" t="s">
        <v>103</v>
      </c>
      <c r="I1140" s="115" t="n">
        <v>55.9</v>
      </c>
      <c r="J1140" s="115" t="s">
        <v>80</v>
      </c>
      <c r="K1140" s="115" t="s">
        <v>81</v>
      </c>
      <c r="L1140" s="115" t="n">
        <v>50.9</v>
      </c>
      <c r="M1140" s="115" t="n">
        <v>3.0</v>
      </c>
      <c r="N1140" s="115"/>
      <c r="O1140" s="115"/>
      <c r="P1140" s="115"/>
      <c r="Q1140" s="115"/>
      <c r="R1140" s="115"/>
      <c r="S1140" s="115"/>
      <c r="T1140" s="115"/>
      <c r="U1140" s="115"/>
      <c r="V1140" s="115" t="s">
        <v>91</v>
      </c>
      <c r="W1140" s="115" t="s">
        <v>83</v>
      </c>
      <c r="X1140" s="113">
        <f>IF(INDIRECT("W1140")="Clássico","12%",IF(INDIRECT("W1140")="Premium","17%","-"))</f>
      </c>
      <c r="Y1140" s="113" t="s">
        <v>1979</v>
      </c>
    </row>
    <row r="1141" ht="50.0" customHeight="true">
      <c r="A1141" s="113" t="s">
        <v>4058</v>
      </c>
      <c r="B1141" s="113" t="s">
        <v>4059</v>
      </c>
      <c r="C1141" s="113" t="s">
        <v>4060</v>
      </c>
      <c r="D1141" s="113"/>
      <c r="E1141" s="114" t="s">
        <v>4061</v>
      </c>
      <c r="F1141" s="113" t="s">
        <v>4062</v>
      </c>
      <c r="G1141" s="113" t="s">
        <v>4062</v>
      </c>
      <c r="H1141" s="113" t="s">
        <v>103</v>
      </c>
      <c r="I1141" s="115" t="n">
        <v>360.64</v>
      </c>
      <c r="J1141" s="115" t="s">
        <v>80</v>
      </c>
      <c r="K1141" s="115" t="s">
        <v>81</v>
      </c>
      <c r="L1141" s="115" t="n">
        <v>355.64</v>
      </c>
      <c r="M1141" s="115" t="n">
        <v>3.0</v>
      </c>
      <c r="N1141" s="115"/>
      <c r="O1141" s="115"/>
      <c r="P1141" s="115"/>
      <c r="Q1141" s="115"/>
      <c r="R1141" s="115"/>
      <c r="S1141" s="115"/>
      <c r="T1141" s="115"/>
      <c r="U1141" s="115"/>
      <c r="V1141" s="115" t="s">
        <v>82</v>
      </c>
      <c r="W1141" s="115" t="s">
        <v>92</v>
      </c>
      <c r="X1141" s="113">
        <f>IF(INDIRECT("W1141")="Clássico","12%",IF(INDIRECT("W1141")="Premium","17%","-"))</f>
      </c>
      <c r="Y1141" s="113" t="s">
        <v>4063</v>
      </c>
    </row>
    <row r="1142" ht="50.0" customHeight="true">
      <c r="A1142" s="113" t="s">
        <v>22</v>
      </c>
      <c r="B1142" s="113" t="s">
        <v>4064</v>
      </c>
      <c r="C1142" s="113"/>
      <c r="D1142" s="113"/>
      <c r="E1142" s="113" t="s">
        <v>3330</v>
      </c>
      <c r="F1142" s="113" t="s">
        <v>4065</v>
      </c>
      <c r="G1142" s="113" t="s">
        <v>103</v>
      </c>
      <c r="H1142" s="113" t="s">
        <v>103</v>
      </c>
      <c r="I1142" s="115" t="n">
        <v>91.05</v>
      </c>
      <c r="J1142" s="115" t="s">
        <v>80</v>
      </c>
      <c r="K1142" s="113" t="s">
        <v>81</v>
      </c>
      <c r="L1142" s="115" t="n">
        <v>86.05</v>
      </c>
      <c r="M1142" s="115" t="n">
        <v>3.0</v>
      </c>
      <c r="N1142" s="115"/>
      <c r="O1142" s="115"/>
      <c r="P1142" s="115"/>
      <c r="Q1142" s="115"/>
      <c r="R1142" s="115"/>
      <c r="S1142" s="115"/>
      <c r="T1142" s="115"/>
      <c r="U1142" s="115"/>
      <c r="V1142" s="115" t="s">
        <v>82</v>
      </c>
      <c r="W1142" s="115" t="s">
        <v>92</v>
      </c>
      <c r="X1142" s="113">
        <f>IF(INDIRECT("W1142")="Clássico","12%",IF(INDIRECT("W1142")="Premium","17%","-"))</f>
      </c>
      <c r="Y1142" s="113" t="s">
        <v>1048</v>
      </c>
    </row>
    <row r="1143" ht="50.0" customHeight="true">
      <c r="A1143" s="113" t="s">
        <v>22</v>
      </c>
      <c r="B1143" s="113" t="s">
        <v>4064</v>
      </c>
      <c r="C1143" s="113" t="s">
        <v>4066</v>
      </c>
      <c r="D1143" s="113" t="s">
        <v>4066</v>
      </c>
      <c r="E1143" s="114" t="s">
        <v>3333</v>
      </c>
      <c r="F1143" s="116">
        <f>"     "&amp;F1142</f>
      </c>
      <c r="G1143" s="113" t="s">
        <v>687</v>
      </c>
      <c r="H1143" s="113" t="s">
        <v>103</v>
      </c>
      <c r="I1143" s="113">
        <f>I1142</f>
      </c>
      <c r="J1143" s="113">
        <f>J1142&amp;"     "</f>
      </c>
      <c r="K1143" s="113" t="s">
        <v>81</v>
      </c>
      <c r="L1143" s="113">
        <f>L1142</f>
      </c>
      <c r="M1143" s="113">
        <f>M1142</f>
      </c>
      <c r="N1143" s="113">
        <f>N1142</f>
      </c>
      <c r="O1143" s="113">
        <f>O1142</f>
      </c>
      <c r="P1143" s="113">
        <f>P1142</f>
      </c>
      <c r="Q1143" s="113">
        <f>Q1142</f>
      </c>
      <c r="R1143" s="113">
        <f>R1142</f>
      </c>
      <c r="S1143" s="113">
        <f>S1142</f>
      </c>
      <c r="T1143" s="113">
        <f>T1142</f>
      </c>
      <c r="U1143" s="113">
        <f>U1142</f>
      </c>
      <c r="V1143" s="113">
        <f>V1142&amp;"     "</f>
      </c>
      <c r="W1143" s="113">
        <f>W1142&amp;"     "</f>
      </c>
      <c r="X1143" s="113">
        <f>X1142</f>
      </c>
      <c r="Y1143" s="113" t="s">
        <v>1048</v>
      </c>
    </row>
    <row r="1144" ht="50.0" customHeight="true">
      <c r="A1144" s="113" t="s">
        <v>22</v>
      </c>
      <c r="B1144" s="113" t="s">
        <v>4064</v>
      </c>
      <c r="C1144" s="113" t="s">
        <v>4067</v>
      </c>
      <c r="D1144" s="113" t="s">
        <v>4067</v>
      </c>
      <c r="E1144" s="114" t="s">
        <v>3335</v>
      </c>
      <c r="F1144" s="116">
        <f>"     "&amp;F1142</f>
      </c>
      <c r="G1144" s="113" t="s">
        <v>690</v>
      </c>
      <c r="H1144" s="113" t="s">
        <v>103</v>
      </c>
      <c r="I1144" s="113">
        <f>I1142</f>
      </c>
      <c r="J1144" s="113">
        <f>J1142&amp;"     "</f>
      </c>
      <c r="K1144" s="113" t="s">
        <v>81</v>
      </c>
      <c r="L1144" s="113">
        <f>L1142</f>
      </c>
      <c r="M1144" s="113">
        <f>M1142</f>
      </c>
      <c r="N1144" s="113">
        <f>N1142</f>
      </c>
      <c r="O1144" s="113">
        <f>O1142</f>
      </c>
      <c r="P1144" s="113">
        <f>P1142</f>
      </c>
      <c r="Q1144" s="113">
        <f>Q1142</f>
      </c>
      <c r="R1144" s="113">
        <f>R1142</f>
      </c>
      <c r="S1144" s="113">
        <f>S1142</f>
      </c>
      <c r="T1144" s="113">
        <f>T1142</f>
      </c>
      <c r="U1144" s="113">
        <f>U1142</f>
      </c>
      <c r="V1144" s="113">
        <f>V1142&amp;"     "</f>
      </c>
      <c r="W1144" s="113">
        <f>W1142&amp;"     "</f>
      </c>
      <c r="X1144" s="113">
        <f>X1142</f>
      </c>
      <c r="Y1144" s="113" t="s">
        <v>1048</v>
      </c>
    </row>
    <row r="1145" ht="50.0" customHeight="true">
      <c r="A1145" s="113" t="s">
        <v>4068</v>
      </c>
      <c r="B1145" s="113" t="s">
        <v>4069</v>
      </c>
      <c r="C1145" s="113" t="s">
        <v>4070</v>
      </c>
      <c r="D1145" s="113"/>
      <c r="E1145" s="114" t="s">
        <v>3353</v>
      </c>
      <c r="F1145" s="113" t="s">
        <v>4071</v>
      </c>
      <c r="G1145" s="113" t="s">
        <v>566</v>
      </c>
      <c r="H1145" s="113" t="s">
        <v>103</v>
      </c>
      <c r="I1145" s="115" t="n">
        <v>504.94</v>
      </c>
      <c r="J1145" s="115" t="s">
        <v>80</v>
      </c>
      <c r="K1145" s="115" t="s">
        <v>81</v>
      </c>
      <c r="L1145" s="115" t="n">
        <v>445.51</v>
      </c>
      <c r="M1145" s="115" t="n">
        <v>3.0</v>
      </c>
      <c r="N1145" s="115"/>
      <c r="O1145" s="115"/>
      <c r="P1145" s="115"/>
      <c r="Q1145" s="115"/>
      <c r="R1145" s="115"/>
      <c r="S1145" s="115"/>
      <c r="T1145" s="115"/>
      <c r="U1145" s="115"/>
      <c r="V1145" s="115" t="s">
        <v>82</v>
      </c>
      <c r="W1145" s="115" t="s">
        <v>92</v>
      </c>
      <c r="X1145" s="113">
        <f>IF(INDIRECT("W1145")="Clássico","12%",IF(INDIRECT("W1145")="Premium","17%","-"))</f>
      </c>
      <c r="Y1145" s="113" t="s">
        <v>414</v>
      </c>
    </row>
    <row r="1146" ht="50.0" customHeight="true">
      <c r="A1146" s="113" t="s">
        <v>4072</v>
      </c>
      <c r="B1146" s="113" t="s">
        <v>4073</v>
      </c>
      <c r="C1146" s="113" t="s">
        <v>4074</v>
      </c>
      <c r="D1146" s="113"/>
      <c r="E1146" s="114" t="s">
        <v>4075</v>
      </c>
      <c r="F1146" s="113" t="s">
        <v>4076</v>
      </c>
      <c r="G1146" s="113" t="s">
        <v>4076</v>
      </c>
      <c r="H1146" s="113" t="s">
        <v>103</v>
      </c>
      <c r="I1146" s="115" t="n">
        <v>188.99</v>
      </c>
      <c r="J1146" s="115" t="s">
        <v>80</v>
      </c>
      <c r="K1146" s="115" t="s">
        <v>81</v>
      </c>
      <c r="L1146" s="115" t="n">
        <v>183.99</v>
      </c>
      <c r="M1146" s="115" t="n">
        <v>3.0</v>
      </c>
      <c r="N1146" s="115"/>
      <c r="O1146" s="115"/>
      <c r="P1146" s="115"/>
      <c r="Q1146" s="115"/>
      <c r="R1146" s="115"/>
      <c r="S1146" s="115"/>
      <c r="T1146" s="115"/>
      <c r="U1146" s="115"/>
      <c r="V1146" s="115" t="s">
        <v>82</v>
      </c>
      <c r="W1146" s="115" t="s">
        <v>92</v>
      </c>
      <c r="X1146" s="113">
        <f>IF(INDIRECT("W1146")="Clássico","12%",IF(INDIRECT("W1146")="Premium","17%","-"))</f>
      </c>
      <c r="Y1146" s="113" t="s">
        <v>2316</v>
      </c>
    </row>
    <row r="1147" ht="50.0" customHeight="true">
      <c r="A1147" s="113" t="s">
        <v>22</v>
      </c>
      <c r="B1147" s="113" t="s">
        <v>4077</v>
      </c>
      <c r="C1147" s="113"/>
      <c r="D1147" s="113"/>
      <c r="E1147" s="113" t="s">
        <v>2166</v>
      </c>
      <c r="F1147" s="113" t="s">
        <v>4078</v>
      </c>
      <c r="G1147" s="113" t="s">
        <v>103</v>
      </c>
      <c r="H1147" s="113" t="s">
        <v>103</v>
      </c>
      <c r="I1147" s="115" t="n">
        <v>324.69</v>
      </c>
      <c r="J1147" s="115" t="s">
        <v>80</v>
      </c>
      <c r="K1147" s="113" t="s">
        <v>81</v>
      </c>
      <c r="L1147" s="115" t="n">
        <v>336.61</v>
      </c>
      <c r="M1147" s="115" t="n">
        <v>3.0</v>
      </c>
      <c r="N1147" s="115"/>
      <c r="O1147" s="115"/>
      <c r="P1147" s="115"/>
      <c r="Q1147" s="115"/>
      <c r="R1147" s="115"/>
      <c r="S1147" s="115"/>
      <c r="T1147" s="115"/>
      <c r="U1147" s="115"/>
      <c r="V1147" s="115" t="s">
        <v>82</v>
      </c>
      <c r="W1147" s="115" t="s">
        <v>83</v>
      </c>
      <c r="X1147" s="113">
        <f>IF(INDIRECT("W1147")="Clássico","12%",IF(INDIRECT("W1147")="Premium","17%","-"))</f>
      </c>
      <c r="Y1147" s="113" t="s">
        <v>1048</v>
      </c>
    </row>
    <row r="1148" ht="50.0" customHeight="true">
      <c r="A1148" s="113" t="s">
        <v>22</v>
      </c>
      <c r="B1148" s="113" t="s">
        <v>4077</v>
      </c>
      <c r="C1148" s="113" t="s">
        <v>4079</v>
      </c>
      <c r="D1148" s="113" t="s">
        <v>4079</v>
      </c>
      <c r="E1148" s="114" t="s">
        <v>4080</v>
      </c>
      <c r="F1148" s="116">
        <f>"     "&amp;F1147</f>
      </c>
      <c r="G1148" s="113" t="s">
        <v>4081</v>
      </c>
      <c r="H1148" s="113" t="s">
        <v>103</v>
      </c>
      <c r="I1148" s="113">
        <f>I1147</f>
      </c>
      <c r="J1148" s="113">
        <f>J1147&amp;"     "</f>
      </c>
      <c r="K1148" s="113" t="s">
        <v>81</v>
      </c>
      <c r="L1148" s="113">
        <f>L1147</f>
      </c>
      <c r="M1148" s="113">
        <f>M1147</f>
      </c>
      <c r="N1148" s="113">
        <f>N1147</f>
      </c>
      <c r="O1148" s="113">
        <f>O1147</f>
      </c>
      <c r="P1148" s="113">
        <f>P1147</f>
      </c>
      <c r="Q1148" s="113">
        <f>Q1147</f>
      </c>
      <c r="R1148" s="113">
        <f>R1147</f>
      </c>
      <c r="S1148" s="113">
        <f>S1147</f>
      </c>
      <c r="T1148" s="113">
        <f>T1147</f>
      </c>
      <c r="U1148" s="113">
        <f>U1147</f>
      </c>
      <c r="V1148" s="113">
        <f>V1147&amp;"     "</f>
      </c>
      <c r="W1148" s="113">
        <f>W1147&amp;"     "</f>
      </c>
      <c r="X1148" s="113">
        <f>X1147</f>
      </c>
      <c r="Y1148" s="113" t="s">
        <v>1048</v>
      </c>
    </row>
    <row r="1149" ht="50.0" customHeight="true">
      <c r="A1149" s="113" t="s">
        <v>22</v>
      </c>
      <c r="B1149" s="113" t="s">
        <v>4077</v>
      </c>
      <c r="C1149" s="113" t="s">
        <v>4082</v>
      </c>
      <c r="D1149" s="113" t="s">
        <v>4082</v>
      </c>
      <c r="E1149" s="114" t="s">
        <v>4083</v>
      </c>
      <c r="F1149" s="116">
        <f>"     "&amp;F1147</f>
      </c>
      <c r="G1149" s="113" t="s">
        <v>4084</v>
      </c>
      <c r="H1149" s="113" t="s">
        <v>103</v>
      </c>
      <c r="I1149" s="113">
        <f>I1147</f>
      </c>
      <c r="J1149" s="113">
        <f>J1147&amp;"     "</f>
      </c>
      <c r="K1149" s="113" t="s">
        <v>81</v>
      </c>
      <c r="L1149" s="113">
        <f>L1147</f>
      </c>
      <c r="M1149" s="113">
        <f>M1147</f>
      </c>
      <c r="N1149" s="113">
        <f>N1147</f>
      </c>
      <c r="O1149" s="113">
        <f>O1147</f>
      </c>
      <c r="P1149" s="113">
        <f>P1147</f>
      </c>
      <c r="Q1149" s="113">
        <f>Q1147</f>
      </c>
      <c r="R1149" s="113">
        <f>R1147</f>
      </c>
      <c r="S1149" s="113">
        <f>S1147</f>
      </c>
      <c r="T1149" s="113">
        <f>T1147</f>
      </c>
      <c r="U1149" s="113">
        <f>U1147</f>
      </c>
      <c r="V1149" s="113">
        <f>V1147&amp;"     "</f>
      </c>
      <c r="W1149" s="113">
        <f>W1147&amp;"     "</f>
      </c>
      <c r="X1149" s="113">
        <f>X1147</f>
      </c>
      <c r="Y1149" s="113" t="s">
        <v>1048</v>
      </c>
    </row>
    <row r="1150" ht="50.0" customHeight="true">
      <c r="A1150" s="113" t="s">
        <v>22</v>
      </c>
      <c r="B1150" s="113" t="s">
        <v>4085</v>
      </c>
      <c r="C1150" s="113"/>
      <c r="D1150" s="113"/>
      <c r="E1150" s="113" t="s">
        <v>3452</v>
      </c>
      <c r="F1150" s="113" t="s">
        <v>4086</v>
      </c>
      <c r="G1150" s="113" t="s">
        <v>103</v>
      </c>
      <c r="H1150" s="113" t="s">
        <v>103</v>
      </c>
      <c r="I1150" s="115" t="n">
        <v>247.98</v>
      </c>
      <c r="J1150" s="115" t="s">
        <v>80</v>
      </c>
      <c r="K1150" s="113" t="s">
        <v>81</v>
      </c>
      <c r="L1150" s="115" t="n">
        <v>241.71</v>
      </c>
      <c r="M1150" s="115" t="n">
        <v>3.0</v>
      </c>
      <c r="N1150" s="115"/>
      <c r="O1150" s="115"/>
      <c r="P1150" s="115"/>
      <c r="Q1150" s="115"/>
      <c r="R1150" s="115"/>
      <c r="S1150" s="115"/>
      <c r="T1150" s="115"/>
      <c r="U1150" s="115"/>
      <c r="V1150" s="115" t="s">
        <v>82</v>
      </c>
      <c r="W1150" s="115" t="s">
        <v>83</v>
      </c>
      <c r="X1150" s="113">
        <f>IF(INDIRECT("W1150")="Clássico","12%",IF(INDIRECT("W1150")="Premium","17%","-"))</f>
      </c>
      <c r="Y1150" s="113" t="s">
        <v>3454</v>
      </c>
    </row>
    <row r="1151" ht="50.0" customHeight="true">
      <c r="A1151" s="113" t="s">
        <v>22</v>
      </c>
      <c r="B1151" s="113" t="s">
        <v>4085</v>
      </c>
      <c r="C1151" s="113" t="s">
        <v>4087</v>
      </c>
      <c r="D1151" s="113" t="s">
        <v>4087</v>
      </c>
      <c r="E1151" s="114" t="s">
        <v>3456</v>
      </c>
      <c r="F1151" s="116">
        <f>"     "&amp;F1150</f>
      </c>
      <c r="G1151" s="113" t="s">
        <v>3457</v>
      </c>
      <c r="H1151" s="113" t="s">
        <v>103</v>
      </c>
      <c r="I1151" s="113">
        <f>I1150</f>
      </c>
      <c r="J1151" s="113">
        <f>J1150&amp;"     "</f>
      </c>
      <c r="K1151" s="113" t="s">
        <v>81</v>
      </c>
      <c r="L1151" s="113">
        <f>L1150</f>
      </c>
      <c r="M1151" s="113">
        <f>M1150</f>
      </c>
      <c r="N1151" s="113">
        <f>N1150</f>
      </c>
      <c r="O1151" s="113">
        <f>O1150</f>
      </c>
      <c r="P1151" s="113">
        <f>P1150</f>
      </c>
      <c r="Q1151" s="113">
        <f>Q1150</f>
      </c>
      <c r="R1151" s="113">
        <f>R1150</f>
      </c>
      <c r="S1151" s="113">
        <f>S1150</f>
      </c>
      <c r="T1151" s="113">
        <f>T1150</f>
      </c>
      <c r="U1151" s="113">
        <f>U1150</f>
      </c>
      <c r="V1151" s="113">
        <f>V1150&amp;"     "</f>
      </c>
      <c r="W1151" s="113">
        <f>W1150&amp;"     "</f>
      </c>
      <c r="X1151" s="113">
        <f>X1150</f>
      </c>
      <c r="Y1151" s="113" t="s">
        <v>3454</v>
      </c>
    </row>
    <row r="1152" ht="50.0" customHeight="true">
      <c r="A1152" s="113" t="s">
        <v>22</v>
      </c>
      <c r="B1152" s="113" t="s">
        <v>4085</v>
      </c>
      <c r="C1152" s="113" t="s">
        <v>4088</v>
      </c>
      <c r="D1152" s="113" t="s">
        <v>4088</v>
      </c>
      <c r="E1152" s="114" t="s">
        <v>3459</v>
      </c>
      <c r="F1152" s="116">
        <f>"     "&amp;F1150</f>
      </c>
      <c r="G1152" s="113" t="s">
        <v>3460</v>
      </c>
      <c r="H1152" s="113" t="s">
        <v>103</v>
      </c>
      <c r="I1152" s="113">
        <f>I1150</f>
      </c>
      <c r="J1152" s="113">
        <f>J1150&amp;"     "</f>
      </c>
      <c r="K1152" s="113" t="s">
        <v>81</v>
      </c>
      <c r="L1152" s="113">
        <f>L1150</f>
      </c>
      <c r="M1152" s="113">
        <f>M1150</f>
      </c>
      <c r="N1152" s="113">
        <f>N1150</f>
      </c>
      <c r="O1152" s="113">
        <f>O1150</f>
      </c>
      <c r="P1152" s="113">
        <f>P1150</f>
      </c>
      <c r="Q1152" s="113">
        <f>Q1150</f>
      </c>
      <c r="R1152" s="113">
        <f>R1150</f>
      </c>
      <c r="S1152" s="113">
        <f>S1150</f>
      </c>
      <c r="T1152" s="113">
        <f>T1150</f>
      </c>
      <c r="U1152" s="113">
        <f>U1150</f>
      </c>
      <c r="V1152" s="113">
        <f>V1150&amp;"     "</f>
      </c>
      <c r="W1152" s="113">
        <f>W1150&amp;"     "</f>
      </c>
      <c r="X1152" s="113">
        <f>X1150</f>
      </c>
      <c r="Y1152" s="113" t="s">
        <v>3454</v>
      </c>
    </row>
    <row r="1153" ht="50.0" customHeight="true">
      <c r="A1153" s="113" t="s">
        <v>4089</v>
      </c>
      <c r="B1153" s="113" t="s">
        <v>4090</v>
      </c>
      <c r="C1153" s="113" t="s">
        <v>4091</v>
      </c>
      <c r="D1153" s="113"/>
      <c r="E1153" s="114" t="s">
        <v>3736</v>
      </c>
      <c r="F1153" s="113" t="s">
        <v>4092</v>
      </c>
      <c r="G1153" s="113" t="s">
        <v>4092</v>
      </c>
      <c r="H1153" s="113" t="s">
        <v>103</v>
      </c>
      <c r="I1153" s="115" t="n">
        <v>430.26</v>
      </c>
      <c r="J1153" s="115" t="s">
        <v>80</v>
      </c>
      <c r="K1153" s="115" t="s">
        <v>81</v>
      </c>
      <c r="L1153" s="115" t="n">
        <v>425.26</v>
      </c>
      <c r="M1153" s="115" t="n">
        <v>3.0</v>
      </c>
      <c r="N1153" s="115"/>
      <c r="O1153" s="115"/>
      <c r="P1153" s="115"/>
      <c r="Q1153" s="115"/>
      <c r="R1153" s="115"/>
      <c r="S1153" s="115"/>
      <c r="T1153" s="115"/>
      <c r="U1153" s="115"/>
      <c r="V1153" s="115" t="s">
        <v>82</v>
      </c>
      <c r="W1153" s="115" t="s">
        <v>92</v>
      </c>
      <c r="X1153" s="113">
        <f>IF(INDIRECT("W1153")="Clássico","12%",IF(INDIRECT("W1153")="Premium","17%","-"))</f>
      </c>
      <c r="Y1153" s="113" t="s">
        <v>181</v>
      </c>
    </row>
    <row r="1154" ht="50.0" customHeight="true">
      <c r="A1154" s="113" t="s">
        <v>4093</v>
      </c>
      <c r="B1154" s="113" t="s">
        <v>4094</v>
      </c>
      <c r="C1154" s="113" t="s">
        <v>4095</v>
      </c>
      <c r="D1154" s="113"/>
      <c r="E1154" s="114" t="s">
        <v>3508</v>
      </c>
      <c r="F1154" s="113" t="s">
        <v>4096</v>
      </c>
      <c r="G1154" s="113" t="s">
        <v>4096</v>
      </c>
      <c r="H1154" s="113" t="s">
        <v>103</v>
      </c>
      <c r="I1154" s="115" t="n">
        <v>100.0</v>
      </c>
      <c r="J1154" s="115" t="s">
        <v>80</v>
      </c>
      <c r="K1154" s="115" t="s">
        <v>81</v>
      </c>
      <c r="L1154" s="115" t="n">
        <v>95.0</v>
      </c>
      <c r="M1154" s="115" t="n">
        <v>3.0</v>
      </c>
      <c r="N1154" s="115"/>
      <c r="O1154" s="115"/>
      <c r="P1154" s="115"/>
      <c r="Q1154" s="115"/>
      <c r="R1154" s="115"/>
      <c r="S1154" s="115"/>
      <c r="T1154" s="115"/>
      <c r="U1154" s="115"/>
      <c r="V1154" s="115" t="s">
        <v>82</v>
      </c>
      <c r="W1154" s="115" t="s">
        <v>83</v>
      </c>
      <c r="X1154" s="113">
        <f>IF(INDIRECT("W1154")="Clássico","12%",IF(INDIRECT("W1154")="Premium","17%","-"))</f>
      </c>
      <c r="Y1154" s="113" t="s">
        <v>3510</v>
      </c>
    </row>
    <row r="1155" ht="50.0" customHeight="true">
      <c r="A1155" s="113" t="s">
        <v>4097</v>
      </c>
      <c r="B1155" s="113" t="s">
        <v>4098</v>
      </c>
      <c r="C1155" s="113" t="s">
        <v>4099</v>
      </c>
      <c r="D1155" s="113"/>
      <c r="E1155" s="114" t="s">
        <v>4008</v>
      </c>
      <c r="F1155" s="113" t="s">
        <v>4100</v>
      </c>
      <c r="G1155" s="113" t="s">
        <v>4100</v>
      </c>
      <c r="H1155" s="113" t="s">
        <v>103</v>
      </c>
      <c r="I1155" s="115" t="n">
        <v>187.22</v>
      </c>
      <c r="J1155" s="115" t="s">
        <v>80</v>
      </c>
      <c r="K1155" s="115" t="s">
        <v>81</v>
      </c>
      <c r="L1155" s="115" t="n">
        <v>189.93</v>
      </c>
      <c r="M1155" s="115" t="n">
        <v>3.0</v>
      </c>
      <c r="N1155" s="115"/>
      <c r="O1155" s="115"/>
      <c r="P1155" s="115"/>
      <c r="Q1155" s="115"/>
      <c r="R1155" s="115"/>
      <c r="S1155" s="115"/>
      <c r="T1155" s="115"/>
      <c r="U1155" s="115"/>
      <c r="V1155" s="115" t="s">
        <v>82</v>
      </c>
      <c r="W1155" s="115" t="s">
        <v>92</v>
      </c>
      <c r="X1155" s="113">
        <f>IF(INDIRECT("W1155")="Clássico","12%",IF(INDIRECT("W1155")="Premium","17%","-"))</f>
      </c>
      <c r="Y1155" s="113" t="s">
        <v>2653</v>
      </c>
    </row>
    <row r="1156" ht="50.0" customHeight="true">
      <c r="A1156" s="113" t="s">
        <v>4101</v>
      </c>
      <c r="B1156" s="113" t="s">
        <v>4102</v>
      </c>
      <c r="C1156" s="113" t="s">
        <v>4103</v>
      </c>
      <c r="D1156" s="113"/>
      <c r="E1156" s="114" t="s">
        <v>3302</v>
      </c>
      <c r="F1156" s="113" t="s">
        <v>4104</v>
      </c>
      <c r="G1156" s="113" t="s">
        <v>127</v>
      </c>
      <c r="H1156" s="113" t="s">
        <v>103</v>
      </c>
      <c r="I1156" s="115" t="n">
        <v>215.07</v>
      </c>
      <c r="J1156" s="115" t="s">
        <v>80</v>
      </c>
      <c r="K1156" s="115" t="s">
        <v>81</v>
      </c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 t="s">
        <v>82</v>
      </c>
      <c r="W1156" s="115" t="s">
        <v>92</v>
      </c>
      <c r="X1156" s="113">
        <f>IF(INDIRECT("W1156")="Clássico","12%",IF(INDIRECT("W1156")="Premium","17%","-"))</f>
      </c>
      <c r="Y1156" s="113" t="s">
        <v>423</v>
      </c>
    </row>
    <row r="1157" ht="50.0" customHeight="true">
      <c r="A1157" s="113" t="s">
        <v>4105</v>
      </c>
      <c r="B1157" s="113" t="s">
        <v>4106</v>
      </c>
      <c r="C1157" s="113" t="s">
        <v>4107</v>
      </c>
      <c r="D1157" s="113"/>
      <c r="E1157" s="114" t="s">
        <v>3760</v>
      </c>
      <c r="F1157" s="113" t="s">
        <v>4108</v>
      </c>
      <c r="G1157" s="113" t="s">
        <v>4108</v>
      </c>
      <c r="H1157" s="113" t="s">
        <v>103</v>
      </c>
      <c r="I1157" s="115" t="n">
        <v>96.08</v>
      </c>
      <c r="J1157" s="115" t="s">
        <v>80</v>
      </c>
      <c r="K1157" s="115" t="s">
        <v>81</v>
      </c>
      <c r="L1157" s="115" t="n">
        <v>72.2</v>
      </c>
      <c r="M1157" s="115" t="n">
        <v>3.0</v>
      </c>
      <c r="N1157" s="115"/>
      <c r="O1157" s="115"/>
      <c r="P1157" s="115"/>
      <c r="Q1157" s="115"/>
      <c r="R1157" s="115"/>
      <c r="S1157" s="115"/>
      <c r="T1157" s="115"/>
      <c r="U1157" s="115"/>
      <c r="V1157" s="115" t="s">
        <v>91</v>
      </c>
      <c r="W1157" s="115" t="s">
        <v>83</v>
      </c>
      <c r="X1157" s="113">
        <f>IF(INDIRECT("W1157")="Clássico","12%",IF(INDIRECT("W1157")="Premium","17%","-"))</f>
      </c>
      <c r="Y1157" s="113" t="s">
        <v>367</v>
      </c>
    </row>
    <row r="1158" ht="50.0" customHeight="true">
      <c r="A1158" s="113" t="s">
        <v>4109</v>
      </c>
      <c r="B1158" s="113" t="s">
        <v>4110</v>
      </c>
      <c r="C1158" s="113" t="s">
        <v>4111</v>
      </c>
      <c r="D1158" s="113"/>
      <c r="E1158" s="114" t="s">
        <v>3882</v>
      </c>
      <c r="F1158" s="113" t="s">
        <v>4112</v>
      </c>
      <c r="G1158" s="113" t="s">
        <v>4112</v>
      </c>
      <c r="H1158" s="113" t="s">
        <v>103</v>
      </c>
      <c r="I1158" s="115" t="n">
        <v>161.51</v>
      </c>
      <c r="J1158" s="115" t="s">
        <v>80</v>
      </c>
      <c r="K1158" s="115" t="s">
        <v>81</v>
      </c>
      <c r="L1158" s="115" t="n">
        <v>156.51</v>
      </c>
      <c r="M1158" s="115" t="n">
        <v>3.0</v>
      </c>
      <c r="N1158" s="115"/>
      <c r="O1158" s="115"/>
      <c r="P1158" s="115"/>
      <c r="Q1158" s="115"/>
      <c r="R1158" s="115"/>
      <c r="S1158" s="115"/>
      <c r="T1158" s="115"/>
      <c r="U1158" s="115"/>
      <c r="V1158" s="115" t="s">
        <v>82</v>
      </c>
      <c r="W1158" s="115" t="s">
        <v>92</v>
      </c>
      <c r="X1158" s="113">
        <f>IF(INDIRECT("W1158")="Clássico","12%",IF(INDIRECT("W1158")="Premium","17%","-"))</f>
      </c>
      <c r="Y1158" s="113" t="s">
        <v>3628</v>
      </c>
    </row>
    <row r="1159" ht="50.0" customHeight="true">
      <c r="A1159" s="113" t="s">
        <v>4113</v>
      </c>
      <c r="B1159" s="113" t="s">
        <v>4114</v>
      </c>
      <c r="C1159" s="113" t="s">
        <v>4115</v>
      </c>
      <c r="D1159" s="113"/>
      <c r="E1159" s="114" t="s">
        <v>4116</v>
      </c>
      <c r="F1159" s="113" t="s">
        <v>4117</v>
      </c>
      <c r="G1159" s="113" t="s">
        <v>4117</v>
      </c>
      <c r="H1159" s="113" t="s">
        <v>103</v>
      </c>
      <c r="I1159" s="115" t="n">
        <v>162.89</v>
      </c>
      <c r="J1159" s="115" t="s">
        <v>80</v>
      </c>
      <c r="K1159" s="115" t="s">
        <v>81</v>
      </c>
      <c r="L1159" s="115" t="n">
        <v>157.89</v>
      </c>
      <c r="M1159" s="115" t="n">
        <v>3.0</v>
      </c>
      <c r="N1159" s="115"/>
      <c r="O1159" s="115"/>
      <c r="P1159" s="115"/>
      <c r="Q1159" s="115"/>
      <c r="R1159" s="115"/>
      <c r="S1159" s="115"/>
      <c r="T1159" s="115"/>
      <c r="U1159" s="115"/>
      <c r="V1159" s="115" t="s">
        <v>82</v>
      </c>
      <c r="W1159" s="115" t="s">
        <v>83</v>
      </c>
      <c r="X1159" s="113">
        <f>IF(INDIRECT("W1159")="Clássico","12%",IF(INDIRECT("W1159")="Premium","17%","-"))</f>
      </c>
      <c r="Y1159" s="113" t="s">
        <v>3695</v>
      </c>
    </row>
    <row r="1160" ht="50.0" customHeight="true">
      <c r="A1160" s="113" t="s">
        <v>4118</v>
      </c>
      <c r="B1160" s="113" t="s">
        <v>4119</v>
      </c>
      <c r="C1160" s="113" t="s">
        <v>4120</v>
      </c>
      <c r="D1160" s="113"/>
      <c r="E1160" s="114" t="s">
        <v>3543</v>
      </c>
      <c r="F1160" s="113" t="s">
        <v>4121</v>
      </c>
      <c r="G1160" s="113" t="s">
        <v>4121</v>
      </c>
      <c r="H1160" s="113" t="s">
        <v>103</v>
      </c>
      <c r="I1160" s="115" t="n">
        <v>648.58</v>
      </c>
      <c r="J1160" s="115" t="s">
        <v>80</v>
      </c>
      <c r="K1160" s="115" t="s">
        <v>81</v>
      </c>
      <c r="L1160" s="115" t="n">
        <v>643.58</v>
      </c>
      <c r="M1160" s="115" t="n">
        <v>3.0</v>
      </c>
      <c r="N1160" s="115"/>
      <c r="O1160" s="115"/>
      <c r="P1160" s="115"/>
      <c r="Q1160" s="115"/>
      <c r="R1160" s="115"/>
      <c r="S1160" s="115"/>
      <c r="T1160" s="115"/>
      <c r="U1160" s="115"/>
      <c r="V1160" s="115" t="s">
        <v>82</v>
      </c>
      <c r="W1160" s="115" t="s">
        <v>92</v>
      </c>
      <c r="X1160" s="113">
        <f>IF(INDIRECT("W1160")="Clássico","12%",IF(INDIRECT("W1160")="Premium","17%","-"))</f>
      </c>
      <c r="Y1160" s="113" t="s">
        <v>245</v>
      </c>
    </row>
    <row r="1161" ht="50.0" customHeight="true">
      <c r="A1161" s="113" t="s">
        <v>4122</v>
      </c>
      <c r="B1161" s="113" t="s">
        <v>4123</v>
      </c>
      <c r="C1161" s="113" t="s">
        <v>4124</v>
      </c>
      <c r="D1161" s="113"/>
      <c r="E1161" s="114" t="s">
        <v>704</v>
      </c>
      <c r="F1161" s="113" t="s">
        <v>4125</v>
      </c>
      <c r="G1161" s="113" t="s">
        <v>184</v>
      </c>
      <c r="H1161" s="113" t="s">
        <v>103</v>
      </c>
      <c r="I1161" s="115" t="n">
        <v>484.69</v>
      </c>
      <c r="J1161" s="115" t="s">
        <v>80</v>
      </c>
      <c r="K1161" s="115" t="s">
        <v>81</v>
      </c>
      <c r="L1161" s="115" t="n">
        <v>479.69</v>
      </c>
      <c r="M1161" s="115" t="n">
        <v>3.0</v>
      </c>
      <c r="N1161" s="115"/>
      <c r="O1161" s="115"/>
      <c r="P1161" s="115"/>
      <c r="Q1161" s="115"/>
      <c r="R1161" s="115"/>
      <c r="S1161" s="115"/>
      <c r="T1161" s="115"/>
      <c r="U1161" s="115"/>
      <c r="V1161" s="115" t="s">
        <v>82</v>
      </c>
      <c r="W1161" s="115" t="s">
        <v>83</v>
      </c>
      <c r="X1161" s="113">
        <f>IF(INDIRECT("W1161")="Clássico","12%",IF(INDIRECT("W1161")="Premium","17%","-"))</f>
      </c>
      <c r="Y1161" s="113" t="s">
        <v>1718</v>
      </c>
    </row>
    <row r="1162" ht="50.0" customHeight="true">
      <c r="A1162" s="113" t="s">
        <v>4126</v>
      </c>
      <c r="B1162" s="113" t="s">
        <v>4127</v>
      </c>
      <c r="C1162" s="113" t="s">
        <v>4128</v>
      </c>
      <c r="D1162" s="113"/>
      <c r="E1162" s="114" t="s">
        <v>3882</v>
      </c>
      <c r="F1162" s="113" t="s">
        <v>4129</v>
      </c>
      <c r="G1162" s="113" t="s">
        <v>4129</v>
      </c>
      <c r="H1162" s="113" t="s">
        <v>103</v>
      </c>
      <c r="I1162" s="115" t="n">
        <v>162.01</v>
      </c>
      <c r="J1162" s="115" t="s">
        <v>80</v>
      </c>
      <c r="K1162" s="115" t="s">
        <v>81</v>
      </c>
      <c r="L1162" s="115" t="n">
        <v>157.01</v>
      </c>
      <c r="M1162" s="115" t="n">
        <v>3.0</v>
      </c>
      <c r="N1162" s="115"/>
      <c r="O1162" s="115"/>
      <c r="P1162" s="115"/>
      <c r="Q1162" s="115"/>
      <c r="R1162" s="115"/>
      <c r="S1162" s="115"/>
      <c r="T1162" s="115"/>
      <c r="U1162" s="115"/>
      <c r="V1162" s="115" t="s">
        <v>82</v>
      </c>
      <c r="W1162" s="115" t="s">
        <v>92</v>
      </c>
      <c r="X1162" s="113">
        <f>IF(INDIRECT("W1162")="Clássico","12%",IF(INDIRECT("W1162")="Premium","17%","-"))</f>
      </c>
      <c r="Y1162" s="113" t="s">
        <v>151</v>
      </c>
    </row>
    <row r="1163" ht="50.0" customHeight="true">
      <c r="A1163" s="113" t="s">
        <v>4130</v>
      </c>
      <c r="B1163" s="113" t="s">
        <v>4131</v>
      </c>
      <c r="C1163" s="113" t="s">
        <v>4132</v>
      </c>
      <c r="D1163" s="113"/>
      <c r="E1163" s="114" t="s">
        <v>4133</v>
      </c>
      <c r="F1163" s="113" t="s">
        <v>4134</v>
      </c>
      <c r="G1163" s="113" t="s">
        <v>4134</v>
      </c>
      <c r="H1163" s="113" t="s">
        <v>103</v>
      </c>
      <c r="I1163" s="115" t="n">
        <v>185.95</v>
      </c>
      <c r="J1163" s="115" t="s">
        <v>80</v>
      </c>
      <c r="K1163" s="115" t="s">
        <v>81</v>
      </c>
      <c r="L1163" s="115" t="n">
        <v>180.95</v>
      </c>
      <c r="M1163" s="115" t="n">
        <v>3.0</v>
      </c>
      <c r="N1163" s="115"/>
      <c r="O1163" s="115"/>
      <c r="P1163" s="115"/>
      <c r="Q1163" s="115"/>
      <c r="R1163" s="115"/>
      <c r="S1163" s="115"/>
      <c r="T1163" s="115"/>
      <c r="U1163" s="115"/>
      <c r="V1163" s="115" t="s">
        <v>82</v>
      </c>
      <c r="W1163" s="115" t="s">
        <v>83</v>
      </c>
      <c r="X1163" s="113">
        <f>IF(INDIRECT("W1163")="Clássico","12%",IF(INDIRECT("W1163")="Premium","17%","-"))</f>
      </c>
      <c r="Y1163" s="113" t="s">
        <v>93</v>
      </c>
    </row>
    <row r="1164" ht="50.0" customHeight="true">
      <c r="A1164" s="113" t="s">
        <v>4135</v>
      </c>
      <c r="B1164" s="113" t="s">
        <v>4136</v>
      </c>
      <c r="C1164" s="113" t="s">
        <v>4137</v>
      </c>
      <c r="D1164" s="113"/>
      <c r="E1164" s="114" t="s">
        <v>4138</v>
      </c>
      <c r="F1164" s="113" t="s">
        <v>4139</v>
      </c>
      <c r="G1164" s="113" t="s">
        <v>4139</v>
      </c>
      <c r="H1164" s="113" t="s">
        <v>103</v>
      </c>
      <c r="I1164" s="115" t="n">
        <v>668.24</v>
      </c>
      <c r="J1164" s="115" t="s">
        <v>80</v>
      </c>
      <c r="K1164" s="115" t="s">
        <v>81</v>
      </c>
      <c r="L1164" s="115" t="n">
        <v>499.94</v>
      </c>
      <c r="M1164" s="115" t="n">
        <v>3.0</v>
      </c>
      <c r="N1164" s="115"/>
      <c r="O1164" s="115"/>
      <c r="P1164" s="115"/>
      <c r="Q1164" s="115"/>
      <c r="R1164" s="115"/>
      <c r="S1164" s="115"/>
      <c r="T1164" s="115"/>
      <c r="U1164" s="115"/>
      <c r="V1164" s="115" t="s">
        <v>82</v>
      </c>
      <c r="W1164" s="115" t="s">
        <v>83</v>
      </c>
      <c r="X1164" s="113">
        <f>IF(INDIRECT("W1164")="Clássico","12%",IF(INDIRECT("W1164")="Premium","17%","-"))</f>
      </c>
      <c r="Y1164" s="113" t="s">
        <v>4140</v>
      </c>
    </row>
    <row r="1165" ht="50.0" customHeight="true">
      <c r="A1165" s="113" t="s">
        <v>4141</v>
      </c>
      <c r="B1165" s="113" t="s">
        <v>4142</v>
      </c>
      <c r="C1165" s="113" t="s">
        <v>4143</v>
      </c>
      <c r="D1165" s="113"/>
      <c r="E1165" s="114" t="s">
        <v>4144</v>
      </c>
      <c r="F1165" s="113" t="s">
        <v>4145</v>
      </c>
      <c r="G1165" s="113" t="s">
        <v>4145</v>
      </c>
      <c r="H1165" s="113" t="s">
        <v>103</v>
      </c>
      <c r="I1165" s="115" t="n">
        <v>314.99</v>
      </c>
      <c r="J1165" s="115" t="s">
        <v>80</v>
      </c>
      <c r="K1165" s="115" t="s">
        <v>81</v>
      </c>
      <c r="L1165" s="115" t="n">
        <v>309.99</v>
      </c>
      <c r="M1165" s="115" t="n">
        <v>3.0</v>
      </c>
      <c r="N1165" s="115"/>
      <c r="O1165" s="115"/>
      <c r="P1165" s="115"/>
      <c r="Q1165" s="115"/>
      <c r="R1165" s="115"/>
      <c r="S1165" s="115"/>
      <c r="T1165" s="115"/>
      <c r="U1165" s="115"/>
      <c r="V1165" s="115" t="s">
        <v>82</v>
      </c>
      <c r="W1165" s="115" t="s">
        <v>83</v>
      </c>
      <c r="X1165" s="113">
        <f>IF(INDIRECT("W1165")="Clássico","12%",IF(INDIRECT("W1165")="Premium","17%","-"))</f>
      </c>
      <c r="Y1165" s="113" t="s">
        <v>1774</v>
      </c>
    </row>
    <row r="1166" ht="50.0" customHeight="true">
      <c r="A1166" s="113" t="s">
        <v>4146</v>
      </c>
      <c r="B1166" s="113" t="s">
        <v>4147</v>
      </c>
      <c r="C1166" s="113" t="s">
        <v>4148</v>
      </c>
      <c r="D1166" s="113"/>
      <c r="E1166" s="114" t="s">
        <v>4149</v>
      </c>
      <c r="F1166" s="113" t="s">
        <v>4150</v>
      </c>
      <c r="G1166" s="113" t="s">
        <v>4150</v>
      </c>
      <c r="H1166" s="113" t="s">
        <v>103</v>
      </c>
      <c r="I1166" s="115" t="n">
        <v>74.49</v>
      </c>
      <c r="J1166" s="115" t="s">
        <v>80</v>
      </c>
      <c r="K1166" s="115" t="s">
        <v>81</v>
      </c>
      <c r="L1166" s="115" t="n">
        <v>69.49</v>
      </c>
      <c r="M1166" s="115" t="n">
        <v>3.0</v>
      </c>
      <c r="N1166" s="115"/>
      <c r="O1166" s="115"/>
      <c r="P1166" s="115"/>
      <c r="Q1166" s="115"/>
      <c r="R1166" s="115"/>
      <c r="S1166" s="115"/>
      <c r="T1166" s="115"/>
      <c r="U1166" s="115"/>
      <c r="V1166" s="115" t="s">
        <v>91</v>
      </c>
      <c r="W1166" s="115" t="s">
        <v>92</v>
      </c>
      <c r="X1166" s="113">
        <f>IF(INDIRECT("W1166")="Clássico","12%",IF(INDIRECT("W1166")="Premium","17%","-"))</f>
      </c>
      <c r="Y1166" s="113" t="s">
        <v>1048</v>
      </c>
    </row>
    <row r="1167" ht="50.0" customHeight="true">
      <c r="A1167" s="113" t="s">
        <v>4151</v>
      </c>
      <c r="B1167" s="113" t="s">
        <v>4152</v>
      </c>
      <c r="C1167" s="113" t="s">
        <v>4153</v>
      </c>
      <c r="D1167" s="113"/>
      <c r="E1167" s="114" t="s">
        <v>4075</v>
      </c>
      <c r="F1167" s="113" t="s">
        <v>4154</v>
      </c>
      <c r="G1167" s="113" t="s">
        <v>4154</v>
      </c>
      <c r="H1167" s="113" t="s">
        <v>103</v>
      </c>
      <c r="I1167" s="115" t="n">
        <v>89.86</v>
      </c>
      <c r="J1167" s="115" t="s">
        <v>80</v>
      </c>
      <c r="K1167" s="115" t="s">
        <v>81</v>
      </c>
      <c r="L1167" s="115" t="n">
        <v>84.86</v>
      </c>
      <c r="M1167" s="115" t="n">
        <v>3.0</v>
      </c>
      <c r="N1167" s="115"/>
      <c r="O1167" s="115"/>
      <c r="P1167" s="115"/>
      <c r="Q1167" s="115"/>
      <c r="R1167" s="115"/>
      <c r="S1167" s="115"/>
      <c r="T1167" s="115"/>
      <c r="U1167" s="115"/>
      <c r="V1167" s="115" t="s">
        <v>82</v>
      </c>
      <c r="W1167" s="115" t="s">
        <v>92</v>
      </c>
      <c r="X1167" s="113">
        <f>IF(INDIRECT("W1167")="Clássico","12%",IF(INDIRECT("W1167")="Premium","17%","-"))</f>
      </c>
      <c r="Y1167" s="113" t="s">
        <v>2316</v>
      </c>
    </row>
    <row r="1168" ht="50.0" customHeight="true">
      <c r="A1168" s="113" t="s">
        <v>22</v>
      </c>
      <c r="B1168" s="113" t="s">
        <v>4155</v>
      </c>
      <c r="C1168" s="113"/>
      <c r="D1168" s="113"/>
      <c r="E1168" s="113" t="s">
        <v>22</v>
      </c>
      <c r="F1168" s="113" t="s">
        <v>4156</v>
      </c>
      <c r="G1168" s="113" t="s">
        <v>103</v>
      </c>
      <c r="H1168" s="113" t="s">
        <v>103</v>
      </c>
      <c r="I1168" s="115" t="n">
        <v>55.09</v>
      </c>
      <c r="J1168" s="115" t="s">
        <v>80</v>
      </c>
      <c r="K1168" s="113" t="s">
        <v>81</v>
      </c>
      <c r="L1168" s="115" t="n">
        <v>50.09</v>
      </c>
      <c r="M1168" s="115" t="n">
        <v>3.0</v>
      </c>
      <c r="N1168" s="115"/>
      <c r="O1168" s="115"/>
      <c r="P1168" s="115"/>
      <c r="Q1168" s="115"/>
      <c r="R1168" s="115"/>
      <c r="S1168" s="115"/>
      <c r="T1168" s="115"/>
      <c r="U1168" s="115"/>
      <c r="V1168" s="115" t="s">
        <v>91</v>
      </c>
      <c r="W1168" s="115" t="s">
        <v>83</v>
      </c>
      <c r="X1168" s="113">
        <f>IF(INDIRECT("W1168")="Clássico","12%",IF(INDIRECT("W1168")="Premium","17%","-"))</f>
      </c>
      <c r="Y1168" s="113" t="s">
        <v>4157</v>
      </c>
    </row>
    <row r="1169" ht="50.0" customHeight="true">
      <c r="A1169" s="113" t="s">
        <v>22</v>
      </c>
      <c r="B1169" s="113" t="s">
        <v>4155</v>
      </c>
      <c r="C1169" s="113" t="s">
        <v>4158</v>
      </c>
      <c r="D1169" s="113" t="s">
        <v>4158</v>
      </c>
      <c r="E1169" s="114" t="s">
        <v>4159</v>
      </c>
      <c r="F1169" s="116">
        <f>"     "&amp;F1168</f>
      </c>
      <c r="G1169" s="113" t="s">
        <v>4160</v>
      </c>
      <c r="H1169" s="113" t="s">
        <v>103</v>
      </c>
      <c r="I1169" s="113">
        <f>I1168</f>
      </c>
      <c r="J1169" s="113">
        <f>J1168&amp;"     "</f>
      </c>
      <c r="K1169" s="113" t="s">
        <v>81</v>
      </c>
      <c r="L1169" s="113">
        <f>L1168</f>
      </c>
      <c r="M1169" s="113">
        <f>M1168</f>
      </c>
      <c r="N1169" s="113">
        <f>N1168</f>
      </c>
      <c r="O1169" s="113">
        <f>O1168</f>
      </c>
      <c r="P1169" s="113">
        <f>P1168</f>
      </c>
      <c r="Q1169" s="113">
        <f>Q1168</f>
      </c>
      <c r="R1169" s="113">
        <f>R1168</f>
      </c>
      <c r="S1169" s="113">
        <f>S1168</f>
      </c>
      <c r="T1169" s="113">
        <f>T1168</f>
      </c>
      <c r="U1169" s="113">
        <f>U1168</f>
      </c>
      <c r="V1169" s="113">
        <f>V1168&amp;"     "</f>
      </c>
      <c r="W1169" s="113">
        <f>W1168&amp;"     "</f>
      </c>
      <c r="X1169" s="113">
        <f>X1168</f>
      </c>
      <c r="Y1169" s="113" t="s">
        <v>4157</v>
      </c>
    </row>
    <row r="1170" ht="50.0" customHeight="true">
      <c r="A1170" s="113" t="s">
        <v>22</v>
      </c>
      <c r="B1170" s="113" t="s">
        <v>4155</v>
      </c>
      <c r="C1170" s="113" t="s">
        <v>4161</v>
      </c>
      <c r="D1170" s="113" t="s">
        <v>4161</v>
      </c>
      <c r="E1170" s="114" t="s">
        <v>4162</v>
      </c>
      <c r="F1170" s="116">
        <f>"     "&amp;F1168</f>
      </c>
      <c r="G1170" s="113" t="s">
        <v>4163</v>
      </c>
      <c r="H1170" s="113" t="s">
        <v>103</v>
      </c>
      <c r="I1170" s="113">
        <f>I1168</f>
      </c>
      <c r="J1170" s="113">
        <f>J1168&amp;"     "</f>
      </c>
      <c r="K1170" s="113" t="s">
        <v>81</v>
      </c>
      <c r="L1170" s="113">
        <f>L1168</f>
      </c>
      <c r="M1170" s="113">
        <f>M1168</f>
      </c>
      <c r="N1170" s="113">
        <f>N1168</f>
      </c>
      <c r="O1170" s="113">
        <f>O1168</f>
      </c>
      <c r="P1170" s="113">
        <f>P1168</f>
      </c>
      <c r="Q1170" s="113">
        <f>Q1168</f>
      </c>
      <c r="R1170" s="113">
        <f>R1168</f>
      </c>
      <c r="S1170" s="113">
        <f>S1168</f>
      </c>
      <c r="T1170" s="113">
        <f>T1168</f>
      </c>
      <c r="U1170" s="113">
        <f>U1168</f>
      </c>
      <c r="V1170" s="113">
        <f>V1168&amp;"     "</f>
      </c>
      <c r="W1170" s="113">
        <f>W1168&amp;"     "</f>
      </c>
      <c r="X1170" s="113">
        <f>X1168</f>
      </c>
      <c r="Y1170" s="113" t="s">
        <v>4157</v>
      </c>
    </row>
    <row r="1171" ht="50.0" customHeight="true">
      <c r="A1171" s="113" t="s">
        <v>22</v>
      </c>
      <c r="B1171" s="113" t="s">
        <v>4164</v>
      </c>
      <c r="C1171" s="113"/>
      <c r="D1171" s="113"/>
      <c r="E1171" s="113" t="s">
        <v>22</v>
      </c>
      <c r="F1171" s="113" t="s">
        <v>4165</v>
      </c>
      <c r="G1171" s="113" t="s">
        <v>103</v>
      </c>
      <c r="H1171" s="113" t="s">
        <v>103</v>
      </c>
      <c r="I1171" s="115" t="n">
        <v>30.6</v>
      </c>
      <c r="J1171" s="115" t="s">
        <v>80</v>
      </c>
      <c r="K1171" s="113" t="s">
        <v>81</v>
      </c>
      <c r="L1171" s="115" t="n">
        <v>25.6</v>
      </c>
      <c r="M1171" s="115" t="n">
        <v>3.0</v>
      </c>
      <c r="N1171" s="115"/>
      <c r="O1171" s="115"/>
      <c r="P1171" s="115"/>
      <c r="Q1171" s="115"/>
      <c r="R1171" s="115"/>
      <c r="S1171" s="115"/>
      <c r="T1171" s="115"/>
      <c r="U1171" s="115"/>
      <c r="V1171" s="115" t="s">
        <v>91</v>
      </c>
      <c r="W1171" s="115" t="s">
        <v>83</v>
      </c>
      <c r="X1171" s="113">
        <f>IF(INDIRECT("W1171")="Clássico","12%",IF(INDIRECT("W1171")="Premium","17%","-"))</f>
      </c>
      <c r="Y1171" s="113" t="s">
        <v>3957</v>
      </c>
    </row>
    <row r="1172" ht="50.0" customHeight="true">
      <c r="A1172" s="113" t="s">
        <v>22</v>
      </c>
      <c r="B1172" s="113" t="s">
        <v>4164</v>
      </c>
      <c r="C1172" s="113" t="s">
        <v>4166</v>
      </c>
      <c r="D1172" s="113" t="s">
        <v>4166</v>
      </c>
      <c r="E1172" s="114" t="s">
        <v>4167</v>
      </c>
      <c r="F1172" s="116">
        <f>"     "&amp;F1171</f>
      </c>
      <c r="G1172" s="113" t="s">
        <v>3963</v>
      </c>
      <c r="H1172" s="113" t="s">
        <v>103</v>
      </c>
      <c r="I1172" s="113">
        <f>I1171</f>
      </c>
      <c r="J1172" s="113">
        <f>J1171&amp;"     "</f>
      </c>
      <c r="K1172" s="113" t="s">
        <v>81</v>
      </c>
      <c r="L1172" s="113">
        <f>L1171</f>
      </c>
      <c r="M1172" s="113">
        <f>M1171</f>
      </c>
      <c r="N1172" s="113">
        <f>N1171</f>
      </c>
      <c r="O1172" s="113">
        <f>O1171</f>
      </c>
      <c r="P1172" s="113">
        <f>P1171</f>
      </c>
      <c r="Q1172" s="113">
        <f>Q1171</f>
      </c>
      <c r="R1172" s="113">
        <f>R1171</f>
      </c>
      <c r="S1172" s="113">
        <f>S1171</f>
      </c>
      <c r="T1172" s="113">
        <f>T1171</f>
      </c>
      <c r="U1172" s="113">
        <f>U1171</f>
      </c>
      <c r="V1172" s="113">
        <f>V1171&amp;"     "</f>
      </c>
      <c r="W1172" s="113">
        <f>W1171&amp;"     "</f>
      </c>
      <c r="X1172" s="113">
        <f>X1171</f>
      </c>
      <c r="Y1172" s="113" t="s">
        <v>3957</v>
      </c>
    </row>
    <row r="1173" ht="50.0" customHeight="true">
      <c r="A1173" s="113" t="s">
        <v>22</v>
      </c>
      <c r="B1173" s="113" t="s">
        <v>4164</v>
      </c>
      <c r="C1173" s="113" t="s">
        <v>4168</v>
      </c>
      <c r="D1173" s="113" t="s">
        <v>4168</v>
      </c>
      <c r="E1173" s="114" t="s">
        <v>4169</v>
      </c>
      <c r="F1173" s="116">
        <f>"     "&amp;F1171</f>
      </c>
      <c r="G1173" s="113" t="s">
        <v>3960</v>
      </c>
      <c r="H1173" s="113" t="s">
        <v>103</v>
      </c>
      <c r="I1173" s="113">
        <f>I1171</f>
      </c>
      <c r="J1173" s="113">
        <f>J1171&amp;"     "</f>
      </c>
      <c r="K1173" s="113" t="s">
        <v>81</v>
      </c>
      <c r="L1173" s="113">
        <f>L1171</f>
      </c>
      <c r="M1173" s="113">
        <f>M1171</f>
      </c>
      <c r="N1173" s="113">
        <f>N1171</f>
      </c>
      <c r="O1173" s="113">
        <f>O1171</f>
      </c>
      <c r="P1173" s="113">
        <f>P1171</f>
      </c>
      <c r="Q1173" s="113">
        <f>Q1171</f>
      </c>
      <c r="R1173" s="113">
        <f>R1171</f>
      </c>
      <c r="S1173" s="113">
        <f>S1171</f>
      </c>
      <c r="T1173" s="113">
        <f>T1171</f>
      </c>
      <c r="U1173" s="113">
        <f>U1171</f>
      </c>
      <c r="V1173" s="113">
        <f>V1171&amp;"     "</f>
      </c>
      <c r="W1173" s="113">
        <f>W1171&amp;"     "</f>
      </c>
      <c r="X1173" s="113">
        <f>X1171</f>
      </c>
      <c r="Y1173" s="113" t="s">
        <v>3957</v>
      </c>
    </row>
    <row r="1174" ht="50.0" customHeight="true">
      <c r="A1174" s="113" t="s">
        <v>4170</v>
      </c>
      <c r="B1174" s="113" t="s">
        <v>4171</v>
      </c>
      <c r="C1174" s="113" t="s">
        <v>4172</v>
      </c>
      <c r="D1174" s="113"/>
      <c r="E1174" s="114" t="s">
        <v>4173</v>
      </c>
      <c r="F1174" s="113" t="s">
        <v>4174</v>
      </c>
      <c r="G1174" s="113" t="s">
        <v>4174</v>
      </c>
      <c r="H1174" s="113" t="s">
        <v>103</v>
      </c>
      <c r="I1174" s="115" t="n">
        <v>248.97</v>
      </c>
      <c r="J1174" s="115" t="s">
        <v>80</v>
      </c>
      <c r="K1174" s="115" t="s">
        <v>81</v>
      </c>
      <c r="L1174" s="115" t="n">
        <v>243.97</v>
      </c>
      <c r="M1174" s="115" t="n">
        <v>3.0</v>
      </c>
      <c r="N1174" s="115"/>
      <c r="O1174" s="115"/>
      <c r="P1174" s="115"/>
      <c r="Q1174" s="115"/>
      <c r="R1174" s="115"/>
      <c r="S1174" s="115"/>
      <c r="T1174" s="115"/>
      <c r="U1174" s="115"/>
      <c r="V1174" s="115" t="s">
        <v>82</v>
      </c>
      <c r="W1174" s="115" t="s">
        <v>92</v>
      </c>
      <c r="X1174" s="113">
        <f>IF(INDIRECT("W1174")="Clássico","12%",IF(INDIRECT("W1174")="Premium","17%","-"))</f>
      </c>
      <c r="Y1174" s="113" t="s">
        <v>1041</v>
      </c>
    </row>
    <row r="1175" ht="50.0" customHeight="true">
      <c r="A1175" s="113" t="s">
        <v>4175</v>
      </c>
      <c r="B1175" s="113" t="s">
        <v>4176</v>
      </c>
      <c r="C1175" s="113" t="s">
        <v>4177</v>
      </c>
      <c r="D1175" s="113"/>
      <c r="E1175" s="114" t="s">
        <v>3803</v>
      </c>
      <c r="F1175" s="113" t="s">
        <v>4178</v>
      </c>
      <c r="G1175" s="113" t="s">
        <v>3178</v>
      </c>
      <c r="H1175" s="113" t="s">
        <v>103</v>
      </c>
      <c r="I1175" s="115" t="n">
        <v>189.86</v>
      </c>
      <c r="J1175" s="115" t="s">
        <v>80</v>
      </c>
      <c r="K1175" s="115" t="s">
        <v>81</v>
      </c>
      <c r="L1175" s="115" t="n">
        <v>184.86</v>
      </c>
      <c r="M1175" s="115" t="n">
        <v>3.0</v>
      </c>
      <c r="N1175" s="115"/>
      <c r="O1175" s="115"/>
      <c r="P1175" s="115"/>
      <c r="Q1175" s="115"/>
      <c r="R1175" s="115"/>
      <c r="S1175" s="115"/>
      <c r="T1175" s="115"/>
      <c r="U1175" s="115"/>
      <c r="V1175" s="115" t="s">
        <v>82</v>
      </c>
      <c r="W1175" s="115" t="s">
        <v>83</v>
      </c>
      <c r="X1175" s="113">
        <f>IF(INDIRECT("W1175")="Clássico","12%",IF(INDIRECT("W1175")="Premium","17%","-"))</f>
      </c>
      <c r="Y1175" s="113" t="s">
        <v>576</v>
      </c>
    </row>
    <row r="1176" ht="50.0" customHeight="true">
      <c r="A1176" s="113" t="s">
        <v>4179</v>
      </c>
      <c r="B1176" s="113" t="s">
        <v>4180</v>
      </c>
      <c r="C1176" s="113" t="s">
        <v>4181</v>
      </c>
      <c r="D1176" s="113"/>
      <c r="E1176" s="114" t="s">
        <v>4182</v>
      </c>
      <c r="F1176" s="113" t="s">
        <v>4183</v>
      </c>
      <c r="G1176" s="113" t="s">
        <v>4183</v>
      </c>
      <c r="H1176" s="113" t="s">
        <v>103</v>
      </c>
      <c r="I1176" s="115" t="n">
        <v>422.66</v>
      </c>
      <c r="J1176" s="115" t="s">
        <v>80</v>
      </c>
      <c r="K1176" s="115" t="s">
        <v>81</v>
      </c>
      <c r="L1176" s="115" t="n">
        <v>188.55</v>
      </c>
      <c r="M1176" s="115" t="n">
        <v>3.0</v>
      </c>
      <c r="N1176" s="115"/>
      <c r="O1176" s="115"/>
      <c r="P1176" s="115"/>
      <c r="Q1176" s="115"/>
      <c r="R1176" s="115"/>
      <c r="S1176" s="115"/>
      <c r="T1176" s="115"/>
      <c r="U1176" s="115"/>
      <c r="V1176" s="115" t="s">
        <v>82</v>
      </c>
      <c r="W1176" s="115" t="s">
        <v>83</v>
      </c>
      <c r="X1176" s="113">
        <f>IF(INDIRECT("W1176")="Clássico","12%",IF(INDIRECT("W1176")="Premium","17%","-"))</f>
      </c>
      <c r="Y1176" s="113" t="s">
        <v>755</v>
      </c>
    </row>
    <row r="1177" ht="50.0" customHeight="true">
      <c r="A1177" s="113" t="s">
        <v>4184</v>
      </c>
      <c r="B1177" s="113" t="s">
        <v>4185</v>
      </c>
      <c r="C1177" s="113" t="s">
        <v>4186</v>
      </c>
      <c r="D1177" s="113"/>
      <c r="E1177" s="114" t="s">
        <v>4187</v>
      </c>
      <c r="F1177" s="113" t="s">
        <v>4188</v>
      </c>
      <c r="G1177" s="113" t="s">
        <v>4188</v>
      </c>
      <c r="H1177" s="113" t="s">
        <v>103</v>
      </c>
      <c r="I1177" s="115" t="n">
        <v>74.85</v>
      </c>
      <c r="J1177" s="115" t="s">
        <v>80</v>
      </c>
      <c r="K1177" s="115" t="s">
        <v>81</v>
      </c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 t="s">
        <v>91</v>
      </c>
      <c r="W1177" s="115" t="s">
        <v>83</v>
      </c>
      <c r="X1177" s="113">
        <f>IF(INDIRECT("W1177")="Clássico","11.5%",IF(INDIRECT("W1177")="Premium","16.5%","-"))</f>
      </c>
      <c r="Y1177" s="113" t="s">
        <v>4189</v>
      </c>
    </row>
    <row r="1178" ht="50.0" customHeight="true">
      <c r="A1178" s="113" t="s">
        <v>4190</v>
      </c>
      <c r="B1178" s="113" t="s">
        <v>4191</v>
      </c>
      <c r="C1178" s="113" t="s">
        <v>4192</v>
      </c>
      <c r="D1178" s="113"/>
      <c r="E1178" s="114" t="s">
        <v>4193</v>
      </c>
      <c r="F1178" s="113" t="s">
        <v>4194</v>
      </c>
      <c r="G1178" s="113" t="s">
        <v>4194</v>
      </c>
      <c r="H1178" s="113" t="s">
        <v>103</v>
      </c>
      <c r="I1178" s="115" t="n">
        <v>133.93</v>
      </c>
      <c r="J1178" s="115" t="s">
        <v>80</v>
      </c>
      <c r="K1178" s="115" t="s">
        <v>81</v>
      </c>
      <c r="L1178" s="115" t="n">
        <v>128.93</v>
      </c>
      <c r="M1178" s="115" t="n">
        <v>3.0</v>
      </c>
      <c r="N1178" s="115"/>
      <c r="O1178" s="115"/>
      <c r="P1178" s="115"/>
      <c r="Q1178" s="115"/>
      <c r="R1178" s="115"/>
      <c r="S1178" s="115"/>
      <c r="T1178" s="115"/>
      <c r="U1178" s="115"/>
      <c r="V1178" s="115" t="s">
        <v>82</v>
      </c>
      <c r="W1178" s="115" t="s">
        <v>92</v>
      </c>
      <c r="X1178" s="113">
        <f>IF(INDIRECT("W1178")="Clássico","12%",IF(INDIRECT("W1178")="Premium","17%","-"))</f>
      </c>
      <c r="Y1178" s="113" t="s">
        <v>1984</v>
      </c>
    </row>
    <row r="1179" ht="50.0" customHeight="true">
      <c r="A1179" s="113" t="s">
        <v>4195</v>
      </c>
      <c r="B1179" s="113" t="s">
        <v>4196</v>
      </c>
      <c r="C1179" s="113" t="s">
        <v>4197</v>
      </c>
      <c r="D1179" s="113"/>
      <c r="E1179" s="114" t="s">
        <v>4034</v>
      </c>
      <c r="F1179" s="113" t="s">
        <v>4198</v>
      </c>
      <c r="G1179" s="113" t="s">
        <v>4198</v>
      </c>
      <c r="H1179" s="113" t="s">
        <v>103</v>
      </c>
      <c r="I1179" s="115" t="n">
        <v>67.08</v>
      </c>
      <c r="J1179" s="115" t="s">
        <v>80</v>
      </c>
      <c r="K1179" s="115" t="s">
        <v>81</v>
      </c>
      <c r="L1179" s="115" t="n">
        <v>62.08</v>
      </c>
      <c r="M1179" s="115" t="n">
        <v>3.0</v>
      </c>
      <c r="N1179" s="115"/>
      <c r="O1179" s="115"/>
      <c r="P1179" s="115"/>
      <c r="Q1179" s="115"/>
      <c r="R1179" s="115"/>
      <c r="S1179" s="115"/>
      <c r="T1179" s="115"/>
      <c r="U1179" s="115"/>
      <c r="V1179" s="115" t="s">
        <v>91</v>
      </c>
      <c r="W1179" s="115" t="s">
        <v>83</v>
      </c>
      <c r="X1179" s="113">
        <f>IF(INDIRECT("W1179")="Clássico","12%",IF(INDIRECT("W1179")="Premium","17%","-"))</f>
      </c>
      <c r="Y1179" s="113" t="s">
        <v>164</v>
      </c>
    </row>
    <row r="1180" ht="50.0" customHeight="true">
      <c r="A1180" s="113" t="s">
        <v>3370</v>
      </c>
      <c r="B1180" s="113" t="s">
        <v>4199</v>
      </c>
      <c r="C1180" s="113" t="s">
        <v>4200</v>
      </c>
      <c r="D1180" s="113"/>
      <c r="E1180" s="114" t="s">
        <v>3170</v>
      </c>
      <c r="F1180" s="113" t="s">
        <v>3373</v>
      </c>
      <c r="G1180" s="113" t="s">
        <v>127</v>
      </c>
      <c r="H1180" s="113" t="s">
        <v>103</v>
      </c>
      <c r="I1180" s="115" t="n">
        <v>59.9</v>
      </c>
      <c r="J1180" s="115" t="s">
        <v>80</v>
      </c>
      <c r="K1180" s="115" t="s">
        <v>81</v>
      </c>
      <c r="L1180" s="115" t="n">
        <v>54.9</v>
      </c>
      <c r="M1180" s="115" t="n">
        <v>3.0</v>
      </c>
      <c r="N1180" s="115"/>
      <c r="O1180" s="115"/>
      <c r="P1180" s="115"/>
      <c r="Q1180" s="115"/>
      <c r="R1180" s="115"/>
      <c r="S1180" s="115"/>
      <c r="T1180" s="115"/>
      <c r="U1180" s="115"/>
      <c r="V1180" s="115" t="s">
        <v>91</v>
      </c>
      <c r="W1180" s="115" t="s">
        <v>92</v>
      </c>
      <c r="X1180" s="113">
        <f>IF(INDIRECT("W1180")="Clássico","12.5%",IF(INDIRECT("W1180")="Premium","17.5%","-"))</f>
      </c>
      <c r="Y1180" s="113" t="s">
        <v>3172</v>
      </c>
    </row>
    <row r="1181" ht="50.0" customHeight="true">
      <c r="A1181" s="113" t="s">
        <v>4201</v>
      </c>
      <c r="B1181" s="113" t="s">
        <v>4202</v>
      </c>
      <c r="C1181" s="113" t="s">
        <v>4203</v>
      </c>
      <c r="D1181" s="113"/>
      <c r="E1181" s="114" t="s">
        <v>3503</v>
      </c>
      <c r="F1181" s="113" t="s">
        <v>4204</v>
      </c>
      <c r="G1181" s="113" t="s">
        <v>4204</v>
      </c>
      <c r="H1181" s="113" t="s">
        <v>103</v>
      </c>
      <c r="I1181" s="115" t="n">
        <v>218.86</v>
      </c>
      <c r="J1181" s="115" t="s">
        <v>80</v>
      </c>
      <c r="K1181" s="115" t="s">
        <v>81</v>
      </c>
      <c r="L1181" s="115" t="n">
        <v>213.86</v>
      </c>
      <c r="M1181" s="115" t="n">
        <v>3.0</v>
      </c>
      <c r="N1181" s="115"/>
      <c r="O1181" s="115"/>
      <c r="P1181" s="115"/>
      <c r="Q1181" s="115"/>
      <c r="R1181" s="115"/>
      <c r="S1181" s="115"/>
      <c r="T1181" s="115"/>
      <c r="U1181" s="115"/>
      <c r="V1181" s="115" t="s">
        <v>82</v>
      </c>
      <c r="W1181" s="115" t="s">
        <v>83</v>
      </c>
      <c r="X1181" s="113">
        <f>IF(INDIRECT("W1181")="Clássico","12%",IF(INDIRECT("W1181")="Premium","17%","-"))</f>
      </c>
      <c r="Y1181" s="113" t="s">
        <v>551</v>
      </c>
    </row>
    <row r="1182" ht="50.0" customHeight="true">
      <c r="A1182" s="113" t="s">
        <v>4005</v>
      </c>
      <c r="B1182" s="113" t="s">
        <v>4205</v>
      </c>
      <c r="C1182" s="113" t="s">
        <v>4206</v>
      </c>
      <c r="D1182" s="113"/>
      <c r="E1182" s="114" t="s">
        <v>3998</v>
      </c>
      <c r="F1182" s="113" t="s">
        <v>4009</v>
      </c>
      <c r="G1182" s="113" t="s">
        <v>4009</v>
      </c>
      <c r="H1182" s="113" t="s">
        <v>103</v>
      </c>
      <c r="I1182" s="115" t="n">
        <v>233.1</v>
      </c>
      <c r="J1182" s="115" t="s">
        <v>80</v>
      </c>
      <c r="K1182" s="115" t="s">
        <v>81</v>
      </c>
      <c r="L1182" s="115" t="n">
        <v>228.1</v>
      </c>
      <c r="M1182" s="115" t="n">
        <v>3.0</v>
      </c>
      <c r="N1182" s="115"/>
      <c r="O1182" s="115"/>
      <c r="P1182" s="115"/>
      <c r="Q1182" s="115"/>
      <c r="R1182" s="115"/>
      <c r="S1182" s="115"/>
      <c r="T1182" s="115"/>
      <c r="U1182" s="115"/>
      <c r="V1182" s="115" t="s">
        <v>82</v>
      </c>
      <c r="W1182" s="115" t="s">
        <v>83</v>
      </c>
      <c r="X1182" s="113">
        <f>IF(INDIRECT("W1182")="Clássico","12%",IF(INDIRECT("W1182")="Premium","17%","-"))</f>
      </c>
      <c r="Y1182" s="113" t="s">
        <v>2653</v>
      </c>
    </row>
    <row r="1183" ht="50.0" customHeight="true">
      <c r="A1183" s="113" t="s">
        <v>4207</v>
      </c>
      <c r="B1183" s="113" t="s">
        <v>4208</v>
      </c>
      <c r="C1183" s="113" t="s">
        <v>4209</v>
      </c>
      <c r="D1183" s="113"/>
      <c r="E1183" s="114" t="s">
        <v>3280</v>
      </c>
      <c r="F1183" s="113" t="s">
        <v>4210</v>
      </c>
      <c r="G1183" s="113" t="s">
        <v>4210</v>
      </c>
      <c r="H1183" s="113" t="s">
        <v>103</v>
      </c>
      <c r="I1183" s="115" t="n">
        <v>448.04</v>
      </c>
      <c r="J1183" s="115" t="s">
        <v>80</v>
      </c>
      <c r="K1183" s="115" t="s">
        <v>81</v>
      </c>
      <c r="L1183" s="115" t="n">
        <v>443.04</v>
      </c>
      <c r="M1183" s="115" t="n">
        <v>3.0</v>
      </c>
      <c r="N1183" s="115"/>
      <c r="O1183" s="115"/>
      <c r="P1183" s="115"/>
      <c r="Q1183" s="115"/>
      <c r="R1183" s="115"/>
      <c r="S1183" s="115"/>
      <c r="T1183" s="115"/>
      <c r="U1183" s="115"/>
      <c r="V1183" s="115" t="s">
        <v>82</v>
      </c>
      <c r="W1183" s="115" t="s">
        <v>83</v>
      </c>
      <c r="X1183" s="113">
        <f>IF(INDIRECT("W1183")="Clássico","12%",IF(INDIRECT("W1183")="Premium","17%","-"))</f>
      </c>
      <c r="Y1183" s="113" t="s">
        <v>3282</v>
      </c>
    </row>
    <row r="1184" ht="50.0" customHeight="true">
      <c r="A1184" s="113" t="s">
        <v>4211</v>
      </c>
      <c r="B1184" s="113" t="s">
        <v>4212</v>
      </c>
      <c r="C1184" s="113" t="s">
        <v>4213</v>
      </c>
      <c r="D1184" s="113"/>
      <c r="E1184" s="114" t="s">
        <v>3534</v>
      </c>
      <c r="F1184" s="113" t="s">
        <v>4214</v>
      </c>
      <c r="G1184" s="113" t="s">
        <v>4214</v>
      </c>
      <c r="H1184" s="113" t="s">
        <v>103</v>
      </c>
      <c r="I1184" s="115" t="n">
        <v>283.55</v>
      </c>
      <c r="J1184" s="115" t="s">
        <v>80</v>
      </c>
      <c r="K1184" s="115" t="s">
        <v>81</v>
      </c>
      <c r="L1184" s="115" t="n">
        <v>220.9</v>
      </c>
      <c r="M1184" s="115" t="n">
        <v>3.0</v>
      </c>
      <c r="N1184" s="115"/>
      <c r="O1184" s="115"/>
      <c r="P1184" s="115"/>
      <c r="Q1184" s="115"/>
      <c r="R1184" s="115"/>
      <c r="S1184" s="115"/>
      <c r="T1184" s="115"/>
      <c r="U1184" s="115"/>
      <c r="V1184" s="115" t="s">
        <v>82</v>
      </c>
      <c r="W1184" s="115" t="s">
        <v>83</v>
      </c>
      <c r="X1184" s="113">
        <f>IF(INDIRECT("W1184")="Clássico","12%",IF(INDIRECT("W1184")="Premium","17%","-"))</f>
      </c>
      <c r="Y1184" s="113" t="s">
        <v>482</v>
      </c>
    </row>
    <row r="1185" ht="50.0" customHeight="true">
      <c r="A1185" s="113" t="s">
        <v>4215</v>
      </c>
      <c r="B1185" s="113" t="s">
        <v>4216</v>
      </c>
      <c r="C1185" s="113" t="s">
        <v>4217</v>
      </c>
      <c r="D1185" s="113"/>
      <c r="E1185" s="114" t="s">
        <v>3862</v>
      </c>
      <c r="F1185" s="113" t="s">
        <v>4218</v>
      </c>
      <c r="G1185" s="113" t="s">
        <v>4218</v>
      </c>
      <c r="H1185" s="113" t="s">
        <v>103</v>
      </c>
      <c r="I1185" s="115" t="n">
        <v>158.08</v>
      </c>
      <c r="J1185" s="115" t="s">
        <v>80</v>
      </c>
      <c r="K1185" s="115" t="s">
        <v>81</v>
      </c>
      <c r="L1185" s="115" t="n">
        <v>153.08</v>
      </c>
      <c r="M1185" s="115" t="n">
        <v>3.0</v>
      </c>
      <c r="N1185" s="115"/>
      <c r="O1185" s="115"/>
      <c r="P1185" s="115"/>
      <c r="Q1185" s="115"/>
      <c r="R1185" s="115"/>
      <c r="S1185" s="115"/>
      <c r="T1185" s="115"/>
      <c r="U1185" s="115"/>
      <c r="V1185" s="115" t="s">
        <v>82</v>
      </c>
      <c r="W1185" s="115" t="s">
        <v>92</v>
      </c>
      <c r="X1185" s="113">
        <f>IF(INDIRECT("W1185")="Clássico","12%",IF(INDIRECT("W1185")="Premium","17%","-"))</f>
      </c>
      <c r="Y1185" s="113" t="s">
        <v>4219</v>
      </c>
    </row>
    <row r="1186" ht="50.0" customHeight="true">
      <c r="A1186" s="113" t="s">
        <v>4220</v>
      </c>
      <c r="B1186" s="113" t="s">
        <v>4221</v>
      </c>
      <c r="C1186" s="113" t="s">
        <v>4222</v>
      </c>
      <c r="D1186" s="113"/>
      <c r="E1186" s="114" t="s">
        <v>4223</v>
      </c>
      <c r="F1186" s="113" t="s">
        <v>4224</v>
      </c>
      <c r="G1186" s="113" t="s">
        <v>4224</v>
      </c>
      <c r="H1186" s="113" t="s">
        <v>103</v>
      </c>
      <c r="I1186" s="115" t="n">
        <v>1439.76</v>
      </c>
      <c r="J1186" s="115" t="s">
        <v>80</v>
      </c>
      <c r="K1186" s="115" t="s">
        <v>81</v>
      </c>
      <c r="L1186" s="115" t="n">
        <v>1434.76</v>
      </c>
      <c r="M1186" s="115" t="n">
        <v>3.0</v>
      </c>
      <c r="N1186" s="115"/>
      <c r="O1186" s="115"/>
      <c r="P1186" s="115"/>
      <c r="Q1186" s="115"/>
      <c r="R1186" s="115"/>
      <c r="S1186" s="115"/>
      <c r="T1186" s="115"/>
      <c r="U1186" s="115"/>
      <c r="V1186" s="115" t="s">
        <v>82</v>
      </c>
      <c r="W1186" s="115" t="s">
        <v>83</v>
      </c>
      <c r="X1186" s="113">
        <f>IF(INDIRECT("W1186")="Clássico","12%",IF(INDIRECT("W1186")="Premium","17%","-"))</f>
      </c>
      <c r="Y1186" s="113" t="s">
        <v>4225</v>
      </c>
    </row>
    <row r="1187" ht="50.0" customHeight="true">
      <c r="A1187" s="113" t="s">
        <v>4226</v>
      </c>
      <c r="B1187" s="113" t="s">
        <v>4227</v>
      </c>
      <c r="C1187" s="113" t="s">
        <v>4228</v>
      </c>
      <c r="D1187" s="113"/>
      <c r="E1187" s="114" t="s">
        <v>4133</v>
      </c>
      <c r="F1187" s="113" t="s">
        <v>4229</v>
      </c>
      <c r="G1187" s="113" t="s">
        <v>4229</v>
      </c>
      <c r="H1187" s="113" t="s">
        <v>103</v>
      </c>
      <c r="I1187" s="115" t="n">
        <v>185.95</v>
      </c>
      <c r="J1187" s="115" t="s">
        <v>80</v>
      </c>
      <c r="K1187" s="115" t="s">
        <v>81</v>
      </c>
      <c r="L1187" s="115" t="n">
        <v>180.95</v>
      </c>
      <c r="M1187" s="115" t="n">
        <v>3.0</v>
      </c>
      <c r="N1187" s="115"/>
      <c r="O1187" s="115"/>
      <c r="P1187" s="115"/>
      <c r="Q1187" s="115"/>
      <c r="R1187" s="115"/>
      <c r="S1187" s="115"/>
      <c r="T1187" s="115"/>
      <c r="U1187" s="115"/>
      <c r="V1187" s="115" t="s">
        <v>82</v>
      </c>
      <c r="W1187" s="115" t="s">
        <v>83</v>
      </c>
      <c r="X1187" s="113">
        <f>IF(INDIRECT("W1187")="Clássico","12%",IF(INDIRECT("W1187")="Premium","17%","-"))</f>
      </c>
      <c r="Y1187" s="113" t="s">
        <v>93</v>
      </c>
    </row>
    <row r="1188" ht="50.0" customHeight="true">
      <c r="A1188" s="113" t="s">
        <v>4230</v>
      </c>
      <c r="B1188" s="113" t="s">
        <v>4231</v>
      </c>
      <c r="C1188" s="113" t="s">
        <v>4232</v>
      </c>
      <c r="D1188" s="113"/>
      <c r="E1188" s="114" t="s">
        <v>3543</v>
      </c>
      <c r="F1188" s="113" t="s">
        <v>4233</v>
      </c>
      <c r="G1188" s="113" t="s">
        <v>4233</v>
      </c>
      <c r="H1188" s="113" t="s">
        <v>103</v>
      </c>
      <c r="I1188" s="115" t="n">
        <v>588.35</v>
      </c>
      <c r="J1188" s="115" t="s">
        <v>80</v>
      </c>
      <c r="K1188" s="115" t="s">
        <v>81</v>
      </c>
      <c r="L1188" s="115" t="n">
        <v>583.35</v>
      </c>
      <c r="M1188" s="115" t="n">
        <v>3.0</v>
      </c>
      <c r="N1188" s="115"/>
      <c r="O1188" s="115"/>
      <c r="P1188" s="115"/>
      <c r="Q1188" s="115"/>
      <c r="R1188" s="115"/>
      <c r="S1188" s="115"/>
      <c r="T1188" s="115"/>
      <c r="U1188" s="115"/>
      <c r="V1188" s="115" t="s">
        <v>82</v>
      </c>
      <c r="W1188" s="115" t="s">
        <v>92</v>
      </c>
      <c r="X1188" s="113">
        <f>IF(INDIRECT("W1188")="Clássico","12%",IF(INDIRECT("W1188")="Premium","17%","-"))</f>
      </c>
      <c r="Y1188" s="113" t="s">
        <v>4234</v>
      </c>
    </row>
    <row r="1189" ht="50.0" customHeight="true">
      <c r="A1189" s="113" t="s">
        <v>4235</v>
      </c>
      <c r="B1189" s="113" t="s">
        <v>4236</v>
      </c>
      <c r="C1189" s="113" t="s">
        <v>4237</v>
      </c>
      <c r="D1189" s="113"/>
      <c r="E1189" s="114" t="s">
        <v>3562</v>
      </c>
      <c r="F1189" s="113" t="s">
        <v>4238</v>
      </c>
      <c r="G1189" s="113" t="s">
        <v>4238</v>
      </c>
      <c r="H1189" s="113" t="s">
        <v>103</v>
      </c>
      <c r="I1189" s="115" t="n">
        <v>428.99</v>
      </c>
      <c r="J1189" s="115" t="s">
        <v>80</v>
      </c>
      <c r="K1189" s="115" t="s">
        <v>81</v>
      </c>
      <c r="L1189" s="115" t="n">
        <v>423.99</v>
      </c>
      <c r="M1189" s="115" t="n">
        <v>3.0</v>
      </c>
      <c r="N1189" s="115"/>
      <c r="O1189" s="115"/>
      <c r="P1189" s="115"/>
      <c r="Q1189" s="115"/>
      <c r="R1189" s="115"/>
      <c r="S1189" s="115"/>
      <c r="T1189" s="115"/>
      <c r="U1189" s="115"/>
      <c r="V1189" s="115" t="s">
        <v>82</v>
      </c>
      <c r="W1189" s="115" t="s">
        <v>83</v>
      </c>
      <c r="X1189" s="113">
        <f>IF(INDIRECT("W1189")="Clássico","12%",IF(INDIRECT("W1189")="Premium","17%","-"))</f>
      </c>
      <c r="Y1189" s="113" t="s">
        <v>3607</v>
      </c>
    </row>
    <row r="1190" ht="50.0" customHeight="true">
      <c r="A1190" s="113" t="s">
        <v>3864</v>
      </c>
      <c r="B1190" s="113" t="s">
        <v>4239</v>
      </c>
      <c r="C1190" s="113" t="s">
        <v>4240</v>
      </c>
      <c r="D1190" s="113"/>
      <c r="E1190" s="114" t="s">
        <v>3648</v>
      </c>
      <c r="F1190" s="113" t="s">
        <v>3867</v>
      </c>
      <c r="G1190" s="113" t="s">
        <v>127</v>
      </c>
      <c r="H1190" s="113" t="s">
        <v>103</v>
      </c>
      <c r="I1190" s="115" t="n">
        <v>345.45</v>
      </c>
      <c r="J1190" s="115" t="s">
        <v>80</v>
      </c>
      <c r="K1190" s="115" t="s">
        <v>81</v>
      </c>
      <c r="L1190" s="115" t="n">
        <v>277.16</v>
      </c>
      <c r="M1190" s="115" t="n">
        <v>3.0</v>
      </c>
      <c r="N1190" s="115"/>
      <c r="O1190" s="115"/>
      <c r="P1190" s="115"/>
      <c r="Q1190" s="115"/>
      <c r="R1190" s="115"/>
      <c r="S1190" s="115"/>
      <c r="T1190" s="115"/>
      <c r="U1190" s="115"/>
      <c r="V1190" s="115" t="s">
        <v>82</v>
      </c>
      <c r="W1190" s="115" t="s">
        <v>83</v>
      </c>
      <c r="X1190" s="113">
        <f>IF(INDIRECT("W1190")="Clássico","12%",IF(INDIRECT("W1190")="Premium","17%","-"))</f>
      </c>
      <c r="Y1190" s="113" t="s">
        <v>423</v>
      </c>
    </row>
    <row r="1191" ht="50.0" customHeight="true">
      <c r="A1191" s="113" t="s">
        <v>4241</v>
      </c>
      <c r="B1191" s="113" t="s">
        <v>4242</v>
      </c>
      <c r="C1191" s="113" t="s">
        <v>4243</v>
      </c>
      <c r="D1191" s="113"/>
      <c r="E1191" s="114" t="s">
        <v>3202</v>
      </c>
      <c r="F1191" s="113" t="s">
        <v>4244</v>
      </c>
      <c r="G1191" s="113" t="s">
        <v>4244</v>
      </c>
      <c r="H1191" s="113" t="s">
        <v>103</v>
      </c>
      <c r="I1191" s="115" t="n">
        <v>149.85</v>
      </c>
      <c r="J1191" s="115" t="s">
        <v>80</v>
      </c>
      <c r="K1191" s="115" t="s">
        <v>81</v>
      </c>
      <c r="L1191" s="115" t="n">
        <v>144.85</v>
      </c>
      <c r="M1191" s="115" t="n">
        <v>3.0</v>
      </c>
      <c r="N1191" s="115"/>
      <c r="O1191" s="115"/>
      <c r="P1191" s="115"/>
      <c r="Q1191" s="115"/>
      <c r="R1191" s="115"/>
      <c r="S1191" s="115"/>
      <c r="T1191" s="115"/>
      <c r="U1191" s="115"/>
      <c r="V1191" s="115" t="s">
        <v>82</v>
      </c>
      <c r="W1191" s="115" t="s">
        <v>83</v>
      </c>
      <c r="X1191" s="113">
        <f>IF(INDIRECT("W1191")="Clássico","12%",IF(INDIRECT("W1191")="Premium","17%","-"))</f>
      </c>
      <c r="Y1191" s="113" t="s">
        <v>3204</v>
      </c>
    </row>
    <row r="1192" ht="50.0" customHeight="true">
      <c r="A1192" s="113" t="s">
        <v>4245</v>
      </c>
      <c r="B1192" s="113" t="s">
        <v>4246</v>
      </c>
      <c r="C1192" s="113" t="s">
        <v>4247</v>
      </c>
      <c r="D1192" s="113"/>
      <c r="E1192" s="114" t="s">
        <v>1464</v>
      </c>
      <c r="F1192" s="113" t="s">
        <v>4248</v>
      </c>
      <c r="G1192" s="113" t="s">
        <v>1466</v>
      </c>
      <c r="H1192" s="113" t="s">
        <v>103</v>
      </c>
      <c r="I1192" s="115" t="n">
        <v>880.76</v>
      </c>
      <c r="J1192" s="115" t="s">
        <v>80</v>
      </c>
      <c r="K1192" s="115" t="s">
        <v>81</v>
      </c>
      <c r="L1192" s="115" t="n">
        <v>810.19</v>
      </c>
      <c r="M1192" s="115" t="n">
        <v>3.0</v>
      </c>
      <c r="N1192" s="115"/>
      <c r="O1192" s="115"/>
      <c r="P1192" s="115"/>
      <c r="Q1192" s="115"/>
      <c r="R1192" s="115"/>
      <c r="S1192" s="115"/>
      <c r="T1192" s="115"/>
      <c r="U1192" s="115"/>
      <c r="V1192" s="115" t="s">
        <v>82</v>
      </c>
      <c r="W1192" s="115" t="s">
        <v>92</v>
      </c>
      <c r="X1192" s="113">
        <f>IF(INDIRECT("W1192")="Clássico","12%",IF(INDIRECT("W1192")="Premium","17%","-"))</f>
      </c>
      <c r="Y1192" s="113" t="s">
        <v>1467</v>
      </c>
    </row>
    <row r="1193" ht="50.0" customHeight="true">
      <c r="A1193" s="113" t="s">
        <v>4249</v>
      </c>
      <c r="B1193" s="113" t="s">
        <v>4250</v>
      </c>
      <c r="C1193" s="113" t="s">
        <v>4251</v>
      </c>
      <c r="D1193" s="113"/>
      <c r="E1193" s="114" t="s">
        <v>3316</v>
      </c>
      <c r="F1193" s="113" t="s">
        <v>4252</v>
      </c>
      <c r="G1193" s="113" t="s">
        <v>4252</v>
      </c>
      <c r="H1193" s="113" t="s">
        <v>103</v>
      </c>
      <c r="I1193" s="115" t="n">
        <v>183.47</v>
      </c>
      <c r="J1193" s="115" t="s">
        <v>80</v>
      </c>
      <c r="K1193" s="115" t="s">
        <v>81</v>
      </c>
      <c r="L1193" s="115" t="n">
        <v>178.47</v>
      </c>
      <c r="M1193" s="115" t="n">
        <v>3.0</v>
      </c>
      <c r="N1193" s="115"/>
      <c r="O1193" s="115"/>
      <c r="P1193" s="115"/>
      <c r="Q1193" s="115"/>
      <c r="R1193" s="115"/>
      <c r="S1193" s="115"/>
      <c r="T1193" s="115"/>
      <c r="U1193" s="115"/>
      <c r="V1193" s="115" t="s">
        <v>82</v>
      </c>
      <c r="W1193" s="115" t="s">
        <v>92</v>
      </c>
      <c r="X1193" s="113">
        <f>IF(INDIRECT("W1193")="Clássico","12%",IF(INDIRECT("W1193")="Premium","17%","-"))</f>
      </c>
      <c r="Y1193" s="113" t="s">
        <v>1751</v>
      </c>
    </row>
    <row r="1194" ht="50.0" customHeight="true">
      <c r="A1194" s="113" t="s">
        <v>4253</v>
      </c>
      <c r="B1194" s="113" t="s">
        <v>4254</v>
      </c>
      <c r="C1194" s="113" t="s">
        <v>4255</v>
      </c>
      <c r="D1194" s="113"/>
      <c r="E1194" s="114" t="s">
        <v>4256</v>
      </c>
      <c r="F1194" s="113" t="s">
        <v>4257</v>
      </c>
      <c r="G1194" s="113" t="s">
        <v>4257</v>
      </c>
      <c r="H1194" s="113" t="s">
        <v>103</v>
      </c>
      <c r="I1194" s="115" t="n">
        <v>403.29</v>
      </c>
      <c r="J1194" s="115" t="s">
        <v>80</v>
      </c>
      <c r="K1194" s="115" t="s">
        <v>81</v>
      </c>
      <c r="L1194" s="115" t="n">
        <v>398.29</v>
      </c>
      <c r="M1194" s="115" t="n">
        <v>3.0</v>
      </c>
      <c r="N1194" s="115"/>
      <c r="O1194" s="115"/>
      <c r="P1194" s="115"/>
      <c r="Q1194" s="115"/>
      <c r="R1194" s="115"/>
      <c r="S1194" s="115"/>
      <c r="T1194" s="115"/>
      <c r="U1194" s="115"/>
      <c r="V1194" s="115" t="s">
        <v>82</v>
      </c>
      <c r="W1194" s="115" t="s">
        <v>83</v>
      </c>
      <c r="X1194" s="113">
        <f>IF(INDIRECT("W1194")="Clássico","12%",IF(INDIRECT("W1194")="Premium","17%","-"))</f>
      </c>
      <c r="Y1194" s="113" t="s">
        <v>200</v>
      </c>
    </row>
    <row r="1195" ht="50.0" customHeight="true">
      <c r="A1195" s="113" t="s">
        <v>4258</v>
      </c>
      <c r="B1195" s="113" t="s">
        <v>4259</v>
      </c>
      <c r="C1195" s="113" t="s">
        <v>4260</v>
      </c>
      <c r="D1195" s="113"/>
      <c r="E1195" s="114" t="s">
        <v>3464</v>
      </c>
      <c r="F1195" s="113" t="s">
        <v>4261</v>
      </c>
      <c r="G1195" s="113" t="s">
        <v>127</v>
      </c>
      <c r="H1195" s="113" t="s">
        <v>103</v>
      </c>
      <c r="I1195" s="115" t="n">
        <v>430.35</v>
      </c>
      <c r="J1195" s="115" t="s">
        <v>80</v>
      </c>
      <c r="K1195" s="115" t="s">
        <v>81</v>
      </c>
      <c r="L1195" s="115" t="n">
        <v>328.41</v>
      </c>
      <c r="M1195" s="115" t="n">
        <v>3.0</v>
      </c>
      <c r="N1195" s="115"/>
      <c r="O1195" s="115"/>
      <c r="P1195" s="115"/>
      <c r="Q1195" s="115"/>
      <c r="R1195" s="115"/>
      <c r="S1195" s="115"/>
      <c r="T1195" s="115"/>
      <c r="U1195" s="115"/>
      <c r="V1195" s="115" t="s">
        <v>82</v>
      </c>
      <c r="W1195" s="115" t="s">
        <v>83</v>
      </c>
      <c r="X1195" s="113">
        <f>IF(INDIRECT("W1195")="Clássico","12%",IF(INDIRECT("W1195")="Premium","17%","-"))</f>
      </c>
      <c r="Y1195" s="113" t="s">
        <v>423</v>
      </c>
    </row>
    <row r="1196" ht="50.0" customHeight="true">
      <c r="A1196" s="113" t="s">
        <v>22</v>
      </c>
      <c r="B1196" s="113" t="s">
        <v>4262</v>
      </c>
      <c r="C1196" s="113"/>
      <c r="D1196" s="113"/>
      <c r="E1196" s="113" t="s">
        <v>22</v>
      </c>
      <c r="F1196" s="113" t="s">
        <v>4263</v>
      </c>
      <c r="G1196" s="113" t="s">
        <v>103</v>
      </c>
      <c r="H1196" s="113" t="s">
        <v>103</v>
      </c>
      <c r="I1196" s="115" t="n">
        <v>158.62</v>
      </c>
      <c r="J1196" s="115" t="s">
        <v>80</v>
      </c>
      <c r="K1196" s="113" t="s">
        <v>81</v>
      </c>
      <c r="L1196" s="115" t="n">
        <v>153.62</v>
      </c>
      <c r="M1196" s="115" t="n">
        <v>3.0</v>
      </c>
      <c r="N1196" s="115"/>
      <c r="O1196" s="115"/>
      <c r="P1196" s="115"/>
      <c r="Q1196" s="115"/>
      <c r="R1196" s="115"/>
      <c r="S1196" s="115"/>
      <c r="T1196" s="115"/>
      <c r="U1196" s="115"/>
      <c r="V1196" s="115" t="s">
        <v>82</v>
      </c>
      <c r="W1196" s="115" t="s">
        <v>92</v>
      </c>
      <c r="X1196" s="113">
        <f>IF(INDIRECT("W1196")="Clássico","12%",IF(INDIRECT("W1196")="Premium","17%","-"))</f>
      </c>
      <c r="Y1196" s="113" t="s">
        <v>3454</v>
      </c>
    </row>
    <row r="1197" ht="50.0" customHeight="true">
      <c r="A1197" s="113" t="s">
        <v>22</v>
      </c>
      <c r="B1197" s="113" t="s">
        <v>4262</v>
      </c>
      <c r="C1197" s="113" t="s">
        <v>4264</v>
      </c>
      <c r="D1197" s="113" t="s">
        <v>4264</v>
      </c>
      <c r="E1197" s="114" t="s">
        <v>4265</v>
      </c>
      <c r="F1197" s="116">
        <f>"     "&amp;F1196</f>
      </c>
      <c r="G1197" s="113" t="s">
        <v>4266</v>
      </c>
      <c r="H1197" s="113" t="s">
        <v>103</v>
      </c>
      <c r="I1197" s="113">
        <f>I1196</f>
      </c>
      <c r="J1197" s="113">
        <f>J1196&amp;"     "</f>
      </c>
      <c r="K1197" s="113" t="s">
        <v>81</v>
      </c>
      <c r="L1197" s="113">
        <f>L1196</f>
      </c>
      <c r="M1197" s="113">
        <f>M1196</f>
      </c>
      <c r="N1197" s="113">
        <f>N1196</f>
      </c>
      <c r="O1197" s="113">
        <f>O1196</f>
      </c>
      <c r="P1197" s="113">
        <f>P1196</f>
      </c>
      <c r="Q1197" s="113">
        <f>Q1196</f>
      </c>
      <c r="R1197" s="113">
        <f>R1196</f>
      </c>
      <c r="S1197" s="113">
        <f>S1196</f>
      </c>
      <c r="T1197" s="113">
        <f>T1196</f>
      </c>
      <c r="U1197" s="113">
        <f>U1196</f>
      </c>
      <c r="V1197" s="113">
        <f>V1196&amp;"     "</f>
      </c>
      <c r="W1197" s="113">
        <f>W1196&amp;"     "</f>
      </c>
      <c r="X1197" s="113">
        <f>X1196</f>
      </c>
      <c r="Y1197" s="113" t="s">
        <v>3454</v>
      </c>
    </row>
    <row r="1198" ht="50.0" customHeight="true">
      <c r="A1198" s="113" t="s">
        <v>22</v>
      </c>
      <c r="B1198" s="113" t="s">
        <v>4262</v>
      </c>
      <c r="C1198" s="113" t="s">
        <v>4267</v>
      </c>
      <c r="D1198" s="113" t="s">
        <v>4267</v>
      </c>
      <c r="E1198" s="114" t="s">
        <v>4268</v>
      </c>
      <c r="F1198" s="116">
        <f>"     "&amp;F1196</f>
      </c>
      <c r="G1198" s="113" t="s">
        <v>4269</v>
      </c>
      <c r="H1198" s="113" t="s">
        <v>103</v>
      </c>
      <c r="I1198" s="113">
        <f>I1196</f>
      </c>
      <c r="J1198" s="113">
        <f>J1196&amp;"     "</f>
      </c>
      <c r="K1198" s="113" t="s">
        <v>81</v>
      </c>
      <c r="L1198" s="113">
        <f>L1196</f>
      </c>
      <c r="M1198" s="113">
        <f>M1196</f>
      </c>
      <c r="N1198" s="113">
        <f>N1196</f>
      </c>
      <c r="O1198" s="113">
        <f>O1196</f>
      </c>
      <c r="P1198" s="113">
        <f>P1196</f>
      </c>
      <c r="Q1198" s="113">
        <f>Q1196</f>
      </c>
      <c r="R1198" s="113">
        <f>R1196</f>
      </c>
      <c r="S1198" s="113">
        <f>S1196</f>
      </c>
      <c r="T1198" s="113">
        <f>T1196</f>
      </c>
      <c r="U1198" s="113">
        <f>U1196</f>
      </c>
      <c r="V1198" s="113">
        <f>V1196&amp;"     "</f>
      </c>
      <c r="W1198" s="113">
        <f>W1196&amp;"     "</f>
      </c>
      <c r="X1198" s="113">
        <f>X1196</f>
      </c>
      <c r="Y1198" s="113" t="s">
        <v>3454</v>
      </c>
    </row>
    <row r="1199" ht="50.0" customHeight="true">
      <c r="A1199" s="113" t="s">
        <v>3494</v>
      </c>
      <c r="B1199" s="113" t="s">
        <v>4270</v>
      </c>
      <c r="C1199" s="113" t="s">
        <v>4271</v>
      </c>
      <c r="D1199" s="113"/>
      <c r="E1199" s="114" t="s">
        <v>3497</v>
      </c>
      <c r="F1199" s="113" t="s">
        <v>3498</v>
      </c>
      <c r="G1199" s="113" t="s">
        <v>3498</v>
      </c>
      <c r="H1199" s="113" t="s">
        <v>103</v>
      </c>
      <c r="I1199" s="115" t="n">
        <v>221.9</v>
      </c>
      <c r="J1199" s="115" t="s">
        <v>80</v>
      </c>
      <c r="K1199" s="115" t="s">
        <v>81</v>
      </c>
      <c r="L1199" s="115" t="n">
        <v>216.9</v>
      </c>
      <c r="M1199" s="115" t="n">
        <v>3.0</v>
      </c>
      <c r="N1199" s="115"/>
      <c r="O1199" s="115"/>
      <c r="P1199" s="115"/>
      <c r="Q1199" s="115"/>
      <c r="R1199" s="115"/>
      <c r="S1199" s="115"/>
      <c r="T1199" s="115"/>
      <c r="U1199" s="115"/>
      <c r="V1199" s="115" t="s">
        <v>82</v>
      </c>
      <c r="W1199" s="115" t="s">
        <v>83</v>
      </c>
      <c r="X1199" s="113">
        <f>IF(INDIRECT("W1199")="Clássico","12%",IF(INDIRECT("W1199")="Premium","17%","-"))</f>
      </c>
      <c r="Y1199" s="113" t="s">
        <v>3499</v>
      </c>
    </row>
    <row r="1200" ht="50.0" customHeight="true">
      <c r="A1200" s="113" t="s">
        <v>4272</v>
      </c>
      <c r="B1200" s="113" t="s">
        <v>4273</v>
      </c>
      <c r="C1200" s="113" t="s">
        <v>4274</v>
      </c>
      <c r="D1200" s="113"/>
      <c r="E1200" s="114" t="s">
        <v>4275</v>
      </c>
      <c r="F1200" s="113" t="s">
        <v>4276</v>
      </c>
      <c r="G1200" s="113" t="s">
        <v>4276</v>
      </c>
      <c r="H1200" s="113" t="s">
        <v>103</v>
      </c>
      <c r="I1200" s="115" t="n">
        <v>163.17</v>
      </c>
      <c r="J1200" s="115" t="s">
        <v>80</v>
      </c>
      <c r="K1200" s="115" t="s">
        <v>81</v>
      </c>
      <c r="L1200" s="115" t="n">
        <v>157.01</v>
      </c>
      <c r="M1200" s="115" t="n">
        <v>3.0</v>
      </c>
      <c r="N1200" s="115"/>
      <c r="O1200" s="115"/>
      <c r="P1200" s="115"/>
      <c r="Q1200" s="115"/>
      <c r="R1200" s="115"/>
      <c r="S1200" s="115"/>
      <c r="T1200" s="115"/>
      <c r="U1200" s="115"/>
      <c r="V1200" s="115" t="s">
        <v>82</v>
      </c>
      <c r="W1200" s="115" t="s">
        <v>83</v>
      </c>
      <c r="X1200" s="113">
        <f>IF(INDIRECT("W1200")="Clássico","12%",IF(INDIRECT("W1200")="Premium","17%","-"))</f>
      </c>
      <c r="Y1200" s="113" t="s">
        <v>2018</v>
      </c>
    </row>
    <row r="1201" ht="50.0" customHeight="true">
      <c r="A1201" s="113" t="s">
        <v>4277</v>
      </c>
      <c r="B1201" s="113" t="s">
        <v>4278</v>
      </c>
      <c r="C1201" s="113" t="s">
        <v>4279</v>
      </c>
      <c r="D1201" s="113"/>
      <c r="E1201" s="114" t="s">
        <v>4149</v>
      </c>
      <c r="F1201" s="113" t="s">
        <v>4280</v>
      </c>
      <c r="G1201" s="113" t="s">
        <v>4280</v>
      </c>
      <c r="H1201" s="113" t="s">
        <v>103</v>
      </c>
      <c r="I1201" s="115" t="n">
        <v>82.27</v>
      </c>
      <c r="J1201" s="115" t="s">
        <v>80</v>
      </c>
      <c r="K1201" s="115" t="s">
        <v>81</v>
      </c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 t="s">
        <v>82</v>
      </c>
      <c r="W1201" s="115" t="s">
        <v>92</v>
      </c>
      <c r="X1201" s="113">
        <f>IF(INDIRECT("W1201")="Clássico","12%",IF(INDIRECT("W1201")="Premium","17%","-"))</f>
      </c>
      <c r="Y1201" s="113" t="s">
        <v>1048</v>
      </c>
    </row>
    <row r="1202" ht="50.0" customHeight="true">
      <c r="A1202" s="113" t="s">
        <v>4281</v>
      </c>
      <c r="B1202" s="113" t="s">
        <v>4282</v>
      </c>
      <c r="C1202" s="113" t="s">
        <v>4283</v>
      </c>
      <c r="D1202" s="113"/>
      <c r="E1202" s="114" t="s">
        <v>4284</v>
      </c>
      <c r="F1202" s="113" t="s">
        <v>4285</v>
      </c>
      <c r="G1202" s="113" t="s">
        <v>127</v>
      </c>
      <c r="H1202" s="113" t="s">
        <v>103</v>
      </c>
      <c r="I1202" s="115" t="n">
        <v>335.0</v>
      </c>
      <c r="J1202" s="115" t="s">
        <v>80</v>
      </c>
      <c r="K1202" s="115" t="s">
        <v>81</v>
      </c>
      <c r="L1202" s="115" t="n">
        <v>330.0</v>
      </c>
      <c r="M1202" s="115" t="n">
        <v>3.0</v>
      </c>
      <c r="N1202" s="115"/>
      <c r="O1202" s="115"/>
      <c r="P1202" s="115"/>
      <c r="Q1202" s="115"/>
      <c r="R1202" s="115"/>
      <c r="S1202" s="115"/>
      <c r="T1202" s="115"/>
      <c r="U1202" s="115"/>
      <c r="V1202" s="115" t="s">
        <v>82</v>
      </c>
      <c r="W1202" s="115" t="s">
        <v>83</v>
      </c>
      <c r="X1202" s="113">
        <f>IF(INDIRECT("W1202")="Clássico","12%",IF(INDIRECT("W1202")="Premium","17%","-"))</f>
      </c>
      <c r="Y1202" s="113" t="s">
        <v>367</v>
      </c>
    </row>
    <row r="1203" ht="50.0" customHeight="true">
      <c r="A1203" s="113" t="s">
        <v>4286</v>
      </c>
      <c r="B1203" s="113" t="s">
        <v>4287</v>
      </c>
      <c r="C1203" s="113" t="s">
        <v>4288</v>
      </c>
      <c r="D1203" s="113"/>
      <c r="E1203" s="114" t="s">
        <v>2884</v>
      </c>
      <c r="F1203" s="113" t="s">
        <v>4289</v>
      </c>
      <c r="G1203" s="113" t="s">
        <v>4289</v>
      </c>
      <c r="H1203" s="113" t="s">
        <v>103</v>
      </c>
      <c r="I1203" s="113" t="s">
        <v>22</v>
      </c>
      <c r="J1203" s="115" t="s">
        <v>80</v>
      </c>
      <c r="K1203" s="115" t="s">
        <v>81</v>
      </c>
      <c r="L1203" s="115" t="n">
        <v>40.44</v>
      </c>
      <c r="M1203" s="115" t="n">
        <v>3.0</v>
      </c>
      <c r="N1203" s="115"/>
      <c r="O1203" s="115"/>
      <c r="P1203" s="115"/>
      <c r="Q1203" s="115"/>
      <c r="R1203" s="115"/>
      <c r="S1203" s="115"/>
      <c r="T1203" s="115"/>
      <c r="U1203" s="115"/>
      <c r="V1203" s="115" t="s">
        <v>91</v>
      </c>
      <c r="W1203" s="115" t="s">
        <v>92</v>
      </c>
      <c r="X1203" s="113">
        <f>IF(INDIRECT("W1203")="Clássico","12%",IF(INDIRECT("W1203")="Premium","17%","-"))</f>
      </c>
      <c r="Y1203" s="113" t="s">
        <v>2886</v>
      </c>
    </row>
    <row r="1204" ht="50.0" customHeight="true">
      <c r="A1204" s="113" t="s">
        <v>4290</v>
      </c>
      <c r="B1204" s="113" t="s">
        <v>4291</v>
      </c>
      <c r="C1204" s="113" t="s">
        <v>4292</v>
      </c>
      <c r="D1204" s="113"/>
      <c r="E1204" s="114" t="s">
        <v>3380</v>
      </c>
      <c r="F1204" s="113" t="s">
        <v>4293</v>
      </c>
      <c r="G1204" s="113" t="s">
        <v>687</v>
      </c>
      <c r="H1204" s="113" t="s">
        <v>103</v>
      </c>
      <c r="I1204" s="115" t="n">
        <v>183.42</v>
      </c>
      <c r="J1204" s="115" t="s">
        <v>80</v>
      </c>
      <c r="K1204" s="115" t="s">
        <v>81</v>
      </c>
      <c r="L1204" s="115" t="n">
        <v>178.42</v>
      </c>
      <c r="M1204" s="115" t="n">
        <v>3.0</v>
      </c>
      <c r="N1204" s="115"/>
      <c r="O1204" s="115"/>
      <c r="P1204" s="115"/>
      <c r="Q1204" s="115"/>
      <c r="R1204" s="115"/>
      <c r="S1204" s="115"/>
      <c r="T1204" s="115"/>
      <c r="U1204" s="115"/>
      <c r="V1204" s="115" t="s">
        <v>82</v>
      </c>
      <c r="W1204" s="115" t="s">
        <v>92</v>
      </c>
      <c r="X1204" s="113">
        <f>IF(INDIRECT("W1204")="Clássico","12%",IF(INDIRECT("W1204")="Premium","17%","-"))</f>
      </c>
      <c r="Y1204" s="113" t="s">
        <v>3838</v>
      </c>
    </row>
    <row r="1205" ht="50.0" customHeight="true">
      <c r="A1205" s="113" t="s">
        <v>4294</v>
      </c>
      <c r="B1205" s="113" t="s">
        <v>4295</v>
      </c>
      <c r="C1205" s="113" t="s">
        <v>4296</v>
      </c>
      <c r="D1205" s="113"/>
      <c r="E1205" s="114" t="s">
        <v>3413</v>
      </c>
      <c r="F1205" s="113" t="s">
        <v>4297</v>
      </c>
      <c r="G1205" s="113" t="s">
        <v>4297</v>
      </c>
      <c r="H1205" s="113" t="s">
        <v>103</v>
      </c>
      <c r="I1205" s="115" t="n">
        <v>179.99</v>
      </c>
      <c r="J1205" s="115" t="s">
        <v>80</v>
      </c>
      <c r="K1205" s="115" t="s">
        <v>81</v>
      </c>
      <c r="L1205" s="115" t="n">
        <v>174.77</v>
      </c>
      <c r="M1205" s="115" t="n">
        <v>3.0</v>
      </c>
      <c r="N1205" s="115"/>
      <c r="O1205" s="115"/>
      <c r="P1205" s="115"/>
      <c r="Q1205" s="115"/>
      <c r="R1205" s="115"/>
      <c r="S1205" s="115"/>
      <c r="T1205" s="115"/>
      <c r="U1205" s="115"/>
      <c r="V1205" s="115" t="s">
        <v>82</v>
      </c>
      <c r="W1205" s="115" t="s">
        <v>92</v>
      </c>
      <c r="X1205" s="113">
        <f>IF(INDIRECT("W1205")="Clássico","12%",IF(INDIRECT("W1205")="Premium","17%","-"))</f>
      </c>
      <c r="Y1205" s="113" t="s">
        <v>121</v>
      </c>
    </row>
    <row r="1206" ht="50.0" customHeight="true">
      <c r="A1206" s="113" t="s">
        <v>4298</v>
      </c>
      <c r="B1206" s="113" t="s">
        <v>4299</v>
      </c>
      <c r="C1206" s="113" t="s">
        <v>4300</v>
      </c>
      <c r="D1206" s="113"/>
      <c r="E1206" s="114" t="s">
        <v>4003</v>
      </c>
      <c r="F1206" s="113" t="s">
        <v>4301</v>
      </c>
      <c r="G1206" s="113" t="s">
        <v>4301</v>
      </c>
      <c r="H1206" s="113" t="s">
        <v>103</v>
      </c>
      <c r="I1206" s="115" t="n">
        <v>80.06</v>
      </c>
      <c r="J1206" s="115" t="s">
        <v>80</v>
      </c>
      <c r="K1206" s="115" t="s">
        <v>81</v>
      </c>
      <c r="L1206" s="115" t="n">
        <v>75.06</v>
      </c>
      <c r="M1206" s="115" t="n">
        <v>3.0</v>
      </c>
      <c r="N1206" s="115"/>
      <c r="O1206" s="115"/>
      <c r="P1206" s="115"/>
      <c r="Q1206" s="115"/>
      <c r="R1206" s="115"/>
      <c r="S1206" s="115"/>
      <c r="T1206" s="115"/>
      <c r="U1206" s="115"/>
      <c r="V1206" s="115" t="s">
        <v>82</v>
      </c>
      <c r="W1206" s="115" t="s">
        <v>92</v>
      </c>
      <c r="X1206" s="113">
        <f>IF(INDIRECT("W1206")="Clássico","12%",IF(INDIRECT("W1206")="Premium","17%","-"))</f>
      </c>
      <c r="Y1206" s="113" t="s">
        <v>1048</v>
      </c>
    </row>
    <row r="1207" ht="50.0" customHeight="true">
      <c r="A1207" s="113" t="s">
        <v>3370</v>
      </c>
      <c r="B1207" s="113" t="s">
        <v>4302</v>
      </c>
      <c r="C1207" s="113" t="s">
        <v>3767</v>
      </c>
      <c r="D1207" s="113"/>
      <c r="E1207" s="114" t="s">
        <v>3170</v>
      </c>
      <c r="F1207" s="113" t="s">
        <v>3373</v>
      </c>
      <c r="G1207" s="113" t="s">
        <v>127</v>
      </c>
      <c r="H1207" s="113" t="s">
        <v>103</v>
      </c>
      <c r="I1207" s="115" t="n">
        <v>92.28</v>
      </c>
      <c r="J1207" s="115" t="s">
        <v>80</v>
      </c>
      <c r="K1207" s="115" t="s">
        <v>81</v>
      </c>
      <c r="L1207" s="115" t="n">
        <v>87.28</v>
      </c>
      <c r="M1207" s="115" t="n">
        <v>3.0</v>
      </c>
      <c r="N1207" s="115"/>
      <c r="O1207" s="115"/>
      <c r="P1207" s="115"/>
      <c r="Q1207" s="115"/>
      <c r="R1207" s="115"/>
      <c r="S1207" s="115"/>
      <c r="T1207" s="115"/>
      <c r="U1207" s="115"/>
      <c r="V1207" s="115" t="s">
        <v>91</v>
      </c>
      <c r="W1207" s="115" t="s">
        <v>92</v>
      </c>
      <c r="X1207" s="113">
        <f>IF(INDIRECT("W1207")="Clássico","12.5%",IF(INDIRECT("W1207")="Premium","17.5%","-"))</f>
      </c>
      <c r="Y1207" s="113" t="s">
        <v>3172</v>
      </c>
    </row>
    <row r="1208" ht="50.0" customHeight="true">
      <c r="A1208" s="113" t="s">
        <v>4303</v>
      </c>
      <c r="B1208" s="113" t="s">
        <v>4304</v>
      </c>
      <c r="C1208" s="113" t="s">
        <v>4305</v>
      </c>
      <c r="D1208" s="113"/>
      <c r="E1208" s="114" t="s">
        <v>4306</v>
      </c>
      <c r="F1208" s="113" t="s">
        <v>4307</v>
      </c>
      <c r="G1208" s="113" t="s">
        <v>4307</v>
      </c>
      <c r="H1208" s="113" t="s">
        <v>103</v>
      </c>
      <c r="I1208" s="115" t="n">
        <v>223.68</v>
      </c>
      <c r="J1208" s="115" t="s">
        <v>80</v>
      </c>
      <c r="K1208" s="115" t="s">
        <v>81</v>
      </c>
      <c r="L1208" s="115" t="n">
        <v>218.68</v>
      </c>
      <c r="M1208" s="115" t="n">
        <v>3.0</v>
      </c>
      <c r="N1208" s="115"/>
      <c r="O1208" s="115"/>
      <c r="P1208" s="115"/>
      <c r="Q1208" s="115"/>
      <c r="R1208" s="115"/>
      <c r="S1208" s="115"/>
      <c r="T1208" s="115"/>
      <c r="U1208" s="115"/>
      <c r="V1208" s="115" t="s">
        <v>82</v>
      </c>
      <c r="W1208" s="115" t="s">
        <v>83</v>
      </c>
      <c r="X1208" s="113">
        <f>IF(INDIRECT("W1208")="Clássico","12%",IF(INDIRECT("W1208")="Premium","17%","-"))</f>
      </c>
      <c r="Y1208" s="113" t="s">
        <v>1041</v>
      </c>
    </row>
    <row r="1209" ht="50.0" customHeight="true">
      <c r="A1209" s="113" t="s">
        <v>4308</v>
      </c>
      <c r="B1209" s="113" t="s">
        <v>4309</v>
      </c>
      <c r="C1209" s="113" t="s">
        <v>4310</v>
      </c>
      <c r="D1209" s="113"/>
      <c r="E1209" s="114" t="s">
        <v>3368</v>
      </c>
      <c r="F1209" s="113" t="s">
        <v>4311</v>
      </c>
      <c r="G1209" s="113" t="s">
        <v>4311</v>
      </c>
      <c r="H1209" s="113" t="s">
        <v>103</v>
      </c>
      <c r="I1209" s="115" t="n">
        <v>297.05</v>
      </c>
      <c r="J1209" s="115" t="s">
        <v>80</v>
      </c>
      <c r="K1209" s="115" t="s">
        <v>81</v>
      </c>
      <c r="L1209" s="115" t="n">
        <v>292.05</v>
      </c>
      <c r="M1209" s="115" t="n">
        <v>3.0</v>
      </c>
      <c r="N1209" s="115"/>
      <c r="O1209" s="115"/>
      <c r="P1209" s="115"/>
      <c r="Q1209" s="115"/>
      <c r="R1209" s="115"/>
      <c r="S1209" s="115"/>
      <c r="T1209" s="115"/>
      <c r="U1209" s="115"/>
      <c r="V1209" s="115" t="s">
        <v>82</v>
      </c>
      <c r="W1209" s="115" t="s">
        <v>92</v>
      </c>
      <c r="X1209" s="113">
        <f>IF(INDIRECT("W1209")="Clássico","12%",IF(INDIRECT("W1209")="Premium","17%","-"))</f>
      </c>
      <c r="Y1209" s="113" t="s">
        <v>1774</v>
      </c>
    </row>
    <row r="1210" ht="50.0" customHeight="true">
      <c r="A1210" s="113" t="s">
        <v>4312</v>
      </c>
      <c r="B1210" s="113" t="s">
        <v>4313</v>
      </c>
      <c r="C1210" s="113" t="s">
        <v>4314</v>
      </c>
      <c r="D1210" s="113"/>
      <c r="E1210" s="114" t="s">
        <v>4223</v>
      </c>
      <c r="F1210" s="113" t="s">
        <v>4315</v>
      </c>
      <c r="G1210" s="113" t="s">
        <v>4315</v>
      </c>
      <c r="H1210" s="113" t="s">
        <v>103</v>
      </c>
      <c r="I1210" s="115" t="n">
        <v>1258.48</v>
      </c>
      <c r="J1210" s="115" t="s">
        <v>80</v>
      </c>
      <c r="K1210" s="115" t="s">
        <v>81</v>
      </c>
      <c r="L1210" s="115" t="n">
        <v>1253.48</v>
      </c>
      <c r="M1210" s="115" t="n">
        <v>3.0</v>
      </c>
      <c r="N1210" s="115"/>
      <c r="O1210" s="115"/>
      <c r="P1210" s="115"/>
      <c r="Q1210" s="115"/>
      <c r="R1210" s="115"/>
      <c r="S1210" s="115"/>
      <c r="T1210" s="115"/>
      <c r="U1210" s="115"/>
      <c r="V1210" s="115" t="s">
        <v>82</v>
      </c>
      <c r="W1210" s="115" t="s">
        <v>92</v>
      </c>
      <c r="X1210" s="113">
        <f>IF(INDIRECT("W1210")="Clássico","12%",IF(INDIRECT("W1210")="Premium","17%","-"))</f>
      </c>
      <c r="Y1210" s="113" t="s">
        <v>4225</v>
      </c>
    </row>
    <row r="1211" ht="50.0" customHeight="true">
      <c r="A1211" s="113" t="s">
        <v>4316</v>
      </c>
      <c r="B1211" s="113" t="s">
        <v>4317</v>
      </c>
      <c r="C1211" s="113" t="s">
        <v>4318</v>
      </c>
      <c r="D1211" s="113"/>
      <c r="E1211" s="114" t="s">
        <v>4319</v>
      </c>
      <c r="F1211" s="113" t="s">
        <v>4320</v>
      </c>
      <c r="G1211" s="113" t="s">
        <v>4320</v>
      </c>
      <c r="H1211" s="113" t="s">
        <v>103</v>
      </c>
      <c r="I1211" s="115" t="n">
        <v>399.9</v>
      </c>
      <c r="J1211" s="115" t="s">
        <v>80</v>
      </c>
      <c r="K1211" s="115" t="s">
        <v>81</v>
      </c>
      <c r="L1211" s="115" t="n">
        <v>394.9</v>
      </c>
      <c r="M1211" s="115" t="n">
        <v>3.0</v>
      </c>
      <c r="N1211" s="115"/>
      <c r="O1211" s="115"/>
      <c r="P1211" s="115"/>
      <c r="Q1211" s="115"/>
      <c r="R1211" s="115"/>
      <c r="S1211" s="115"/>
      <c r="T1211" s="115"/>
      <c r="U1211" s="115"/>
      <c r="V1211" s="115" t="s">
        <v>82</v>
      </c>
      <c r="W1211" s="115" t="s">
        <v>92</v>
      </c>
      <c r="X1211" s="113">
        <f>IF(INDIRECT("W1211")="Clássico","12%",IF(INDIRECT("W1211")="Premium","17%","-"))</f>
      </c>
      <c r="Y1211" s="113" t="s">
        <v>597</v>
      </c>
    </row>
    <row r="1212" ht="50.0" customHeight="true">
      <c r="A1212" s="113" t="s">
        <v>4321</v>
      </c>
      <c r="B1212" s="113" t="s">
        <v>4322</v>
      </c>
      <c r="C1212" s="113" t="s">
        <v>4323</v>
      </c>
      <c r="D1212" s="113"/>
      <c r="E1212" s="114" t="s">
        <v>3321</v>
      </c>
      <c r="F1212" s="113" t="s">
        <v>4324</v>
      </c>
      <c r="G1212" s="113" t="s">
        <v>4324</v>
      </c>
      <c r="H1212" s="113" t="s">
        <v>103</v>
      </c>
      <c r="I1212" s="115" t="n">
        <v>54.89</v>
      </c>
      <c r="J1212" s="115" t="s">
        <v>80</v>
      </c>
      <c r="K1212" s="115" t="s">
        <v>81</v>
      </c>
      <c r="L1212" s="115" t="n">
        <v>63.23</v>
      </c>
      <c r="M1212" s="115" t="n">
        <v>3.0</v>
      </c>
      <c r="N1212" s="115"/>
      <c r="O1212" s="115"/>
      <c r="P1212" s="115"/>
      <c r="Q1212" s="115"/>
      <c r="R1212" s="115"/>
      <c r="S1212" s="115"/>
      <c r="T1212" s="115"/>
      <c r="U1212" s="115"/>
      <c r="V1212" s="115" t="s">
        <v>91</v>
      </c>
      <c r="W1212" s="115" t="s">
        <v>92</v>
      </c>
      <c r="X1212" s="113">
        <f>IF(INDIRECT("W1212")="Clássico","12%",IF(INDIRECT("W1212")="Premium","17%","-"))</f>
      </c>
      <c r="Y1212" s="113" t="s">
        <v>93</v>
      </c>
    </row>
    <row r="1213" ht="50.0" customHeight="true">
      <c r="A1213" s="113" t="s">
        <v>22</v>
      </c>
      <c r="B1213" s="113" t="s">
        <v>4325</v>
      </c>
      <c r="C1213" s="113"/>
      <c r="D1213" s="113"/>
      <c r="E1213" s="113" t="s">
        <v>2166</v>
      </c>
      <c r="F1213" s="113" t="s">
        <v>4326</v>
      </c>
      <c r="G1213" s="113" t="s">
        <v>103</v>
      </c>
      <c r="H1213" s="113" t="s">
        <v>103</v>
      </c>
      <c r="I1213" s="115" t="n">
        <v>323.93</v>
      </c>
      <c r="J1213" s="115" t="s">
        <v>80</v>
      </c>
      <c r="K1213" s="113" t="s">
        <v>81</v>
      </c>
      <c r="L1213" s="115" t="n">
        <v>344.12</v>
      </c>
      <c r="M1213" s="115" t="n">
        <v>3.0</v>
      </c>
      <c r="N1213" s="115"/>
      <c r="O1213" s="115"/>
      <c r="P1213" s="115"/>
      <c r="Q1213" s="115"/>
      <c r="R1213" s="115"/>
      <c r="S1213" s="115"/>
      <c r="T1213" s="115"/>
      <c r="U1213" s="115"/>
      <c r="V1213" s="115" t="s">
        <v>82</v>
      </c>
      <c r="W1213" s="115" t="s">
        <v>83</v>
      </c>
      <c r="X1213" s="113">
        <f>IF(INDIRECT("W1213")="Clássico","12%",IF(INDIRECT("W1213")="Premium","17%","-"))</f>
      </c>
      <c r="Y1213" s="113" t="s">
        <v>1048</v>
      </c>
    </row>
    <row r="1214" ht="50.0" customHeight="true">
      <c r="A1214" s="113" t="s">
        <v>22</v>
      </c>
      <c r="B1214" s="113" t="s">
        <v>4325</v>
      </c>
      <c r="C1214" s="113" t="s">
        <v>4327</v>
      </c>
      <c r="D1214" s="113" t="s">
        <v>4327</v>
      </c>
      <c r="E1214" s="114" t="s">
        <v>4080</v>
      </c>
      <c r="F1214" s="116">
        <f>"     "&amp;F1213</f>
      </c>
      <c r="G1214" s="113" t="s">
        <v>4081</v>
      </c>
      <c r="H1214" s="113" t="s">
        <v>103</v>
      </c>
      <c r="I1214" s="113">
        <f>I1213</f>
      </c>
      <c r="J1214" s="113">
        <f>J1213&amp;"     "</f>
      </c>
      <c r="K1214" s="113" t="s">
        <v>81</v>
      </c>
      <c r="L1214" s="113">
        <f>L1213</f>
      </c>
      <c r="M1214" s="113">
        <f>M1213</f>
      </c>
      <c r="N1214" s="113">
        <f>N1213</f>
      </c>
      <c r="O1214" s="113">
        <f>O1213</f>
      </c>
      <c r="P1214" s="113">
        <f>P1213</f>
      </c>
      <c r="Q1214" s="113">
        <f>Q1213</f>
      </c>
      <c r="R1214" s="113">
        <f>R1213</f>
      </c>
      <c r="S1214" s="113">
        <f>S1213</f>
      </c>
      <c r="T1214" s="113">
        <f>T1213</f>
      </c>
      <c r="U1214" s="113">
        <f>U1213</f>
      </c>
      <c r="V1214" s="113">
        <f>V1213&amp;"     "</f>
      </c>
      <c r="W1214" s="113">
        <f>W1213&amp;"     "</f>
      </c>
      <c r="X1214" s="113">
        <f>X1213</f>
      </c>
      <c r="Y1214" s="113" t="s">
        <v>1048</v>
      </c>
    </row>
    <row r="1215" ht="50.0" customHeight="true">
      <c r="A1215" s="113" t="s">
        <v>22</v>
      </c>
      <c r="B1215" s="113" t="s">
        <v>4325</v>
      </c>
      <c r="C1215" s="113" t="s">
        <v>4328</v>
      </c>
      <c r="D1215" s="113" t="s">
        <v>4328</v>
      </c>
      <c r="E1215" s="114" t="s">
        <v>4083</v>
      </c>
      <c r="F1215" s="116">
        <f>"     "&amp;F1213</f>
      </c>
      <c r="G1215" s="113" t="s">
        <v>4084</v>
      </c>
      <c r="H1215" s="113" t="s">
        <v>103</v>
      </c>
      <c r="I1215" s="113">
        <f>I1213</f>
      </c>
      <c r="J1215" s="113">
        <f>J1213&amp;"     "</f>
      </c>
      <c r="K1215" s="113" t="s">
        <v>81</v>
      </c>
      <c r="L1215" s="113">
        <f>L1213</f>
      </c>
      <c r="M1215" s="113">
        <f>M1213</f>
      </c>
      <c r="N1215" s="113">
        <f>N1213</f>
      </c>
      <c r="O1215" s="113">
        <f>O1213</f>
      </c>
      <c r="P1215" s="113">
        <f>P1213</f>
      </c>
      <c r="Q1215" s="113">
        <f>Q1213</f>
      </c>
      <c r="R1215" s="113">
        <f>R1213</f>
      </c>
      <c r="S1215" s="113">
        <f>S1213</f>
      </c>
      <c r="T1215" s="113">
        <f>T1213</f>
      </c>
      <c r="U1215" s="113">
        <f>U1213</f>
      </c>
      <c r="V1215" s="113">
        <f>V1213&amp;"     "</f>
      </c>
      <c r="W1215" s="113">
        <f>W1213&amp;"     "</f>
      </c>
      <c r="X1215" s="113">
        <f>X1213</f>
      </c>
      <c r="Y1215" s="113" t="s">
        <v>1048</v>
      </c>
    </row>
    <row r="1216" ht="50.0" customHeight="true">
      <c r="A1216" s="113" t="s">
        <v>4329</v>
      </c>
      <c r="B1216" s="113" t="s">
        <v>4330</v>
      </c>
      <c r="C1216" s="113" t="s">
        <v>4331</v>
      </c>
      <c r="D1216" s="113"/>
      <c r="E1216" s="114" t="s">
        <v>3998</v>
      </c>
      <c r="F1216" s="113" t="s">
        <v>3999</v>
      </c>
      <c r="G1216" s="113" t="s">
        <v>3999</v>
      </c>
      <c r="H1216" s="113" t="s">
        <v>103</v>
      </c>
      <c r="I1216" s="115" t="n">
        <v>222.65</v>
      </c>
      <c r="J1216" s="115" t="s">
        <v>80</v>
      </c>
      <c r="K1216" s="115" t="s">
        <v>81</v>
      </c>
      <c r="L1216" s="115" t="n">
        <v>217.65</v>
      </c>
      <c r="M1216" s="115" t="n">
        <v>3.0</v>
      </c>
      <c r="N1216" s="115"/>
      <c r="O1216" s="115"/>
      <c r="P1216" s="115"/>
      <c r="Q1216" s="115"/>
      <c r="R1216" s="115"/>
      <c r="S1216" s="115"/>
      <c r="T1216" s="115"/>
      <c r="U1216" s="115"/>
      <c r="V1216" s="115" t="s">
        <v>82</v>
      </c>
      <c r="W1216" s="115" t="s">
        <v>83</v>
      </c>
      <c r="X1216" s="113">
        <f>IF(INDIRECT("W1216")="Clássico","12%",IF(INDIRECT("W1216")="Premium","17%","-"))</f>
      </c>
      <c r="Y1216" s="113" t="s">
        <v>2653</v>
      </c>
    </row>
    <row r="1217" ht="50.0" customHeight="true">
      <c r="A1217" s="113" t="s">
        <v>22</v>
      </c>
      <c r="B1217" s="113" t="s">
        <v>4332</v>
      </c>
      <c r="C1217" s="113"/>
      <c r="D1217" s="113"/>
      <c r="E1217" s="113" t="s">
        <v>22</v>
      </c>
      <c r="F1217" s="113" t="s">
        <v>4333</v>
      </c>
      <c r="G1217" s="113" t="s">
        <v>103</v>
      </c>
      <c r="H1217" s="113" t="s">
        <v>103</v>
      </c>
      <c r="I1217" s="115" t="n">
        <v>128.04</v>
      </c>
      <c r="J1217" s="115" t="s">
        <v>80</v>
      </c>
      <c r="K1217" s="113" t="s">
        <v>81</v>
      </c>
      <c r="L1217" s="115" t="n">
        <v>123.04</v>
      </c>
      <c r="M1217" s="115" t="n">
        <v>3.0</v>
      </c>
      <c r="N1217" s="115"/>
      <c r="O1217" s="115"/>
      <c r="P1217" s="115"/>
      <c r="Q1217" s="115"/>
      <c r="R1217" s="115"/>
      <c r="S1217" s="115"/>
      <c r="T1217" s="115"/>
      <c r="U1217" s="115"/>
      <c r="V1217" s="115" t="s">
        <v>82</v>
      </c>
      <c r="W1217" s="115" t="s">
        <v>83</v>
      </c>
      <c r="X1217" s="113">
        <f>IF(INDIRECT("W1217")="Clássico","12%",IF(INDIRECT("W1217")="Premium","17%","-"))</f>
      </c>
      <c r="Y1217" s="113" t="s">
        <v>3454</v>
      </c>
    </row>
    <row r="1218" ht="50.0" customHeight="true">
      <c r="A1218" s="113" t="s">
        <v>22</v>
      </c>
      <c r="B1218" s="113" t="s">
        <v>4332</v>
      </c>
      <c r="C1218" s="113" t="s">
        <v>4334</v>
      </c>
      <c r="D1218" s="113" t="s">
        <v>4334</v>
      </c>
      <c r="E1218" s="114" t="s">
        <v>4265</v>
      </c>
      <c r="F1218" s="116">
        <f>"     "&amp;F1217</f>
      </c>
      <c r="G1218" s="113" t="s">
        <v>4266</v>
      </c>
      <c r="H1218" s="113" t="s">
        <v>103</v>
      </c>
      <c r="I1218" s="113">
        <f>I1217</f>
      </c>
      <c r="J1218" s="113">
        <f>J1217&amp;"     "</f>
      </c>
      <c r="K1218" s="113" t="s">
        <v>81</v>
      </c>
      <c r="L1218" s="113">
        <f>L1217</f>
      </c>
      <c r="M1218" s="113">
        <f>M1217</f>
      </c>
      <c r="N1218" s="113">
        <f>N1217</f>
      </c>
      <c r="O1218" s="113">
        <f>O1217</f>
      </c>
      <c r="P1218" s="113">
        <f>P1217</f>
      </c>
      <c r="Q1218" s="113">
        <f>Q1217</f>
      </c>
      <c r="R1218" s="113">
        <f>R1217</f>
      </c>
      <c r="S1218" s="113">
        <f>S1217</f>
      </c>
      <c r="T1218" s="113">
        <f>T1217</f>
      </c>
      <c r="U1218" s="113">
        <f>U1217</f>
      </c>
      <c r="V1218" s="113">
        <f>V1217&amp;"     "</f>
      </c>
      <c r="W1218" s="113">
        <f>W1217&amp;"     "</f>
      </c>
      <c r="X1218" s="113">
        <f>X1217</f>
      </c>
      <c r="Y1218" s="113" t="s">
        <v>3454</v>
      </c>
    </row>
    <row r="1219" ht="50.0" customHeight="true">
      <c r="A1219" s="113" t="s">
        <v>22</v>
      </c>
      <c r="B1219" s="113" t="s">
        <v>4332</v>
      </c>
      <c r="C1219" s="113" t="s">
        <v>4335</v>
      </c>
      <c r="D1219" s="113" t="s">
        <v>4335</v>
      </c>
      <c r="E1219" s="114" t="s">
        <v>4268</v>
      </c>
      <c r="F1219" s="116">
        <f>"     "&amp;F1217</f>
      </c>
      <c r="G1219" s="113" t="s">
        <v>4269</v>
      </c>
      <c r="H1219" s="113" t="s">
        <v>103</v>
      </c>
      <c r="I1219" s="113">
        <f>I1217</f>
      </c>
      <c r="J1219" s="113">
        <f>J1217&amp;"     "</f>
      </c>
      <c r="K1219" s="113" t="s">
        <v>81</v>
      </c>
      <c r="L1219" s="113">
        <f>L1217</f>
      </c>
      <c r="M1219" s="113">
        <f>M1217</f>
      </c>
      <c r="N1219" s="113">
        <f>N1217</f>
      </c>
      <c r="O1219" s="113">
        <f>O1217</f>
      </c>
      <c r="P1219" s="113">
        <f>P1217</f>
      </c>
      <c r="Q1219" s="113">
        <f>Q1217</f>
      </c>
      <c r="R1219" s="113">
        <f>R1217</f>
      </c>
      <c r="S1219" s="113">
        <f>S1217</f>
      </c>
      <c r="T1219" s="113">
        <f>T1217</f>
      </c>
      <c r="U1219" s="113">
        <f>U1217</f>
      </c>
      <c r="V1219" s="113">
        <f>V1217&amp;"     "</f>
      </c>
      <c r="W1219" s="113">
        <f>W1217&amp;"     "</f>
      </c>
      <c r="X1219" s="113">
        <f>X1217</f>
      </c>
      <c r="Y1219" s="113" t="s">
        <v>3454</v>
      </c>
    </row>
    <row r="1220" ht="50.0" customHeight="true">
      <c r="A1220" s="113" t="s">
        <v>4336</v>
      </c>
      <c r="B1220" s="113" t="s">
        <v>4337</v>
      </c>
      <c r="C1220" s="113" t="s">
        <v>4338</v>
      </c>
      <c r="D1220" s="113"/>
      <c r="E1220" s="114" t="s">
        <v>3244</v>
      </c>
      <c r="F1220" s="113" t="s">
        <v>4339</v>
      </c>
      <c r="G1220" s="113" t="s">
        <v>4339</v>
      </c>
      <c r="H1220" s="113" t="s">
        <v>103</v>
      </c>
      <c r="I1220" s="115" t="n">
        <v>34.81</v>
      </c>
      <c r="J1220" s="115" t="s">
        <v>80</v>
      </c>
      <c r="K1220" s="115" t="s">
        <v>81</v>
      </c>
      <c r="L1220" s="115" t="n">
        <v>22.5</v>
      </c>
      <c r="M1220" s="115" t="n">
        <v>3.0</v>
      </c>
      <c r="N1220" s="115"/>
      <c r="O1220" s="115"/>
      <c r="P1220" s="115"/>
      <c r="Q1220" s="115"/>
      <c r="R1220" s="115"/>
      <c r="S1220" s="115"/>
      <c r="T1220" s="115"/>
      <c r="U1220" s="115"/>
      <c r="V1220" s="115" t="s">
        <v>91</v>
      </c>
      <c r="W1220" s="115" t="s">
        <v>92</v>
      </c>
      <c r="X1220" s="113">
        <f>IF(INDIRECT("W1220")="Clássico","12%",IF(INDIRECT("W1220")="Premium","17%","-"))</f>
      </c>
      <c r="Y1220" s="113" t="s">
        <v>3246</v>
      </c>
    </row>
    <row r="1221" ht="50.0" customHeight="true">
      <c r="A1221" s="113" t="s">
        <v>4340</v>
      </c>
      <c r="B1221" s="113" t="s">
        <v>4341</v>
      </c>
      <c r="C1221" s="113" t="s">
        <v>4342</v>
      </c>
      <c r="D1221" s="113"/>
      <c r="E1221" s="114" t="s">
        <v>1464</v>
      </c>
      <c r="F1221" s="113" t="s">
        <v>4343</v>
      </c>
      <c r="G1221" s="113" t="s">
        <v>1466</v>
      </c>
      <c r="H1221" s="113" t="s">
        <v>103</v>
      </c>
      <c r="I1221" s="115" t="n">
        <v>869.78</v>
      </c>
      <c r="J1221" s="115" t="s">
        <v>80</v>
      </c>
      <c r="K1221" s="115" t="s">
        <v>81</v>
      </c>
      <c r="L1221" s="115" t="n">
        <v>798.79</v>
      </c>
      <c r="M1221" s="115" t="n">
        <v>3.0</v>
      </c>
      <c r="N1221" s="115"/>
      <c r="O1221" s="115"/>
      <c r="P1221" s="115"/>
      <c r="Q1221" s="115"/>
      <c r="R1221" s="115"/>
      <c r="S1221" s="115"/>
      <c r="T1221" s="115"/>
      <c r="U1221" s="115"/>
      <c r="V1221" s="115" t="s">
        <v>82</v>
      </c>
      <c r="W1221" s="115" t="s">
        <v>83</v>
      </c>
      <c r="X1221" s="113">
        <f>IF(INDIRECT("W1221")="Clássico","12%",IF(INDIRECT("W1221")="Premium","17%","-"))</f>
      </c>
      <c r="Y1221" s="113" t="s">
        <v>1467</v>
      </c>
    </row>
    <row r="1222" ht="50.0" customHeight="true">
      <c r="A1222" s="113" t="s">
        <v>4344</v>
      </c>
      <c r="B1222" s="113" t="s">
        <v>4345</v>
      </c>
      <c r="C1222" s="113" t="s">
        <v>4346</v>
      </c>
      <c r="D1222" s="113"/>
      <c r="E1222" s="114" t="s">
        <v>3760</v>
      </c>
      <c r="F1222" s="113" t="s">
        <v>4347</v>
      </c>
      <c r="G1222" s="113" t="s">
        <v>4347</v>
      </c>
      <c r="H1222" s="113" t="s">
        <v>103</v>
      </c>
      <c r="I1222" s="115" t="n">
        <v>77.09</v>
      </c>
      <c r="J1222" s="115" t="s">
        <v>80</v>
      </c>
      <c r="K1222" s="115" t="s">
        <v>81</v>
      </c>
      <c r="L1222" s="115" t="n">
        <v>76.0</v>
      </c>
      <c r="M1222" s="115" t="n">
        <v>3.0</v>
      </c>
      <c r="N1222" s="115"/>
      <c r="O1222" s="115"/>
      <c r="P1222" s="115"/>
      <c r="Q1222" s="115"/>
      <c r="R1222" s="115"/>
      <c r="S1222" s="115"/>
      <c r="T1222" s="115"/>
      <c r="U1222" s="115"/>
      <c r="V1222" s="115" t="s">
        <v>91</v>
      </c>
      <c r="W1222" s="115" t="s">
        <v>83</v>
      </c>
      <c r="X1222" s="113">
        <f>IF(INDIRECT("W1222")="Clássico","12%",IF(INDIRECT("W1222")="Premium","17%","-"))</f>
      </c>
      <c r="Y1222" s="113" t="s">
        <v>367</v>
      </c>
    </row>
    <row r="1223" ht="50.0" customHeight="true">
      <c r="A1223" s="113" t="s">
        <v>4348</v>
      </c>
      <c r="B1223" s="113" t="s">
        <v>4349</v>
      </c>
      <c r="C1223" s="113" t="s">
        <v>4350</v>
      </c>
      <c r="D1223" s="113"/>
      <c r="E1223" s="114" t="s">
        <v>3508</v>
      </c>
      <c r="F1223" s="113" t="s">
        <v>4351</v>
      </c>
      <c r="G1223" s="113" t="s">
        <v>4351</v>
      </c>
      <c r="H1223" s="113" t="s">
        <v>103</v>
      </c>
      <c r="I1223" s="115" t="n">
        <v>79.62</v>
      </c>
      <c r="J1223" s="115" t="s">
        <v>80</v>
      </c>
      <c r="K1223" s="115" t="s">
        <v>81</v>
      </c>
      <c r="L1223" s="115" t="n">
        <v>74.62</v>
      </c>
      <c r="M1223" s="115" t="n">
        <v>3.0</v>
      </c>
      <c r="N1223" s="115"/>
      <c r="O1223" s="115"/>
      <c r="P1223" s="115"/>
      <c r="Q1223" s="115"/>
      <c r="R1223" s="115"/>
      <c r="S1223" s="115"/>
      <c r="T1223" s="115"/>
      <c r="U1223" s="115"/>
      <c r="V1223" s="115" t="s">
        <v>91</v>
      </c>
      <c r="W1223" s="115" t="s">
        <v>92</v>
      </c>
      <c r="X1223" s="113">
        <f>IF(INDIRECT("W1223")="Clássico","12%",IF(INDIRECT("W1223")="Premium","17%","-"))</f>
      </c>
      <c r="Y1223" s="113" t="s">
        <v>3510</v>
      </c>
    </row>
    <row r="1224" ht="50.0" customHeight="true">
      <c r="A1224" s="113" t="s">
        <v>22</v>
      </c>
      <c r="B1224" s="113" t="s">
        <v>4352</v>
      </c>
      <c r="C1224" s="113"/>
      <c r="D1224" s="113"/>
      <c r="E1224" s="113" t="s">
        <v>22</v>
      </c>
      <c r="F1224" s="113" t="s">
        <v>4353</v>
      </c>
      <c r="G1224" s="113" t="s">
        <v>103</v>
      </c>
      <c r="H1224" s="113" t="s">
        <v>103</v>
      </c>
      <c r="I1224" s="115" t="n">
        <v>162.03</v>
      </c>
      <c r="J1224" s="115" t="s">
        <v>80</v>
      </c>
      <c r="K1224" s="113" t="s">
        <v>81</v>
      </c>
      <c r="L1224" s="115" t="n">
        <v>157.03</v>
      </c>
      <c r="M1224" s="115" t="n">
        <v>3.0</v>
      </c>
      <c r="N1224" s="115"/>
      <c r="O1224" s="115"/>
      <c r="P1224" s="115"/>
      <c r="Q1224" s="115"/>
      <c r="R1224" s="115"/>
      <c r="S1224" s="115"/>
      <c r="T1224" s="115"/>
      <c r="U1224" s="115"/>
      <c r="V1224" s="115" t="s">
        <v>82</v>
      </c>
      <c r="W1224" s="115" t="s">
        <v>83</v>
      </c>
      <c r="X1224" s="113">
        <f>IF(INDIRECT("W1224")="Clássico","12%",IF(INDIRECT("W1224")="Premium","17%","-"))</f>
      </c>
      <c r="Y1224" s="113" t="s">
        <v>1154</v>
      </c>
    </row>
    <row r="1225" ht="50.0" customHeight="true">
      <c r="A1225" s="113" t="s">
        <v>22</v>
      </c>
      <c r="B1225" s="113" t="s">
        <v>4352</v>
      </c>
      <c r="C1225" s="113" t="s">
        <v>4354</v>
      </c>
      <c r="D1225" s="113" t="s">
        <v>4354</v>
      </c>
      <c r="E1225" s="114" t="s">
        <v>4355</v>
      </c>
      <c r="F1225" s="116">
        <f>"     "&amp;F1224</f>
      </c>
      <c r="G1225" s="113" t="s">
        <v>4356</v>
      </c>
      <c r="H1225" s="113" t="s">
        <v>103</v>
      </c>
      <c r="I1225" s="113">
        <f>I1224</f>
      </c>
      <c r="J1225" s="113">
        <f>J1224&amp;"     "</f>
      </c>
      <c r="K1225" s="113" t="s">
        <v>81</v>
      </c>
      <c r="L1225" s="113">
        <f>L1224</f>
      </c>
      <c r="M1225" s="113">
        <f>M1224</f>
      </c>
      <c r="N1225" s="113">
        <f>N1224</f>
      </c>
      <c r="O1225" s="113">
        <f>O1224</f>
      </c>
      <c r="P1225" s="113">
        <f>P1224</f>
      </c>
      <c r="Q1225" s="113">
        <f>Q1224</f>
      </c>
      <c r="R1225" s="113">
        <f>R1224</f>
      </c>
      <c r="S1225" s="113">
        <f>S1224</f>
      </c>
      <c r="T1225" s="113">
        <f>T1224</f>
      </c>
      <c r="U1225" s="113">
        <f>U1224</f>
      </c>
      <c r="V1225" s="113">
        <f>V1224&amp;"     "</f>
      </c>
      <c r="W1225" s="113">
        <f>W1224&amp;"     "</f>
      </c>
      <c r="X1225" s="113">
        <f>X1224</f>
      </c>
      <c r="Y1225" s="113" t="s">
        <v>1154</v>
      </c>
    </row>
    <row r="1226" ht="50.0" customHeight="true">
      <c r="A1226" s="113" t="s">
        <v>22</v>
      </c>
      <c r="B1226" s="113" t="s">
        <v>4352</v>
      </c>
      <c r="C1226" s="113" t="s">
        <v>4357</v>
      </c>
      <c r="D1226" s="113" t="s">
        <v>4357</v>
      </c>
      <c r="E1226" s="114" t="s">
        <v>4358</v>
      </c>
      <c r="F1226" s="116">
        <f>"     "&amp;F1224</f>
      </c>
      <c r="G1226" s="113" t="s">
        <v>4359</v>
      </c>
      <c r="H1226" s="113" t="s">
        <v>103</v>
      </c>
      <c r="I1226" s="113">
        <f>I1224</f>
      </c>
      <c r="J1226" s="113">
        <f>J1224&amp;"     "</f>
      </c>
      <c r="K1226" s="113" t="s">
        <v>81</v>
      </c>
      <c r="L1226" s="113">
        <f>L1224</f>
      </c>
      <c r="M1226" s="113">
        <f>M1224</f>
      </c>
      <c r="N1226" s="113">
        <f>N1224</f>
      </c>
      <c r="O1226" s="113">
        <f>O1224</f>
      </c>
      <c r="P1226" s="113">
        <f>P1224</f>
      </c>
      <c r="Q1226" s="113">
        <f>Q1224</f>
      </c>
      <c r="R1226" s="113">
        <f>R1224</f>
      </c>
      <c r="S1226" s="113">
        <f>S1224</f>
      </c>
      <c r="T1226" s="113">
        <f>T1224</f>
      </c>
      <c r="U1226" s="113">
        <f>U1224</f>
      </c>
      <c r="V1226" s="113">
        <f>V1224&amp;"     "</f>
      </c>
      <c r="W1226" s="113">
        <f>W1224&amp;"     "</f>
      </c>
      <c r="X1226" s="113">
        <f>X1224</f>
      </c>
      <c r="Y1226" s="113" t="s">
        <v>1154</v>
      </c>
    </row>
    <row r="1227" ht="50.0" customHeight="true">
      <c r="A1227" s="113" t="s">
        <v>3671</v>
      </c>
      <c r="B1227" s="113" t="s">
        <v>4360</v>
      </c>
      <c r="C1227" s="113" t="s">
        <v>4361</v>
      </c>
      <c r="D1227" s="113"/>
      <c r="E1227" s="114" t="s">
        <v>3674</v>
      </c>
      <c r="F1227" s="113" t="s">
        <v>3675</v>
      </c>
      <c r="G1227" s="113" t="s">
        <v>3675</v>
      </c>
      <c r="H1227" s="113" t="s">
        <v>103</v>
      </c>
      <c r="I1227" s="115" t="n">
        <v>112.53</v>
      </c>
      <c r="J1227" s="115" t="s">
        <v>80</v>
      </c>
      <c r="K1227" s="115" t="s">
        <v>81</v>
      </c>
      <c r="L1227" s="115" t="n">
        <v>115.13</v>
      </c>
      <c r="M1227" s="115" t="n">
        <v>3.0</v>
      </c>
      <c r="N1227" s="115"/>
      <c r="O1227" s="115"/>
      <c r="P1227" s="115"/>
      <c r="Q1227" s="115"/>
      <c r="R1227" s="115"/>
      <c r="S1227" s="115"/>
      <c r="T1227" s="115"/>
      <c r="U1227" s="115"/>
      <c r="V1227" s="115" t="s">
        <v>82</v>
      </c>
      <c r="W1227" s="115" t="s">
        <v>92</v>
      </c>
      <c r="X1227" s="113">
        <f>IF(INDIRECT("W1227")="Clássico","12%",IF(INDIRECT("W1227")="Premium","17%","-"))</f>
      </c>
      <c r="Y1227" s="113" t="s">
        <v>200</v>
      </c>
    </row>
    <row r="1228" ht="50.0" customHeight="true">
      <c r="A1228" s="113" t="s">
        <v>4362</v>
      </c>
      <c r="B1228" s="113" t="s">
        <v>4363</v>
      </c>
      <c r="C1228" s="113" t="s">
        <v>4364</v>
      </c>
      <c r="D1228" s="113"/>
      <c r="E1228" s="114" t="s">
        <v>3993</v>
      </c>
      <c r="F1228" s="113" t="s">
        <v>4365</v>
      </c>
      <c r="G1228" s="113" t="s">
        <v>4365</v>
      </c>
      <c r="H1228" s="113" t="s">
        <v>103</v>
      </c>
      <c r="I1228" s="115" t="n">
        <v>65.7</v>
      </c>
      <c r="J1228" s="115" t="s">
        <v>80</v>
      </c>
      <c r="K1228" s="115" t="s">
        <v>81</v>
      </c>
      <c r="L1228" s="115" t="n">
        <v>51.44</v>
      </c>
      <c r="M1228" s="115" t="n">
        <v>3.0</v>
      </c>
      <c r="N1228" s="115"/>
      <c r="O1228" s="115"/>
      <c r="P1228" s="115"/>
      <c r="Q1228" s="115"/>
      <c r="R1228" s="115"/>
      <c r="S1228" s="115"/>
      <c r="T1228" s="115"/>
      <c r="U1228" s="115"/>
      <c r="V1228" s="115" t="s">
        <v>91</v>
      </c>
      <c r="W1228" s="115" t="s">
        <v>92</v>
      </c>
      <c r="X1228" s="113">
        <f>IF(INDIRECT("W1228")="Clássico","12%",IF(INDIRECT("W1228")="Premium","17%","-"))</f>
      </c>
      <c r="Y1228" s="113" t="s">
        <v>3308</v>
      </c>
    </row>
    <row r="1229" ht="50.0" customHeight="true">
      <c r="A1229" s="113" t="s">
        <v>4366</v>
      </c>
      <c r="B1229" s="113" t="s">
        <v>4367</v>
      </c>
      <c r="C1229" s="113" t="s">
        <v>4368</v>
      </c>
      <c r="D1229" s="113"/>
      <c r="E1229" s="114" t="s">
        <v>4369</v>
      </c>
      <c r="F1229" s="113" t="s">
        <v>4370</v>
      </c>
      <c r="G1229" s="113" t="s">
        <v>4370</v>
      </c>
      <c r="H1229" s="113" t="s">
        <v>103</v>
      </c>
      <c r="I1229" s="115" t="n">
        <v>597.35</v>
      </c>
      <c r="J1229" s="115" t="s">
        <v>80</v>
      </c>
      <c r="K1229" s="115" t="s">
        <v>81</v>
      </c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 t="s">
        <v>82</v>
      </c>
      <c r="W1229" s="115" t="s">
        <v>92</v>
      </c>
      <c r="X1229" s="113">
        <f>IF(INDIRECT("W1229")="Clássico","11.5%",IF(INDIRECT("W1229")="Premium","16.5%","-"))</f>
      </c>
      <c r="Y1229" s="113" t="s">
        <v>684</v>
      </c>
    </row>
    <row r="1230" ht="50.0" customHeight="true">
      <c r="A1230" s="113" t="s">
        <v>4371</v>
      </c>
      <c r="B1230" s="113" t="s">
        <v>4372</v>
      </c>
      <c r="C1230" s="113" t="s">
        <v>4373</v>
      </c>
      <c r="D1230" s="113"/>
      <c r="E1230" s="114" t="s">
        <v>3316</v>
      </c>
      <c r="F1230" s="113" t="s">
        <v>4374</v>
      </c>
      <c r="G1230" s="113" t="s">
        <v>4374</v>
      </c>
      <c r="H1230" s="113" t="s">
        <v>103</v>
      </c>
      <c r="I1230" s="115" t="n">
        <v>183.47</v>
      </c>
      <c r="J1230" s="115" t="s">
        <v>80</v>
      </c>
      <c r="K1230" s="115" t="s">
        <v>81</v>
      </c>
      <c r="L1230" s="115" t="n">
        <v>178.47</v>
      </c>
      <c r="M1230" s="115" t="n">
        <v>3.0</v>
      </c>
      <c r="N1230" s="115"/>
      <c r="O1230" s="115"/>
      <c r="P1230" s="115"/>
      <c r="Q1230" s="115"/>
      <c r="R1230" s="115"/>
      <c r="S1230" s="115"/>
      <c r="T1230" s="115"/>
      <c r="U1230" s="115"/>
      <c r="V1230" s="115" t="s">
        <v>82</v>
      </c>
      <c r="W1230" s="115" t="s">
        <v>92</v>
      </c>
      <c r="X1230" s="113">
        <f>IF(INDIRECT("W1230")="Clássico","12%",IF(INDIRECT("W1230")="Premium","17%","-"))</f>
      </c>
      <c r="Y1230" s="113" t="s">
        <v>1751</v>
      </c>
    </row>
    <row r="1231" ht="50.0" customHeight="true">
      <c r="A1231" s="113" t="s">
        <v>3751</v>
      </c>
      <c r="B1231" s="113" t="s">
        <v>4375</v>
      </c>
      <c r="C1231" s="113" t="s">
        <v>4376</v>
      </c>
      <c r="D1231" s="113"/>
      <c r="E1231" s="114" t="s">
        <v>3754</v>
      </c>
      <c r="F1231" s="113" t="s">
        <v>3755</v>
      </c>
      <c r="G1231" s="113" t="s">
        <v>3755</v>
      </c>
      <c r="H1231" s="113" t="s">
        <v>103</v>
      </c>
      <c r="I1231" s="115" t="n">
        <v>332.99</v>
      </c>
      <c r="J1231" s="115" t="s">
        <v>80</v>
      </c>
      <c r="K1231" s="115" t="s">
        <v>81</v>
      </c>
      <c r="L1231" s="115" t="n">
        <v>327.99</v>
      </c>
      <c r="M1231" s="115" t="n">
        <v>3.0</v>
      </c>
      <c r="N1231" s="115"/>
      <c r="O1231" s="115"/>
      <c r="P1231" s="115"/>
      <c r="Q1231" s="115"/>
      <c r="R1231" s="115"/>
      <c r="S1231" s="115"/>
      <c r="T1231" s="115"/>
      <c r="U1231" s="115"/>
      <c r="V1231" s="115" t="s">
        <v>82</v>
      </c>
      <c r="W1231" s="115" t="s">
        <v>83</v>
      </c>
      <c r="X1231" s="113">
        <f>IF(INDIRECT("W1231")="Clássico","12%",IF(INDIRECT("W1231")="Premium","17%","-"))</f>
      </c>
      <c r="Y1231" s="113" t="s">
        <v>3756</v>
      </c>
    </row>
    <row r="1232" ht="50.0" customHeight="true">
      <c r="A1232" s="113" t="s">
        <v>4377</v>
      </c>
      <c r="B1232" s="113" t="s">
        <v>4378</v>
      </c>
      <c r="C1232" s="113" t="s">
        <v>4379</v>
      </c>
      <c r="D1232" s="113"/>
      <c r="E1232" s="114" t="s">
        <v>4319</v>
      </c>
      <c r="F1232" s="113" t="s">
        <v>4320</v>
      </c>
      <c r="G1232" s="113" t="s">
        <v>4320</v>
      </c>
      <c r="H1232" s="113" t="s">
        <v>103</v>
      </c>
      <c r="I1232" s="115" t="n">
        <v>368.55</v>
      </c>
      <c r="J1232" s="115" t="s">
        <v>80</v>
      </c>
      <c r="K1232" s="115" t="s">
        <v>81</v>
      </c>
      <c r="L1232" s="115" t="n">
        <v>363.55</v>
      </c>
      <c r="M1232" s="115" t="n">
        <v>3.0</v>
      </c>
      <c r="N1232" s="115"/>
      <c r="O1232" s="115"/>
      <c r="P1232" s="115"/>
      <c r="Q1232" s="115"/>
      <c r="R1232" s="115"/>
      <c r="S1232" s="115"/>
      <c r="T1232" s="115"/>
      <c r="U1232" s="115"/>
      <c r="V1232" s="115" t="s">
        <v>82</v>
      </c>
      <c r="W1232" s="115" t="s">
        <v>83</v>
      </c>
      <c r="X1232" s="113">
        <f>IF(INDIRECT("W1232")="Clássico","12%",IF(INDIRECT("W1232")="Premium","17%","-"))</f>
      </c>
      <c r="Y1232" s="113" t="s">
        <v>4380</v>
      </c>
    </row>
    <row r="1233" ht="50.0" customHeight="true">
      <c r="A1233" s="113" t="s">
        <v>4381</v>
      </c>
      <c r="B1233" s="113" t="s">
        <v>4382</v>
      </c>
      <c r="C1233" s="113" t="s">
        <v>4383</v>
      </c>
      <c r="D1233" s="113"/>
      <c r="E1233" s="114" t="s">
        <v>4075</v>
      </c>
      <c r="F1233" s="113" t="s">
        <v>4384</v>
      </c>
      <c r="G1233" s="113" t="s">
        <v>4384</v>
      </c>
      <c r="H1233" s="113" t="s">
        <v>103</v>
      </c>
      <c r="I1233" s="115" t="n">
        <v>97.46</v>
      </c>
      <c r="J1233" s="115" t="s">
        <v>80</v>
      </c>
      <c r="K1233" s="115" t="s">
        <v>81</v>
      </c>
      <c r="L1233" s="115" t="n">
        <v>92.46</v>
      </c>
      <c r="M1233" s="115" t="n">
        <v>3.0</v>
      </c>
      <c r="N1233" s="115"/>
      <c r="O1233" s="115"/>
      <c r="P1233" s="115"/>
      <c r="Q1233" s="115"/>
      <c r="R1233" s="115"/>
      <c r="S1233" s="115"/>
      <c r="T1233" s="115"/>
      <c r="U1233" s="115"/>
      <c r="V1233" s="115" t="s">
        <v>82</v>
      </c>
      <c r="W1233" s="115" t="s">
        <v>92</v>
      </c>
      <c r="X1233" s="113">
        <f>IF(INDIRECT("W1233")="Clássico","12%",IF(INDIRECT("W1233")="Premium","17%","-"))</f>
      </c>
      <c r="Y1233" s="113" t="s">
        <v>1148</v>
      </c>
    </row>
    <row r="1234" ht="50.0" customHeight="true">
      <c r="A1234" s="113" t="s">
        <v>4385</v>
      </c>
      <c r="B1234" s="113" t="s">
        <v>4386</v>
      </c>
      <c r="C1234" s="113" t="s">
        <v>4387</v>
      </c>
      <c r="D1234" s="113"/>
      <c r="E1234" s="114" t="s">
        <v>3339</v>
      </c>
      <c r="F1234" s="113" t="s">
        <v>4388</v>
      </c>
      <c r="G1234" s="113" t="s">
        <v>4388</v>
      </c>
      <c r="H1234" s="113" t="s">
        <v>103</v>
      </c>
      <c r="I1234" s="115" t="n">
        <v>293.55</v>
      </c>
      <c r="J1234" s="115" t="s">
        <v>80</v>
      </c>
      <c r="K1234" s="115" t="s">
        <v>81</v>
      </c>
      <c r="L1234" s="115" t="n">
        <v>288.55</v>
      </c>
      <c r="M1234" s="115" t="n">
        <v>3.0</v>
      </c>
      <c r="N1234" s="115"/>
      <c r="O1234" s="115"/>
      <c r="P1234" s="115"/>
      <c r="Q1234" s="115"/>
      <c r="R1234" s="115"/>
      <c r="S1234" s="115"/>
      <c r="T1234" s="115"/>
      <c r="U1234" s="115"/>
      <c r="V1234" s="115" t="s">
        <v>82</v>
      </c>
      <c r="W1234" s="115" t="s">
        <v>83</v>
      </c>
      <c r="X1234" s="113">
        <f>IF(INDIRECT("W1234")="Clássico","12%",IF(INDIRECT("W1234")="Premium","17%","-"))</f>
      </c>
      <c r="Y1234" s="113" t="s">
        <v>121</v>
      </c>
    </row>
    <row r="1235" ht="50.0" customHeight="true">
      <c r="A1235" s="113" t="s">
        <v>4389</v>
      </c>
      <c r="B1235" s="113" t="s">
        <v>4390</v>
      </c>
      <c r="C1235" s="113" t="s">
        <v>4391</v>
      </c>
      <c r="D1235" s="113"/>
      <c r="E1235" s="114" t="s">
        <v>3271</v>
      </c>
      <c r="F1235" s="113" t="s">
        <v>4392</v>
      </c>
      <c r="G1235" s="113" t="s">
        <v>4392</v>
      </c>
      <c r="H1235" s="113" t="s">
        <v>103</v>
      </c>
      <c r="I1235" s="115" t="n">
        <v>35.94</v>
      </c>
      <c r="J1235" s="115" t="s">
        <v>80</v>
      </c>
      <c r="K1235" s="115" t="s">
        <v>81</v>
      </c>
      <c r="L1235" s="115" t="n">
        <v>30.94</v>
      </c>
      <c r="M1235" s="115" t="n">
        <v>3.0</v>
      </c>
      <c r="N1235" s="115"/>
      <c r="O1235" s="115"/>
      <c r="P1235" s="115"/>
      <c r="Q1235" s="115"/>
      <c r="R1235" s="115"/>
      <c r="S1235" s="115"/>
      <c r="T1235" s="115"/>
      <c r="U1235" s="115"/>
      <c r="V1235" s="115" t="s">
        <v>91</v>
      </c>
      <c r="W1235" s="115" t="s">
        <v>83</v>
      </c>
      <c r="X1235" s="113">
        <f>IF(INDIRECT("W1235")="Clássico","12%",IF(INDIRECT("W1235")="Premium","17%","-"))</f>
      </c>
      <c r="Y1235" s="113" t="s">
        <v>1048</v>
      </c>
    </row>
    <row r="1236" ht="50.0" customHeight="true">
      <c r="A1236" s="113" t="s">
        <v>4393</v>
      </c>
      <c r="B1236" s="113" t="s">
        <v>4394</v>
      </c>
      <c r="C1236" s="113" t="s">
        <v>4395</v>
      </c>
      <c r="D1236" s="113"/>
      <c r="E1236" s="114" t="s">
        <v>4284</v>
      </c>
      <c r="F1236" s="113" t="s">
        <v>4396</v>
      </c>
      <c r="G1236" s="113" t="s">
        <v>127</v>
      </c>
      <c r="H1236" s="113" t="s">
        <v>103</v>
      </c>
      <c r="I1236" s="115" t="n">
        <v>322.79</v>
      </c>
      <c r="J1236" s="115" t="s">
        <v>80</v>
      </c>
      <c r="K1236" s="115" t="s">
        <v>81</v>
      </c>
      <c r="L1236" s="115" t="n">
        <v>317.79</v>
      </c>
      <c r="M1236" s="115" t="n">
        <v>3.0</v>
      </c>
      <c r="N1236" s="115"/>
      <c r="O1236" s="115"/>
      <c r="P1236" s="115"/>
      <c r="Q1236" s="115"/>
      <c r="R1236" s="115"/>
      <c r="S1236" s="115"/>
      <c r="T1236" s="115"/>
      <c r="U1236" s="115"/>
      <c r="V1236" s="115" t="s">
        <v>82</v>
      </c>
      <c r="W1236" s="115" t="s">
        <v>83</v>
      </c>
      <c r="X1236" s="113">
        <f>IF(INDIRECT("W1236")="Clássico","12%",IF(INDIRECT("W1236")="Premium","17%","-"))</f>
      </c>
      <c r="Y1236" s="113" t="s">
        <v>367</v>
      </c>
    </row>
    <row r="1237" ht="50.0" customHeight="true">
      <c r="A1237" s="113" t="s">
        <v>4397</v>
      </c>
      <c r="B1237" s="113" t="s">
        <v>4398</v>
      </c>
      <c r="C1237" s="113" t="s">
        <v>4399</v>
      </c>
      <c r="D1237" s="113"/>
      <c r="E1237" s="114" t="s">
        <v>625</v>
      </c>
      <c r="F1237" s="113" t="s">
        <v>3703</v>
      </c>
      <c r="G1237" s="113" t="s">
        <v>3703</v>
      </c>
      <c r="H1237" s="113" t="s">
        <v>103</v>
      </c>
      <c r="I1237" s="115" t="n">
        <v>375.83</v>
      </c>
      <c r="J1237" s="115" t="s">
        <v>80</v>
      </c>
      <c r="K1237" s="115" t="s">
        <v>81</v>
      </c>
      <c r="L1237" s="115" t="n">
        <v>369.66</v>
      </c>
      <c r="M1237" s="115" t="n">
        <v>3.0</v>
      </c>
      <c r="N1237" s="115"/>
      <c r="O1237" s="115"/>
      <c r="P1237" s="115"/>
      <c r="Q1237" s="115"/>
      <c r="R1237" s="115"/>
      <c r="S1237" s="115"/>
      <c r="T1237" s="115"/>
      <c r="U1237" s="115"/>
      <c r="V1237" s="115" t="s">
        <v>82</v>
      </c>
      <c r="W1237" s="115" t="s">
        <v>92</v>
      </c>
      <c r="X1237" s="113">
        <f>IF(INDIRECT("W1237")="Clássico","12%",IF(INDIRECT("W1237")="Premium","17%","-"))</f>
      </c>
      <c r="Y1237" s="113" t="s">
        <v>2276</v>
      </c>
    </row>
    <row r="1238" ht="50.0" customHeight="true">
      <c r="A1238" s="113" t="s">
        <v>4400</v>
      </c>
      <c r="B1238" s="113" t="s">
        <v>4401</v>
      </c>
      <c r="C1238" s="113" t="s">
        <v>4402</v>
      </c>
      <c r="D1238" s="113"/>
      <c r="E1238" s="114" t="s">
        <v>4403</v>
      </c>
      <c r="F1238" s="113" t="s">
        <v>4404</v>
      </c>
      <c r="G1238" s="113" t="s">
        <v>4404</v>
      </c>
      <c r="H1238" s="113" t="s">
        <v>103</v>
      </c>
      <c r="I1238" s="115" t="n">
        <v>227.71</v>
      </c>
      <c r="J1238" s="115" t="s">
        <v>80</v>
      </c>
      <c r="K1238" s="115" t="s">
        <v>81</v>
      </c>
      <c r="L1238" s="115" t="n">
        <v>222.71</v>
      </c>
      <c r="M1238" s="115" t="n">
        <v>3.0</v>
      </c>
      <c r="N1238" s="115"/>
      <c r="O1238" s="115"/>
      <c r="P1238" s="115"/>
      <c r="Q1238" s="115"/>
      <c r="R1238" s="115"/>
      <c r="S1238" s="115"/>
      <c r="T1238" s="115"/>
      <c r="U1238" s="115"/>
      <c r="V1238" s="115" t="s">
        <v>82</v>
      </c>
      <c r="W1238" s="115" t="s">
        <v>83</v>
      </c>
      <c r="X1238" s="113">
        <f>IF(INDIRECT("W1238")="Clássico","12%",IF(INDIRECT("W1238")="Premium","17%","-"))</f>
      </c>
      <c r="Y1238" s="113" t="s">
        <v>3756</v>
      </c>
    </row>
    <row r="1239" ht="50.0" customHeight="true">
      <c r="A1239" s="113" t="s">
        <v>4405</v>
      </c>
      <c r="B1239" s="113" t="s">
        <v>4406</v>
      </c>
      <c r="C1239" s="113" t="s">
        <v>4407</v>
      </c>
      <c r="D1239" s="113"/>
      <c r="E1239" s="114" t="s">
        <v>4408</v>
      </c>
      <c r="F1239" s="113" t="s">
        <v>4409</v>
      </c>
      <c r="G1239" s="113" t="s">
        <v>4409</v>
      </c>
      <c r="H1239" s="113" t="s">
        <v>103</v>
      </c>
      <c r="I1239" s="115" t="n">
        <v>1845.96</v>
      </c>
      <c r="J1239" s="115" t="s">
        <v>80</v>
      </c>
      <c r="K1239" s="115" t="s">
        <v>81</v>
      </c>
      <c r="L1239" s="115" t="n">
        <v>1840.96</v>
      </c>
      <c r="M1239" s="115" t="n">
        <v>3.0</v>
      </c>
      <c r="N1239" s="115"/>
      <c r="O1239" s="115"/>
      <c r="P1239" s="115"/>
      <c r="Q1239" s="115"/>
      <c r="R1239" s="115"/>
      <c r="S1239" s="115"/>
      <c r="T1239" s="115"/>
      <c r="U1239" s="115"/>
      <c r="V1239" s="115" t="s">
        <v>82</v>
      </c>
      <c r="W1239" s="115" t="s">
        <v>92</v>
      </c>
      <c r="X1239" s="113">
        <f>IF(INDIRECT("W1239")="Clássico","12%",IF(INDIRECT("W1239")="Premium","17%","-"))</f>
      </c>
      <c r="Y1239" s="113" t="s">
        <v>164</v>
      </c>
    </row>
    <row r="1240" ht="50.0" customHeight="true">
      <c r="A1240" s="113" t="s">
        <v>4058</v>
      </c>
      <c r="B1240" s="113" t="s">
        <v>4410</v>
      </c>
      <c r="C1240" s="113" t="s">
        <v>4060</v>
      </c>
      <c r="D1240" s="113"/>
      <c r="E1240" s="114" t="s">
        <v>4061</v>
      </c>
      <c r="F1240" s="113" t="s">
        <v>4411</v>
      </c>
      <c r="G1240" s="113" t="s">
        <v>103</v>
      </c>
      <c r="H1240" s="113" t="s">
        <v>103</v>
      </c>
      <c r="I1240" s="115" t="n">
        <v>360.64</v>
      </c>
      <c r="J1240" s="115" t="s">
        <v>80</v>
      </c>
      <c r="K1240" s="115" t="s">
        <v>81</v>
      </c>
      <c r="L1240" s="115" t="n">
        <v>355.64</v>
      </c>
      <c r="M1240" s="115" t="n">
        <v>3.0</v>
      </c>
      <c r="N1240" s="115"/>
      <c r="O1240" s="115"/>
      <c r="P1240" s="115"/>
      <c r="Q1240" s="115"/>
      <c r="R1240" s="115"/>
      <c r="S1240" s="115"/>
      <c r="T1240" s="115"/>
      <c r="U1240" s="115"/>
      <c r="V1240" s="115" t="s">
        <v>82</v>
      </c>
      <c r="W1240" s="115" t="s">
        <v>92</v>
      </c>
      <c r="X1240" s="113">
        <f>IF(INDIRECT("W1240")="Clássico","12%",IF(INDIRECT("W1240")="Premium","17%","-"))</f>
      </c>
      <c r="Y1240" s="113" t="s">
        <v>4063</v>
      </c>
    </row>
    <row r="1241" ht="50.0" customHeight="true">
      <c r="A1241" s="113" t="s">
        <v>4412</v>
      </c>
      <c r="B1241" s="113" t="s">
        <v>4413</v>
      </c>
      <c r="C1241" s="113" t="s">
        <v>4414</v>
      </c>
      <c r="D1241" s="113"/>
      <c r="E1241" s="114" t="s">
        <v>4149</v>
      </c>
      <c r="F1241" s="113" t="s">
        <v>4415</v>
      </c>
      <c r="G1241" s="113" t="s">
        <v>4415</v>
      </c>
      <c r="H1241" s="113" t="s">
        <v>103</v>
      </c>
      <c r="I1241" s="115" t="n">
        <v>100.62</v>
      </c>
      <c r="J1241" s="115" t="s">
        <v>80</v>
      </c>
      <c r="K1241" s="115" t="s">
        <v>81</v>
      </c>
      <c r="L1241" s="115" t="n">
        <v>95.62</v>
      </c>
      <c r="M1241" s="115" t="n">
        <v>3.0</v>
      </c>
      <c r="N1241" s="115"/>
      <c r="O1241" s="115"/>
      <c r="P1241" s="115"/>
      <c r="Q1241" s="115"/>
      <c r="R1241" s="115"/>
      <c r="S1241" s="115"/>
      <c r="T1241" s="115"/>
      <c r="U1241" s="115"/>
      <c r="V1241" s="115" t="s">
        <v>82</v>
      </c>
      <c r="W1241" s="115" t="s">
        <v>92</v>
      </c>
      <c r="X1241" s="113">
        <f>IF(INDIRECT("W1241")="Clássico","12%",IF(INDIRECT("W1241")="Premium","17%","-"))</f>
      </c>
      <c r="Y1241" s="113" t="s">
        <v>627</v>
      </c>
    </row>
    <row r="1242" ht="50.0" customHeight="true">
      <c r="A1242" s="113" t="s">
        <v>4416</v>
      </c>
      <c r="B1242" s="113" t="s">
        <v>4417</v>
      </c>
      <c r="C1242" s="113" t="s">
        <v>4418</v>
      </c>
      <c r="D1242" s="113"/>
      <c r="E1242" s="114" t="s">
        <v>3562</v>
      </c>
      <c r="F1242" s="113" t="s">
        <v>4419</v>
      </c>
      <c r="G1242" s="113" t="s">
        <v>4419</v>
      </c>
      <c r="H1242" s="113" t="s">
        <v>103</v>
      </c>
      <c r="I1242" s="115" t="n">
        <v>501.15</v>
      </c>
      <c r="J1242" s="115" t="s">
        <v>80</v>
      </c>
      <c r="K1242" s="115" t="s">
        <v>81</v>
      </c>
      <c r="L1242" s="115" t="n">
        <v>496.15</v>
      </c>
      <c r="M1242" s="115" t="n">
        <v>3.0</v>
      </c>
      <c r="N1242" s="115"/>
      <c r="O1242" s="115"/>
      <c r="P1242" s="115"/>
      <c r="Q1242" s="115"/>
      <c r="R1242" s="115"/>
      <c r="S1242" s="115"/>
      <c r="T1242" s="115"/>
      <c r="U1242" s="115"/>
      <c r="V1242" s="115" t="s">
        <v>82</v>
      </c>
      <c r="W1242" s="115" t="s">
        <v>83</v>
      </c>
      <c r="X1242" s="113">
        <f>IF(INDIRECT("W1242")="Clássico","12%",IF(INDIRECT("W1242")="Premium","17%","-"))</f>
      </c>
      <c r="Y1242" s="113" t="s">
        <v>3607</v>
      </c>
    </row>
    <row r="1243" ht="50.0" customHeight="true">
      <c r="A1243" s="113" t="s">
        <v>4420</v>
      </c>
      <c r="B1243" s="113" t="s">
        <v>4421</v>
      </c>
      <c r="C1243" s="113" t="s">
        <v>4422</v>
      </c>
      <c r="D1243" s="113"/>
      <c r="E1243" s="114" t="s">
        <v>1464</v>
      </c>
      <c r="F1243" s="113" t="s">
        <v>4423</v>
      </c>
      <c r="G1243" s="113" t="s">
        <v>1466</v>
      </c>
      <c r="H1243" s="113" t="s">
        <v>103</v>
      </c>
      <c r="I1243" s="115" t="n">
        <v>1007.59</v>
      </c>
      <c r="J1243" s="115" t="s">
        <v>80</v>
      </c>
      <c r="K1243" s="115" t="s">
        <v>81</v>
      </c>
      <c r="L1243" s="115" t="n">
        <v>1002.59</v>
      </c>
      <c r="M1243" s="115" t="n">
        <v>3.0</v>
      </c>
      <c r="N1243" s="115"/>
      <c r="O1243" s="115"/>
      <c r="P1243" s="115"/>
      <c r="Q1243" s="115"/>
      <c r="R1243" s="115"/>
      <c r="S1243" s="115"/>
      <c r="T1243" s="115"/>
      <c r="U1243" s="115"/>
      <c r="V1243" s="115" t="s">
        <v>82</v>
      </c>
      <c r="W1243" s="115" t="s">
        <v>92</v>
      </c>
      <c r="X1243" s="113">
        <f>IF(INDIRECT("W1243")="Clássico","12%",IF(INDIRECT("W1243")="Premium","17%","-"))</f>
      </c>
      <c r="Y1243" s="113" t="s">
        <v>1467</v>
      </c>
    </row>
    <row r="1244" ht="50.0" customHeight="true">
      <c r="A1244" s="113" t="s">
        <v>4424</v>
      </c>
      <c r="B1244" s="113" t="s">
        <v>4425</v>
      </c>
      <c r="C1244" s="113" t="s">
        <v>4426</v>
      </c>
      <c r="D1244" s="113"/>
      <c r="E1244" s="114" t="s">
        <v>4427</v>
      </c>
      <c r="F1244" s="113" t="s">
        <v>4428</v>
      </c>
      <c r="G1244" s="113" t="s">
        <v>4428</v>
      </c>
      <c r="H1244" s="113" t="s">
        <v>103</v>
      </c>
      <c r="I1244" s="115" t="n">
        <v>126.38</v>
      </c>
      <c r="J1244" s="115" t="s">
        <v>80</v>
      </c>
      <c r="K1244" s="115" t="s">
        <v>81</v>
      </c>
      <c r="L1244" s="115" t="n">
        <v>121.38</v>
      </c>
      <c r="M1244" s="115" t="n">
        <v>3.0</v>
      </c>
      <c r="N1244" s="115"/>
      <c r="O1244" s="115"/>
      <c r="P1244" s="115"/>
      <c r="Q1244" s="115"/>
      <c r="R1244" s="115"/>
      <c r="S1244" s="115"/>
      <c r="T1244" s="115"/>
      <c r="U1244" s="115"/>
      <c r="V1244" s="115" t="s">
        <v>82</v>
      </c>
      <c r="W1244" s="115" t="s">
        <v>83</v>
      </c>
      <c r="X1244" s="113">
        <f>IF(INDIRECT("W1244")="Clássico","12%",IF(INDIRECT("W1244")="Premium","17%","-"))</f>
      </c>
      <c r="Y1244" s="113" t="s">
        <v>3198</v>
      </c>
    </row>
    <row r="1245" ht="50.0" customHeight="true">
      <c r="A1245" s="113" t="s">
        <v>4429</v>
      </c>
      <c r="B1245" s="113" t="s">
        <v>4430</v>
      </c>
      <c r="C1245" s="113" t="s">
        <v>4431</v>
      </c>
      <c r="D1245" s="113"/>
      <c r="E1245" s="114" t="s">
        <v>4432</v>
      </c>
      <c r="F1245" s="113" t="s">
        <v>4433</v>
      </c>
      <c r="G1245" s="113" t="s">
        <v>4433</v>
      </c>
      <c r="H1245" s="113" t="s">
        <v>103</v>
      </c>
      <c r="I1245" s="115" t="n">
        <v>174.56</v>
      </c>
      <c r="J1245" s="115" t="s">
        <v>80</v>
      </c>
      <c r="K1245" s="115" t="s">
        <v>81</v>
      </c>
      <c r="L1245" s="115" t="n">
        <v>135.38</v>
      </c>
      <c r="M1245" s="115" t="n">
        <v>3.0</v>
      </c>
      <c r="N1245" s="115"/>
      <c r="O1245" s="115"/>
      <c r="P1245" s="115"/>
      <c r="Q1245" s="115"/>
      <c r="R1245" s="115"/>
      <c r="S1245" s="115"/>
      <c r="T1245" s="115"/>
      <c r="U1245" s="115"/>
      <c r="V1245" s="115" t="s">
        <v>82</v>
      </c>
      <c r="W1245" s="115" t="s">
        <v>83</v>
      </c>
      <c r="X1245" s="113">
        <f>IF(INDIRECT("W1245")="Clássico","12%",IF(INDIRECT("W1245")="Premium","17%","-"))</f>
      </c>
      <c r="Y1245" s="113" t="s">
        <v>3756</v>
      </c>
    </row>
    <row r="1246" ht="50.0" customHeight="true">
      <c r="A1246" s="113" t="s">
        <v>4434</v>
      </c>
      <c r="B1246" s="113" t="s">
        <v>4435</v>
      </c>
      <c r="C1246" s="113" t="s">
        <v>4436</v>
      </c>
      <c r="D1246" s="113"/>
      <c r="E1246" s="114" t="s">
        <v>4437</v>
      </c>
      <c r="F1246" s="113" t="s">
        <v>4438</v>
      </c>
      <c r="G1246" s="113" t="s">
        <v>4438</v>
      </c>
      <c r="H1246" s="113" t="s">
        <v>103</v>
      </c>
      <c r="I1246" s="115" t="n">
        <v>816.47</v>
      </c>
      <c r="J1246" s="115" t="s">
        <v>80</v>
      </c>
      <c r="K1246" s="115" t="s">
        <v>81</v>
      </c>
      <c r="L1246" s="115" t="n">
        <v>811.47</v>
      </c>
      <c r="M1246" s="115" t="n">
        <v>3.0</v>
      </c>
      <c r="N1246" s="115"/>
      <c r="O1246" s="115"/>
      <c r="P1246" s="115"/>
      <c r="Q1246" s="115"/>
      <c r="R1246" s="115"/>
      <c r="S1246" s="115"/>
      <c r="T1246" s="115"/>
      <c r="U1246" s="115"/>
      <c r="V1246" s="115" t="s">
        <v>82</v>
      </c>
      <c r="W1246" s="115" t="s">
        <v>83</v>
      </c>
      <c r="X1246" s="113">
        <f>IF(INDIRECT("W1246")="Clássico","12%",IF(INDIRECT("W1246")="Premium","17%","-"))</f>
      </c>
      <c r="Y1246" s="113" t="s">
        <v>200</v>
      </c>
    </row>
    <row r="1247" ht="50.0" customHeight="true">
      <c r="A1247" s="113" t="s">
        <v>4439</v>
      </c>
      <c r="B1247" s="113" t="s">
        <v>4440</v>
      </c>
      <c r="C1247" s="113" t="s">
        <v>4441</v>
      </c>
      <c r="D1247" s="113"/>
      <c r="E1247" s="114" t="s">
        <v>4284</v>
      </c>
      <c r="F1247" s="113" t="s">
        <v>4442</v>
      </c>
      <c r="G1247" s="113" t="s">
        <v>127</v>
      </c>
      <c r="H1247" s="113" t="s">
        <v>103</v>
      </c>
      <c r="I1247" s="115" t="n">
        <v>399.99</v>
      </c>
      <c r="J1247" s="115" t="s">
        <v>80</v>
      </c>
      <c r="K1247" s="115" t="s">
        <v>81</v>
      </c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 t="s">
        <v>82</v>
      </c>
      <c r="W1247" s="115" t="s">
        <v>92</v>
      </c>
      <c r="X1247" s="113">
        <f>IF(INDIRECT("W1247")="Clássico","12%",IF(INDIRECT("W1247")="Premium","17%","-"))</f>
      </c>
      <c r="Y1247" s="113" t="s">
        <v>367</v>
      </c>
    </row>
    <row r="1248" ht="50.0" customHeight="true">
      <c r="A1248" s="113" t="s">
        <v>4443</v>
      </c>
      <c r="B1248" s="113" t="s">
        <v>4444</v>
      </c>
      <c r="C1248" s="113" t="s">
        <v>4445</v>
      </c>
      <c r="D1248" s="113"/>
      <c r="E1248" s="114" t="s">
        <v>3831</v>
      </c>
      <c r="F1248" s="113" t="s">
        <v>4446</v>
      </c>
      <c r="G1248" s="113" t="s">
        <v>4446</v>
      </c>
      <c r="H1248" s="113" t="s">
        <v>103</v>
      </c>
      <c r="I1248" s="115" t="n">
        <v>350.51</v>
      </c>
      <c r="J1248" s="115" t="s">
        <v>80</v>
      </c>
      <c r="K1248" s="115" t="s">
        <v>81</v>
      </c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 t="s">
        <v>82</v>
      </c>
      <c r="W1248" s="115" t="s">
        <v>83</v>
      </c>
      <c r="X1248" s="113">
        <f>IF(INDIRECT("W1248")="Clássico","12%",IF(INDIRECT("W1248")="Premium","17%","-"))</f>
      </c>
      <c r="Y1248" s="113" t="s">
        <v>1774</v>
      </c>
    </row>
    <row r="1249" ht="50.0" customHeight="true">
      <c r="A1249" s="113" t="s">
        <v>4447</v>
      </c>
      <c r="B1249" s="113" t="s">
        <v>4448</v>
      </c>
      <c r="C1249" s="113" t="s">
        <v>4449</v>
      </c>
      <c r="D1249" s="113"/>
      <c r="E1249" s="114" t="s">
        <v>3931</v>
      </c>
      <c r="F1249" s="113" t="s">
        <v>4450</v>
      </c>
      <c r="G1249" s="113" t="s">
        <v>4450</v>
      </c>
      <c r="H1249" s="113" t="s">
        <v>103</v>
      </c>
      <c r="I1249" s="115" t="n">
        <v>599.99</v>
      </c>
      <c r="J1249" s="115" t="s">
        <v>80</v>
      </c>
      <c r="K1249" s="115" t="s">
        <v>81</v>
      </c>
      <c r="L1249" s="115" t="n">
        <v>594.99</v>
      </c>
      <c r="M1249" s="115" t="n">
        <v>3.0</v>
      </c>
      <c r="N1249" s="115"/>
      <c r="O1249" s="115"/>
      <c r="P1249" s="115"/>
      <c r="Q1249" s="115"/>
      <c r="R1249" s="115"/>
      <c r="S1249" s="115"/>
      <c r="T1249" s="115"/>
      <c r="U1249" s="115"/>
      <c r="V1249" s="115" t="s">
        <v>82</v>
      </c>
      <c r="W1249" s="115" t="s">
        <v>83</v>
      </c>
      <c r="X1249" s="113">
        <f>IF(INDIRECT("W1249")="Clássico","12%",IF(INDIRECT("W1249")="Premium","17%","-"))</f>
      </c>
      <c r="Y1249" s="113" t="s">
        <v>2126</v>
      </c>
    </row>
    <row r="1250" ht="50.0" customHeight="true">
      <c r="A1250" s="113" t="s">
        <v>4451</v>
      </c>
      <c r="B1250" s="113" t="s">
        <v>4452</v>
      </c>
      <c r="C1250" s="113" t="s">
        <v>4453</v>
      </c>
      <c r="D1250" s="113"/>
      <c r="E1250" s="114" t="s">
        <v>3321</v>
      </c>
      <c r="F1250" s="113" t="s">
        <v>4324</v>
      </c>
      <c r="G1250" s="113" t="s">
        <v>4324</v>
      </c>
      <c r="H1250" s="113" t="s">
        <v>103</v>
      </c>
      <c r="I1250" s="115" t="n">
        <v>115.18</v>
      </c>
      <c r="J1250" s="115" t="s">
        <v>80</v>
      </c>
      <c r="K1250" s="115" t="s">
        <v>81</v>
      </c>
      <c r="L1250" s="115" t="n">
        <v>98.67</v>
      </c>
      <c r="M1250" s="115" t="n">
        <v>3.0</v>
      </c>
      <c r="N1250" s="115"/>
      <c r="O1250" s="115"/>
      <c r="P1250" s="115"/>
      <c r="Q1250" s="115"/>
      <c r="R1250" s="115"/>
      <c r="S1250" s="115"/>
      <c r="T1250" s="115"/>
      <c r="U1250" s="115"/>
      <c r="V1250" s="115" t="s">
        <v>82</v>
      </c>
      <c r="W1250" s="115" t="s">
        <v>83</v>
      </c>
      <c r="X1250" s="113">
        <f>IF(INDIRECT("W1250")="Clássico","12%",IF(INDIRECT("W1250")="Premium","17%","-"))</f>
      </c>
      <c r="Y1250" s="113" t="s">
        <v>3323</v>
      </c>
    </row>
    <row r="1251" ht="50.0" customHeight="true">
      <c r="A1251" s="113" t="s">
        <v>4454</v>
      </c>
      <c r="B1251" s="113" t="s">
        <v>4455</v>
      </c>
      <c r="C1251" s="113" t="s">
        <v>4456</v>
      </c>
      <c r="D1251" s="113"/>
      <c r="E1251" s="114" t="s">
        <v>3280</v>
      </c>
      <c r="F1251" s="113" t="s">
        <v>4457</v>
      </c>
      <c r="G1251" s="113" t="s">
        <v>4457</v>
      </c>
      <c r="H1251" s="113" t="s">
        <v>103</v>
      </c>
      <c r="I1251" s="115" t="n">
        <v>361.89</v>
      </c>
      <c r="J1251" s="115" t="s">
        <v>80</v>
      </c>
      <c r="K1251" s="115" t="s">
        <v>81</v>
      </c>
      <c r="L1251" s="115" t="n">
        <v>356.89</v>
      </c>
      <c r="M1251" s="115" t="n">
        <v>3.0</v>
      </c>
      <c r="N1251" s="115"/>
      <c r="O1251" s="115"/>
      <c r="P1251" s="115"/>
      <c r="Q1251" s="115"/>
      <c r="R1251" s="115"/>
      <c r="S1251" s="115"/>
      <c r="T1251" s="115"/>
      <c r="U1251" s="115"/>
      <c r="V1251" s="115" t="s">
        <v>82</v>
      </c>
      <c r="W1251" s="115" t="s">
        <v>92</v>
      </c>
      <c r="X1251" s="113">
        <f>IF(INDIRECT("W1251")="Clássico","12%",IF(INDIRECT("W1251")="Premium","17%","-"))</f>
      </c>
      <c r="Y1251" s="113" t="s">
        <v>3282</v>
      </c>
    </row>
    <row r="1252" ht="50.0" customHeight="true">
      <c r="A1252" s="113" t="s">
        <v>4005</v>
      </c>
      <c r="B1252" s="113" t="s">
        <v>4458</v>
      </c>
      <c r="C1252" s="113" t="s">
        <v>4459</v>
      </c>
      <c r="D1252" s="113"/>
      <c r="E1252" s="114" t="s">
        <v>4008</v>
      </c>
      <c r="F1252" s="113" t="s">
        <v>4009</v>
      </c>
      <c r="G1252" s="113" t="s">
        <v>4009</v>
      </c>
      <c r="H1252" s="113" t="s">
        <v>103</v>
      </c>
      <c r="I1252" s="115" t="n">
        <v>287.33</v>
      </c>
      <c r="J1252" s="115" t="s">
        <v>80</v>
      </c>
      <c r="K1252" s="115" t="s">
        <v>81</v>
      </c>
      <c r="L1252" s="115" t="n">
        <v>282.33</v>
      </c>
      <c r="M1252" s="115" t="n">
        <v>3.0</v>
      </c>
      <c r="N1252" s="115"/>
      <c r="O1252" s="115"/>
      <c r="P1252" s="115"/>
      <c r="Q1252" s="115"/>
      <c r="R1252" s="115"/>
      <c r="S1252" s="115"/>
      <c r="T1252" s="115"/>
      <c r="U1252" s="115"/>
      <c r="V1252" s="115" t="s">
        <v>82</v>
      </c>
      <c r="W1252" s="115" t="s">
        <v>92</v>
      </c>
      <c r="X1252" s="113">
        <f>IF(INDIRECT("W1252")="Clássico","12%",IF(INDIRECT("W1252")="Premium","17%","-"))</f>
      </c>
      <c r="Y1252" s="113" t="s">
        <v>2653</v>
      </c>
    </row>
    <row r="1253" ht="50.0" customHeight="true">
      <c r="A1253" s="113" t="s">
        <v>4460</v>
      </c>
      <c r="B1253" s="113" t="s">
        <v>4461</v>
      </c>
      <c r="C1253" s="113" t="s">
        <v>4462</v>
      </c>
      <c r="D1253" s="113"/>
      <c r="E1253" s="114" t="s">
        <v>4463</v>
      </c>
      <c r="F1253" s="113" t="s">
        <v>4464</v>
      </c>
      <c r="G1253" s="113" t="s">
        <v>4464</v>
      </c>
      <c r="H1253" s="113" t="s">
        <v>103</v>
      </c>
      <c r="I1253" s="115" t="n">
        <v>408.56</v>
      </c>
      <c r="J1253" s="115" t="s">
        <v>80</v>
      </c>
      <c r="K1253" s="115" t="s">
        <v>81</v>
      </c>
      <c r="L1253" s="115" t="n">
        <v>403.56</v>
      </c>
      <c r="M1253" s="115" t="n">
        <v>3.0</v>
      </c>
      <c r="N1253" s="115"/>
      <c r="O1253" s="115"/>
      <c r="P1253" s="115"/>
      <c r="Q1253" s="115"/>
      <c r="R1253" s="115"/>
      <c r="S1253" s="115"/>
      <c r="T1253" s="115"/>
      <c r="U1253" s="115"/>
      <c r="V1253" s="115" t="s">
        <v>82</v>
      </c>
      <c r="W1253" s="115" t="s">
        <v>92</v>
      </c>
      <c r="X1253" s="113">
        <f>IF(INDIRECT("W1253")="Clássico","12%",IF(INDIRECT("W1253")="Premium","17%","-"))</f>
      </c>
      <c r="Y1253" s="113" t="s">
        <v>551</v>
      </c>
    </row>
    <row r="1254" ht="50.0" customHeight="true">
      <c r="A1254" s="113" t="s">
        <v>4465</v>
      </c>
      <c r="B1254" s="113" t="s">
        <v>4466</v>
      </c>
      <c r="C1254" s="113" t="s">
        <v>4467</v>
      </c>
      <c r="D1254" s="113"/>
      <c r="E1254" s="114" t="s">
        <v>4468</v>
      </c>
      <c r="F1254" s="113" t="s">
        <v>4469</v>
      </c>
      <c r="G1254" s="113" t="s">
        <v>4469</v>
      </c>
      <c r="H1254" s="113" t="s">
        <v>103</v>
      </c>
      <c r="I1254" s="115" t="n">
        <v>282.27</v>
      </c>
      <c r="J1254" s="115" t="s">
        <v>80</v>
      </c>
      <c r="K1254" s="115" t="s">
        <v>81</v>
      </c>
      <c r="L1254" s="115" t="n">
        <v>277.27</v>
      </c>
      <c r="M1254" s="115" t="n">
        <v>3.0</v>
      </c>
      <c r="N1254" s="115"/>
      <c r="O1254" s="115"/>
      <c r="P1254" s="115"/>
      <c r="Q1254" s="115"/>
      <c r="R1254" s="115"/>
      <c r="S1254" s="115"/>
      <c r="T1254" s="115"/>
      <c r="U1254" s="115"/>
      <c r="V1254" s="115" t="s">
        <v>82</v>
      </c>
      <c r="W1254" s="115" t="s">
        <v>83</v>
      </c>
      <c r="X1254" s="113">
        <f>IF(INDIRECT("W1254")="Clássico","12%",IF(INDIRECT("W1254")="Premium","17%","-"))</f>
      </c>
      <c r="Y1254" s="113" t="s">
        <v>4470</v>
      </c>
    </row>
    <row r="1255" ht="50.0" customHeight="true">
      <c r="A1255" s="113" t="s">
        <v>4471</v>
      </c>
      <c r="B1255" s="113" t="s">
        <v>4472</v>
      </c>
      <c r="C1255" s="113" t="s">
        <v>4473</v>
      </c>
      <c r="D1255" s="113"/>
      <c r="E1255" s="114" t="s">
        <v>4474</v>
      </c>
      <c r="F1255" s="113" t="s">
        <v>4475</v>
      </c>
      <c r="G1255" s="113" t="s">
        <v>4475</v>
      </c>
      <c r="H1255" s="113" t="s">
        <v>103</v>
      </c>
      <c r="I1255" s="115" t="n">
        <v>149.97</v>
      </c>
      <c r="J1255" s="115" t="s">
        <v>80</v>
      </c>
      <c r="K1255" s="115" t="s">
        <v>81</v>
      </c>
      <c r="L1255" s="115" t="n">
        <v>144.97</v>
      </c>
      <c r="M1255" s="115" t="n">
        <v>3.0</v>
      </c>
      <c r="N1255" s="115"/>
      <c r="O1255" s="115"/>
      <c r="P1255" s="115"/>
      <c r="Q1255" s="115"/>
      <c r="R1255" s="115"/>
      <c r="S1255" s="115"/>
      <c r="T1255" s="115"/>
      <c r="U1255" s="115"/>
      <c r="V1255" s="115" t="s">
        <v>82</v>
      </c>
      <c r="W1255" s="115" t="s">
        <v>92</v>
      </c>
      <c r="X1255" s="113">
        <f>IF(INDIRECT("W1255")="Clássico","12%",IF(INDIRECT("W1255")="Premium","17%","-"))</f>
      </c>
      <c r="Y1255" s="113" t="s">
        <v>722</v>
      </c>
    </row>
    <row r="1256" ht="50.0" customHeight="true">
      <c r="A1256" s="113" t="s">
        <v>4476</v>
      </c>
      <c r="B1256" s="113" t="s">
        <v>4477</v>
      </c>
      <c r="C1256" s="113" t="s">
        <v>4478</v>
      </c>
      <c r="D1256" s="113"/>
      <c r="E1256" s="114" t="s">
        <v>3165</v>
      </c>
      <c r="F1256" s="113" t="s">
        <v>4479</v>
      </c>
      <c r="G1256" s="113" t="s">
        <v>4479</v>
      </c>
      <c r="H1256" s="113" t="s">
        <v>103</v>
      </c>
      <c r="I1256" s="115" t="n">
        <v>50.63</v>
      </c>
      <c r="J1256" s="115" t="s">
        <v>80</v>
      </c>
      <c r="K1256" s="115" t="s">
        <v>81</v>
      </c>
      <c r="L1256" s="115" t="n">
        <v>45.63</v>
      </c>
      <c r="M1256" s="115" t="n">
        <v>3.0</v>
      </c>
      <c r="N1256" s="115"/>
      <c r="O1256" s="115"/>
      <c r="P1256" s="115"/>
      <c r="Q1256" s="115"/>
      <c r="R1256" s="115"/>
      <c r="S1256" s="115"/>
      <c r="T1256" s="115"/>
      <c r="U1256" s="115"/>
      <c r="V1256" s="115" t="s">
        <v>91</v>
      </c>
      <c r="W1256" s="115" t="s">
        <v>83</v>
      </c>
      <c r="X1256" s="113">
        <f>IF(INDIRECT("W1256")="Clássico","12%",IF(INDIRECT("W1256")="Premium","17%","-"))</f>
      </c>
      <c r="Y1256" s="113" t="s">
        <v>2886</v>
      </c>
    </row>
    <row r="1257" ht="50.0" customHeight="true">
      <c r="A1257" s="113" t="s">
        <v>4480</v>
      </c>
      <c r="B1257" s="113" t="s">
        <v>4481</v>
      </c>
      <c r="C1257" s="113" t="s">
        <v>4482</v>
      </c>
      <c r="D1257" s="113"/>
      <c r="E1257" s="114" t="s">
        <v>4483</v>
      </c>
      <c r="F1257" s="113" t="s">
        <v>4484</v>
      </c>
      <c r="G1257" s="113" t="s">
        <v>4484</v>
      </c>
      <c r="H1257" s="113" t="s">
        <v>103</v>
      </c>
      <c r="I1257" s="115" t="n">
        <v>612.7</v>
      </c>
      <c r="J1257" s="115" t="s">
        <v>80</v>
      </c>
      <c r="K1257" s="115" t="s">
        <v>81</v>
      </c>
      <c r="L1257" s="115" t="n">
        <v>607.7</v>
      </c>
      <c r="M1257" s="115" t="n">
        <v>3.0</v>
      </c>
      <c r="N1257" s="115"/>
      <c r="O1257" s="115"/>
      <c r="P1257" s="115"/>
      <c r="Q1257" s="115"/>
      <c r="R1257" s="115"/>
      <c r="S1257" s="115"/>
      <c r="T1257" s="115"/>
      <c r="U1257" s="115"/>
      <c r="V1257" s="115" t="s">
        <v>82</v>
      </c>
      <c r="W1257" s="115" t="s">
        <v>83</v>
      </c>
      <c r="X1257" s="113">
        <f>IF(INDIRECT("W1257")="Clássico","12%",IF(INDIRECT("W1257")="Premium","17%","-"))</f>
      </c>
      <c r="Y1257" s="113" t="s">
        <v>1774</v>
      </c>
    </row>
    <row r="1258" ht="50.0" customHeight="true">
      <c r="A1258" s="113" t="s">
        <v>22</v>
      </c>
      <c r="B1258" s="113" t="s">
        <v>4485</v>
      </c>
      <c r="C1258" s="113"/>
      <c r="D1258" s="113"/>
      <c r="E1258" s="114" t="s">
        <v>1005</v>
      </c>
      <c r="F1258" s="113" t="s">
        <v>4486</v>
      </c>
      <c r="G1258" s="113" t="s">
        <v>103</v>
      </c>
      <c r="H1258" s="113" t="s">
        <v>103</v>
      </c>
      <c r="I1258" s="115" t="n">
        <v>92.28</v>
      </c>
      <c r="J1258" s="115" t="s">
        <v>80</v>
      </c>
      <c r="K1258" s="115" t="s">
        <v>81</v>
      </c>
      <c r="L1258" s="115" t="n">
        <v>74.62</v>
      </c>
      <c r="M1258" s="115" t="n">
        <v>3.0</v>
      </c>
      <c r="N1258" s="115"/>
      <c r="O1258" s="115"/>
      <c r="P1258" s="115"/>
      <c r="Q1258" s="115"/>
      <c r="R1258" s="115"/>
      <c r="S1258" s="115"/>
      <c r="T1258" s="115"/>
      <c r="U1258" s="115"/>
      <c r="V1258" s="115" t="s">
        <v>91</v>
      </c>
      <c r="W1258" s="115" t="s">
        <v>92</v>
      </c>
      <c r="X1258" s="113">
        <f>IF(INDIRECT("W1258")="Clássico","13%",IF(INDIRECT("W1258")="Premium","18%","-"))</f>
      </c>
      <c r="Y1258" s="113" t="s">
        <v>1685</v>
      </c>
    </row>
    <row r="1259" ht="50.0" customHeight="true">
      <c r="A1259" s="113" t="s">
        <v>4487</v>
      </c>
      <c r="B1259" s="113" t="s">
        <v>4488</v>
      </c>
      <c r="C1259" s="113" t="s">
        <v>4489</v>
      </c>
      <c r="D1259" s="113"/>
      <c r="E1259" s="114" t="s">
        <v>4034</v>
      </c>
      <c r="F1259" s="113" t="s">
        <v>4490</v>
      </c>
      <c r="G1259" s="113" t="s">
        <v>4490</v>
      </c>
      <c r="H1259" s="113" t="s">
        <v>103</v>
      </c>
      <c r="I1259" s="115" t="n">
        <v>51.99</v>
      </c>
      <c r="J1259" s="115" t="s">
        <v>80</v>
      </c>
      <c r="K1259" s="115" t="s">
        <v>81</v>
      </c>
      <c r="L1259" s="115" t="n">
        <v>46.99</v>
      </c>
      <c r="M1259" s="115" t="n">
        <v>3.0</v>
      </c>
      <c r="N1259" s="115"/>
      <c r="O1259" s="115"/>
      <c r="P1259" s="115"/>
      <c r="Q1259" s="115"/>
      <c r="R1259" s="115"/>
      <c r="S1259" s="115"/>
      <c r="T1259" s="115"/>
      <c r="U1259" s="115"/>
      <c r="V1259" s="115" t="s">
        <v>91</v>
      </c>
      <c r="W1259" s="115" t="s">
        <v>83</v>
      </c>
      <c r="X1259" s="113">
        <f>IF(INDIRECT("W1259")="Clássico","12%",IF(INDIRECT("W1259")="Premium","17%","-"))</f>
      </c>
      <c r="Y1259" s="113" t="s">
        <v>2851</v>
      </c>
    </row>
    <row r="1260" ht="50.0" customHeight="true">
      <c r="A1260" s="113" t="s">
        <v>4491</v>
      </c>
      <c r="B1260" s="113" t="s">
        <v>4492</v>
      </c>
      <c r="C1260" s="113" t="s">
        <v>4493</v>
      </c>
      <c r="D1260" s="113"/>
      <c r="E1260" s="114" t="s">
        <v>3548</v>
      </c>
      <c r="F1260" s="113" t="s">
        <v>4494</v>
      </c>
      <c r="G1260" s="113" t="s">
        <v>127</v>
      </c>
      <c r="H1260" s="113" t="s">
        <v>103</v>
      </c>
      <c r="I1260" s="115" t="n">
        <v>95.9</v>
      </c>
      <c r="J1260" s="115" t="s">
        <v>80</v>
      </c>
      <c r="K1260" s="115" t="s">
        <v>81</v>
      </c>
      <c r="L1260" s="115" t="n">
        <v>90.9</v>
      </c>
      <c r="M1260" s="115" t="n">
        <v>3.0</v>
      </c>
      <c r="N1260" s="115"/>
      <c r="O1260" s="115"/>
      <c r="P1260" s="115"/>
      <c r="Q1260" s="115"/>
      <c r="R1260" s="115"/>
      <c r="S1260" s="115"/>
      <c r="T1260" s="115"/>
      <c r="U1260" s="115"/>
      <c r="V1260" s="115" t="s">
        <v>82</v>
      </c>
      <c r="W1260" s="115" t="s">
        <v>83</v>
      </c>
      <c r="X1260" s="113">
        <f>IF(INDIRECT("W1260")="Clássico","12%",IF(INDIRECT("W1260")="Premium","17%","-"))</f>
      </c>
      <c r="Y1260" s="113" t="s">
        <v>128</v>
      </c>
    </row>
    <row r="1261" ht="50.0" customHeight="true">
      <c r="A1261" s="113" t="s">
        <v>4495</v>
      </c>
      <c r="B1261" s="113" t="s">
        <v>4496</v>
      </c>
      <c r="C1261" s="113" t="s">
        <v>4497</v>
      </c>
      <c r="D1261" s="113"/>
      <c r="E1261" s="114" t="s">
        <v>4498</v>
      </c>
      <c r="F1261" s="113" t="s">
        <v>4499</v>
      </c>
      <c r="G1261" s="113" t="s">
        <v>4499</v>
      </c>
      <c r="H1261" s="113" t="s">
        <v>103</v>
      </c>
      <c r="I1261" s="115" t="n">
        <v>158.04</v>
      </c>
      <c r="J1261" s="115" t="s">
        <v>80</v>
      </c>
      <c r="K1261" s="115" t="s">
        <v>81</v>
      </c>
      <c r="L1261" s="115" t="n">
        <v>153.04</v>
      </c>
      <c r="M1261" s="115" t="n">
        <v>3.0</v>
      </c>
      <c r="N1261" s="115"/>
      <c r="O1261" s="115"/>
      <c r="P1261" s="115"/>
      <c r="Q1261" s="115"/>
      <c r="R1261" s="115"/>
      <c r="S1261" s="115"/>
      <c r="T1261" s="115"/>
      <c r="U1261" s="115"/>
      <c r="V1261" s="115" t="s">
        <v>82</v>
      </c>
      <c r="W1261" s="115" t="s">
        <v>83</v>
      </c>
      <c r="X1261" s="113">
        <f>IF(INDIRECT("W1261")="Clássico","12%",IF(INDIRECT("W1261")="Premium","17%","-"))</f>
      </c>
      <c r="Y1261" s="113" t="s">
        <v>1293</v>
      </c>
    </row>
    <row r="1262" ht="50.0" customHeight="true">
      <c r="A1262" s="113" t="s">
        <v>4500</v>
      </c>
      <c r="B1262" s="113" t="s">
        <v>4501</v>
      </c>
      <c r="C1262" s="113" t="s">
        <v>4502</v>
      </c>
      <c r="D1262" s="113"/>
      <c r="E1262" s="114" t="s">
        <v>4369</v>
      </c>
      <c r="F1262" s="113" t="s">
        <v>934</v>
      </c>
      <c r="G1262" s="113" t="s">
        <v>934</v>
      </c>
      <c r="H1262" s="113" t="s">
        <v>103</v>
      </c>
      <c r="I1262" s="115" t="n">
        <v>570.77</v>
      </c>
      <c r="J1262" s="115" t="s">
        <v>80</v>
      </c>
      <c r="K1262" s="115" t="s">
        <v>81</v>
      </c>
      <c r="L1262" s="115" t="n">
        <v>565.77</v>
      </c>
      <c r="M1262" s="115" t="n">
        <v>3.0</v>
      </c>
      <c r="N1262" s="115"/>
      <c r="O1262" s="115"/>
      <c r="P1262" s="115"/>
      <c r="Q1262" s="115"/>
      <c r="R1262" s="115"/>
      <c r="S1262" s="115"/>
      <c r="T1262" s="115"/>
      <c r="U1262" s="115"/>
      <c r="V1262" s="115" t="s">
        <v>82</v>
      </c>
      <c r="W1262" s="115" t="s">
        <v>83</v>
      </c>
      <c r="X1262" s="113">
        <f>IF(INDIRECT("W1262")="Clássico","11.5%",IF(INDIRECT("W1262")="Premium","16.5%","-"))</f>
      </c>
      <c r="Y1262" s="113" t="s">
        <v>684</v>
      </c>
    </row>
    <row r="1263" ht="50.0" customHeight="true">
      <c r="A1263" s="113" t="s">
        <v>4503</v>
      </c>
      <c r="B1263" s="113" t="s">
        <v>4504</v>
      </c>
      <c r="C1263" s="113" t="s">
        <v>4505</v>
      </c>
      <c r="D1263" s="113"/>
      <c r="E1263" s="114" t="s">
        <v>3952</v>
      </c>
      <c r="F1263" s="113" t="s">
        <v>4506</v>
      </c>
      <c r="G1263" s="113" t="s">
        <v>4506</v>
      </c>
      <c r="H1263" s="113" t="s">
        <v>103</v>
      </c>
      <c r="I1263" s="115" t="n">
        <v>115.88</v>
      </c>
      <c r="J1263" s="115" t="s">
        <v>80</v>
      </c>
      <c r="K1263" s="115" t="s">
        <v>81</v>
      </c>
      <c r="L1263" s="115" t="n">
        <v>110.88</v>
      </c>
      <c r="M1263" s="115" t="n">
        <v>3.0</v>
      </c>
      <c r="N1263" s="115"/>
      <c r="O1263" s="115"/>
      <c r="P1263" s="115"/>
      <c r="Q1263" s="115"/>
      <c r="R1263" s="115"/>
      <c r="S1263" s="115"/>
      <c r="T1263" s="115"/>
      <c r="U1263" s="115"/>
      <c r="V1263" s="115" t="s">
        <v>82</v>
      </c>
      <c r="W1263" s="115" t="s">
        <v>83</v>
      </c>
      <c r="X1263" s="113">
        <f>IF(INDIRECT("W1263")="Clássico","12%",IF(INDIRECT("W1263")="Premium","17%","-"))</f>
      </c>
      <c r="Y1263" s="113" t="s">
        <v>3954</v>
      </c>
    </row>
    <row r="1264" ht="50.0" customHeight="true">
      <c r="A1264" s="113" t="s">
        <v>4507</v>
      </c>
      <c r="B1264" s="113" t="s">
        <v>4508</v>
      </c>
      <c r="C1264" s="113" t="s">
        <v>4509</v>
      </c>
      <c r="D1264" s="113"/>
      <c r="E1264" s="114" t="s">
        <v>3508</v>
      </c>
      <c r="F1264" s="113" t="s">
        <v>4510</v>
      </c>
      <c r="G1264" s="113" t="s">
        <v>4510</v>
      </c>
      <c r="H1264" s="113" t="s">
        <v>103</v>
      </c>
      <c r="I1264" s="115" t="n">
        <v>135.32</v>
      </c>
      <c r="J1264" s="115" t="s">
        <v>80</v>
      </c>
      <c r="K1264" s="115" t="s">
        <v>81</v>
      </c>
      <c r="L1264" s="115" t="n">
        <v>130.32</v>
      </c>
      <c r="M1264" s="115" t="n">
        <v>3.0</v>
      </c>
      <c r="N1264" s="115"/>
      <c r="O1264" s="115"/>
      <c r="P1264" s="115"/>
      <c r="Q1264" s="115"/>
      <c r="R1264" s="115"/>
      <c r="S1264" s="115"/>
      <c r="T1264" s="115"/>
      <c r="U1264" s="115"/>
      <c r="V1264" s="115" t="s">
        <v>82</v>
      </c>
      <c r="W1264" s="115" t="s">
        <v>83</v>
      </c>
      <c r="X1264" s="113">
        <f>IF(INDIRECT("W1264")="Clássico","12%",IF(INDIRECT("W1264")="Premium","17%","-"))</f>
      </c>
      <c r="Y1264" s="113" t="s">
        <v>3510</v>
      </c>
    </row>
    <row r="1265" ht="50.0" customHeight="true">
      <c r="A1265" s="113" t="s">
        <v>4511</v>
      </c>
      <c r="B1265" s="113" t="s">
        <v>4512</v>
      </c>
      <c r="C1265" s="113" t="s">
        <v>4513</v>
      </c>
      <c r="D1265" s="113"/>
      <c r="E1265" s="114" t="s">
        <v>4514</v>
      </c>
      <c r="F1265" s="113" t="s">
        <v>4515</v>
      </c>
      <c r="G1265" s="113" t="s">
        <v>4515</v>
      </c>
      <c r="H1265" s="113" t="s">
        <v>103</v>
      </c>
      <c r="I1265" s="115" t="n">
        <v>111.27</v>
      </c>
      <c r="J1265" s="115" t="s">
        <v>80</v>
      </c>
      <c r="K1265" s="115" t="s">
        <v>81</v>
      </c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 t="s">
        <v>82</v>
      </c>
      <c r="W1265" s="115" t="s">
        <v>83</v>
      </c>
      <c r="X1265" s="113">
        <f>IF(INDIRECT("W1265")="Clássico","12%",IF(INDIRECT("W1265")="Premium","17%","-"))</f>
      </c>
      <c r="Y1265" s="113" t="s">
        <v>93</v>
      </c>
    </row>
    <row r="1266" ht="50.0" customHeight="true">
      <c r="A1266" s="113" t="s">
        <v>4516</v>
      </c>
      <c r="B1266" s="113" t="s">
        <v>4517</v>
      </c>
      <c r="C1266" s="113" t="s">
        <v>4518</v>
      </c>
      <c r="D1266" s="113"/>
      <c r="E1266" s="114" t="s">
        <v>3679</v>
      </c>
      <c r="F1266" s="113" t="s">
        <v>4519</v>
      </c>
      <c r="G1266" s="113" t="s">
        <v>4519</v>
      </c>
      <c r="H1266" s="113" t="s">
        <v>103</v>
      </c>
      <c r="I1266" s="115" t="n">
        <v>330.26</v>
      </c>
      <c r="J1266" s="115" t="s">
        <v>80</v>
      </c>
      <c r="K1266" s="115" t="s">
        <v>81</v>
      </c>
      <c r="L1266" s="115" t="n">
        <v>326.52</v>
      </c>
      <c r="M1266" s="115" t="n">
        <v>3.0</v>
      </c>
      <c r="N1266" s="115"/>
      <c r="O1266" s="115"/>
      <c r="P1266" s="115"/>
      <c r="Q1266" s="115"/>
      <c r="R1266" s="115"/>
      <c r="S1266" s="115"/>
      <c r="T1266" s="115"/>
      <c r="U1266" s="115"/>
      <c r="V1266" s="115" t="s">
        <v>82</v>
      </c>
      <c r="W1266" s="115" t="s">
        <v>83</v>
      </c>
      <c r="X1266" s="113">
        <f>IF(INDIRECT("W1266")="Clássico","12%",IF(INDIRECT("W1266")="Premium","17%","-"))</f>
      </c>
      <c r="Y1266" s="113" t="s">
        <v>4520</v>
      </c>
    </row>
    <row r="1267" ht="50.0" customHeight="true">
      <c r="A1267" s="113" t="s">
        <v>4521</v>
      </c>
      <c r="B1267" s="113" t="s">
        <v>4522</v>
      </c>
      <c r="C1267" s="113" t="s">
        <v>4523</v>
      </c>
      <c r="D1267" s="113"/>
      <c r="E1267" s="114" t="s">
        <v>3216</v>
      </c>
      <c r="F1267" s="113" t="s">
        <v>4524</v>
      </c>
      <c r="G1267" s="113" t="s">
        <v>4524</v>
      </c>
      <c r="H1267" s="113" t="s">
        <v>103</v>
      </c>
      <c r="I1267" s="115" t="n">
        <v>161.9</v>
      </c>
      <c r="J1267" s="115" t="s">
        <v>80</v>
      </c>
      <c r="K1267" s="115" t="s">
        <v>81</v>
      </c>
      <c r="L1267" s="115" t="n">
        <v>144.5</v>
      </c>
      <c r="M1267" s="115" t="n">
        <v>3.0</v>
      </c>
      <c r="N1267" s="115"/>
      <c r="O1267" s="115"/>
      <c r="P1267" s="115"/>
      <c r="Q1267" s="115"/>
      <c r="R1267" s="115"/>
      <c r="S1267" s="115"/>
      <c r="T1267" s="115"/>
      <c r="U1267" s="115"/>
      <c r="V1267" s="115" t="s">
        <v>82</v>
      </c>
      <c r="W1267" s="115" t="s">
        <v>92</v>
      </c>
      <c r="X1267" s="113">
        <f>IF(INDIRECT("W1267")="Clássico","12%",IF(INDIRECT("W1267")="Premium","17%","-"))</f>
      </c>
      <c r="Y1267" s="113" t="s">
        <v>100</v>
      </c>
    </row>
    <row r="1268" ht="50.0" customHeight="true">
      <c r="A1268" s="113" t="s">
        <v>4525</v>
      </c>
      <c r="B1268" s="113" t="s">
        <v>4526</v>
      </c>
      <c r="C1268" s="113" t="s">
        <v>4527</v>
      </c>
      <c r="D1268" s="113"/>
      <c r="E1268" s="114" t="s">
        <v>4133</v>
      </c>
      <c r="F1268" s="113" t="s">
        <v>4528</v>
      </c>
      <c r="G1268" s="113" t="s">
        <v>4528</v>
      </c>
      <c r="H1268" s="113" t="s">
        <v>103</v>
      </c>
      <c r="I1268" s="115" t="n">
        <v>145.44</v>
      </c>
      <c r="J1268" s="115" t="s">
        <v>80</v>
      </c>
      <c r="K1268" s="115" t="s">
        <v>81</v>
      </c>
      <c r="L1268" s="115" t="n">
        <v>199.94</v>
      </c>
      <c r="M1268" s="115" t="n">
        <v>3.0</v>
      </c>
      <c r="N1268" s="115"/>
      <c r="O1268" s="115"/>
      <c r="P1268" s="115"/>
      <c r="Q1268" s="115"/>
      <c r="R1268" s="115"/>
      <c r="S1268" s="115"/>
      <c r="T1268" s="115"/>
      <c r="U1268" s="115"/>
      <c r="V1268" s="115" t="s">
        <v>82</v>
      </c>
      <c r="W1268" s="115" t="s">
        <v>92</v>
      </c>
      <c r="X1268" s="113">
        <f>IF(INDIRECT("W1268")="Clássico","12%",IF(INDIRECT("W1268")="Premium","17%","-"))</f>
      </c>
      <c r="Y1268" s="113" t="s">
        <v>93</v>
      </c>
    </row>
    <row r="1269" ht="50.0" customHeight="true">
      <c r="A1269" s="113" t="s">
        <v>4529</v>
      </c>
      <c r="B1269" s="113" t="s">
        <v>4530</v>
      </c>
      <c r="C1269" s="113" t="s">
        <v>4531</v>
      </c>
      <c r="D1269" s="113"/>
      <c r="E1269" s="114" t="s">
        <v>4133</v>
      </c>
      <c r="F1269" s="113" t="s">
        <v>4532</v>
      </c>
      <c r="G1269" s="113" t="s">
        <v>4532</v>
      </c>
      <c r="H1269" s="113" t="s">
        <v>103</v>
      </c>
      <c r="I1269" s="115" t="n">
        <v>155.57</v>
      </c>
      <c r="J1269" s="115" t="s">
        <v>80</v>
      </c>
      <c r="K1269" s="115" t="s">
        <v>81</v>
      </c>
      <c r="L1269" s="115" t="n">
        <v>162.08</v>
      </c>
      <c r="M1269" s="115" t="n">
        <v>3.0</v>
      </c>
      <c r="N1269" s="115"/>
      <c r="O1269" s="115"/>
      <c r="P1269" s="115"/>
      <c r="Q1269" s="115"/>
      <c r="R1269" s="115"/>
      <c r="S1269" s="115"/>
      <c r="T1269" s="115"/>
      <c r="U1269" s="115"/>
      <c r="V1269" s="115" t="s">
        <v>82</v>
      </c>
      <c r="W1269" s="115" t="s">
        <v>83</v>
      </c>
      <c r="X1269" s="113">
        <f>IF(INDIRECT("W1269")="Clássico","12%",IF(INDIRECT("W1269")="Premium","17%","-"))</f>
      </c>
      <c r="Y1269" s="113" t="s">
        <v>93</v>
      </c>
    </row>
    <row r="1270" ht="50.0" customHeight="true">
      <c r="A1270" s="113" t="s">
        <v>4400</v>
      </c>
      <c r="B1270" s="113" t="s">
        <v>4533</v>
      </c>
      <c r="C1270" s="113" t="s">
        <v>4534</v>
      </c>
      <c r="D1270" s="113"/>
      <c r="E1270" s="114" t="s">
        <v>4403</v>
      </c>
      <c r="F1270" s="113" t="s">
        <v>4404</v>
      </c>
      <c r="G1270" s="113" t="s">
        <v>4404</v>
      </c>
      <c r="H1270" s="113" t="s">
        <v>103</v>
      </c>
      <c r="I1270" s="115" t="n">
        <v>222.6</v>
      </c>
      <c r="J1270" s="115" t="s">
        <v>80</v>
      </c>
      <c r="K1270" s="115" t="s">
        <v>81</v>
      </c>
      <c r="L1270" s="115" t="n">
        <v>217.6</v>
      </c>
      <c r="M1270" s="115" t="n">
        <v>3.0</v>
      </c>
      <c r="N1270" s="115"/>
      <c r="O1270" s="115"/>
      <c r="P1270" s="115"/>
      <c r="Q1270" s="115"/>
      <c r="R1270" s="115"/>
      <c r="S1270" s="115"/>
      <c r="T1270" s="115"/>
      <c r="U1270" s="115"/>
      <c r="V1270" s="115" t="s">
        <v>82</v>
      </c>
      <c r="W1270" s="115" t="s">
        <v>83</v>
      </c>
      <c r="X1270" s="113">
        <f>IF(INDIRECT("W1270")="Clássico","12%",IF(INDIRECT("W1270")="Premium","17%","-"))</f>
      </c>
      <c r="Y1270" s="113" t="s">
        <v>3756</v>
      </c>
    </row>
    <row r="1271" ht="50.0" customHeight="true">
      <c r="A1271" s="113" t="s">
        <v>4535</v>
      </c>
      <c r="B1271" s="113" t="s">
        <v>4536</v>
      </c>
      <c r="C1271" s="113" t="s">
        <v>4537</v>
      </c>
      <c r="D1271" s="113"/>
      <c r="E1271" s="114" t="s">
        <v>4538</v>
      </c>
      <c r="F1271" s="113" t="s">
        <v>4539</v>
      </c>
      <c r="G1271" s="113" t="s">
        <v>4539</v>
      </c>
      <c r="H1271" s="113" t="s">
        <v>103</v>
      </c>
      <c r="I1271" s="115" t="n">
        <v>500.96</v>
      </c>
      <c r="J1271" s="115" t="s">
        <v>80</v>
      </c>
      <c r="K1271" s="115" t="s">
        <v>81</v>
      </c>
      <c r="L1271" s="115" t="n">
        <v>495.96</v>
      </c>
      <c r="M1271" s="115" t="n">
        <v>3.0</v>
      </c>
      <c r="N1271" s="115"/>
      <c r="O1271" s="115"/>
      <c r="P1271" s="115"/>
      <c r="Q1271" s="115"/>
      <c r="R1271" s="115"/>
      <c r="S1271" s="115"/>
      <c r="T1271" s="115"/>
      <c r="U1271" s="115"/>
      <c r="V1271" s="115" t="s">
        <v>82</v>
      </c>
      <c r="W1271" s="115" t="s">
        <v>83</v>
      </c>
      <c r="X1271" s="113">
        <f>IF(INDIRECT("W1271")="Clássico","12%",IF(INDIRECT("W1271")="Premium","17%","-"))</f>
      </c>
      <c r="Y1271" s="113" t="s">
        <v>4540</v>
      </c>
    </row>
    <row r="1272" ht="50.0" customHeight="true">
      <c r="A1272" s="113" t="s">
        <v>3521</v>
      </c>
      <c r="B1272" s="113" t="s">
        <v>4541</v>
      </c>
      <c r="C1272" s="113" t="s">
        <v>4542</v>
      </c>
      <c r="D1272" s="113"/>
      <c r="E1272" s="114" t="s">
        <v>3524</v>
      </c>
      <c r="F1272" s="113" t="s">
        <v>3525</v>
      </c>
      <c r="G1272" s="113" t="s">
        <v>3525</v>
      </c>
      <c r="H1272" s="113" t="s">
        <v>103</v>
      </c>
      <c r="I1272" s="115" t="n">
        <v>173.29</v>
      </c>
      <c r="J1272" s="115" t="s">
        <v>80</v>
      </c>
      <c r="K1272" s="115" t="s">
        <v>81</v>
      </c>
      <c r="L1272" s="115" t="n">
        <v>161.96</v>
      </c>
      <c r="M1272" s="115" t="n">
        <v>3.0</v>
      </c>
      <c r="N1272" s="115"/>
      <c r="O1272" s="115"/>
      <c r="P1272" s="115"/>
      <c r="Q1272" s="115"/>
      <c r="R1272" s="115"/>
      <c r="S1272" s="115"/>
      <c r="T1272" s="115"/>
      <c r="U1272" s="115"/>
      <c r="V1272" s="115" t="s">
        <v>82</v>
      </c>
      <c r="W1272" s="115" t="s">
        <v>83</v>
      </c>
      <c r="X1272" s="113">
        <f>IF(INDIRECT("W1272")="Clássico","12%",IF(INDIRECT("W1272")="Premium","17%","-"))</f>
      </c>
      <c r="Y1272" s="113" t="s">
        <v>482</v>
      </c>
    </row>
    <row r="1273" ht="50.0" customHeight="true">
      <c r="A1273" s="113" t="s">
        <v>22</v>
      </c>
      <c r="B1273" s="113" t="s">
        <v>4543</v>
      </c>
      <c r="C1273" s="113"/>
      <c r="D1273" s="113"/>
      <c r="E1273" s="113" t="s">
        <v>22</v>
      </c>
      <c r="F1273" s="113" t="s">
        <v>4544</v>
      </c>
      <c r="G1273" s="113" t="s">
        <v>103</v>
      </c>
      <c r="H1273" s="113" t="s">
        <v>103</v>
      </c>
      <c r="I1273" s="115" t="n">
        <v>88.48</v>
      </c>
      <c r="J1273" s="115" t="s">
        <v>80</v>
      </c>
      <c r="K1273" s="113" t="s">
        <v>81</v>
      </c>
      <c r="L1273" s="115" t="n">
        <v>83.48</v>
      </c>
      <c r="M1273" s="115" t="n">
        <v>3.0</v>
      </c>
      <c r="N1273" s="115"/>
      <c r="O1273" s="115"/>
      <c r="P1273" s="115"/>
      <c r="Q1273" s="115"/>
      <c r="R1273" s="115"/>
      <c r="S1273" s="115"/>
      <c r="T1273" s="115"/>
      <c r="U1273" s="115"/>
      <c r="V1273" s="115" t="s">
        <v>82</v>
      </c>
      <c r="W1273" s="115" t="s">
        <v>92</v>
      </c>
      <c r="X1273" s="113">
        <f>IF(INDIRECT("W1273")="Clássico","12%",IF(INDIRECT("W1273")="Premium","17%","-"))</f>
      </c>
      <c r="Y1273" s="113" t="s">
        <v>3454</v>
      </c>
    </row>
    <row r="1274" ht="50.0" customHeight="true">
      <c r="A1274" s="113" t="s">
        <v>22</v>
      </c>
      <c r="B1274" s="113" t="s">
        <v>4543</v>
      </c>
      <c r="C1274" s="113" t="s">
        <v>4545</v>
      </c>
      <c r="D1274" s="113" t="s">
        <v>4545</v>
      </c>
      <c r="E1274" s="114" t="s">
        <v>4265</v>
      </c>
      <c r="F1274" s="116">
        <f>"     "&amp;F1273</f>
      </c>
      <c r="G1274" s="113" t="s">
        <v>4266</v>
      </c>
      <c r="H1274" s="113" t="s">
        <v>103</v>
      </c>
      <c r="I1274" s="113">
        <f>I1273</f>
      </c>
      <c r="J1274" s="113">
        <f>J1273&amp;"     "</f>
      </c>
      <c r="K1274" s="113" t="s">
        <v>81</v>
      </c>
      <c r="L1274" s="113">
        <f>L1273</f>
      </c>
      <c r="M1274" s="113">
        <f>M1273</f>
      </c>
      <c r="N1274" s="113">
        <f>N1273</f>
      </c>
      <c r="O1274" s="113">
        <f>O1273</f>
      </c>
      <c r="P1274" s="113">
        <f>P1273</f>
      </c>
      <c r="Q1274" s="113">
        <f>Q1273</f>
      </c>
      <c r="R1274" s="113">
        <f>R1273</f>
      </c>
      <c r="S1274" s="113">
        <f>S1273</f>
      </c>
      <c r="T1274" s="113">
        <f>T1273</f>
      </c>
      <c r="U1274" s="113">
        <f>U1273</f>
      </c>
      <c r="V1274" s="113">
        <f>V1273&amp;"     "</f>
      </c>
      <c r="W1274" s="113">
        <f>W1273&amp;"     "</f>
      </c>
      <c r="X1274" s="113">
        <f>X1273</f>
      </c>
      <c r="Y1274" s="113" t="s">
        <v>3454</v>
      </c>
    </row>
    <row r="1275" ht="50.0" customHeight="true">
      <c r="A1275" s="113" t="s">
        <v>22</v>
      </c>
      <c r="B1275" s="113" t="s">
        <v>4543</v>
      </c>
      <c r="C1275" s="113" t="s">
        <v>4546</v>
      </c>
      <c r="D1275" s="113" t="s">
        <v>4546</v>
      </c>
      <c r="E1275" s="114" t="s">
        <v>4268</v>
      </c>
      <c r="F1275" s="116">
        <f>"     "&amp;F1273</f>
      </c>
      <c r="G1275" s="113" t="s">
        <v>4269</v>
      </c>
      <c r="H1275" s="113" t="s">
        <v>103</v>
      </c>
      <c r="I1275" s="113">
        <f>I1273</f>
      </c>
      <c r="J1275" s="113">
        <f>J1273&amp;"     "</f>
      </c>
      <c r="K1275" s="113" t="s">
        <v>81</v>
      </c>
      <c r="L1275" s="113">
        <f>L1273</f>
      </c>
      <c r="M1275" s="113">
        <f>M1273</f>
      </c>
      <c r="N1275" s="113">
        <f>N1273</f>
      </c>
      <c r="O1275" s="113">
        <f>O1273</f>
      </c>
      <c r="P1275" s="113">
        <f>P1273</f>
      </c>
      <c r="Q1275" s="113">
        <f>Q1273</f>
      </c>
      <c r="R1275" s="113">
        <f>R1273</f>
      </c>
      <c r="S1275" s="113">
        <f>S1273</f>
      </c>
      <c r="T1275" s="113">
        <f>T1273</f>
      </c>
      <c r="U1275" s="113">
        <f>U1273</f>
      </c>
      <c r="V1275" s="113">
        <f>V1273&amp;"     "</f>
      </c>
      <c r="W1275" s="113">
        <f>W1273&amp;"     "</f>
      </c>
      <c r="X1275" s="113">
        <f>X1273</f>
      </c>
      <c r="Y1275" s="113" t="s">
        <v>3454</v>
      </c>
    </row>
    <row r="1276" ht="50.0" customHeight="true">
      <c r="A1276" s="113" t="s">
        <v>4547</v>
      </c>
      <c r="B1276" s="113" t="s">
        <v>4548</v>
      </c>
      <c r="C1276" s="113" t="s">
        <v>4549</v>
      </c>
      <c r="D1276" s="113"/>
      <c r="E1276" s="114" t="s">
        <v>3244</v>
      </c>
      <c r="F1276" s="113" t="s">
        <v>4550</v>
      </c>
      <c r="G1276" s="113" t="s">
        <v>4550</v>
      </c>
      <c r="H1276" s="113" t="s">
        <v>103</v>
      </c>
      <c r="I1276" s="115" t="n">
        <v>34.81</v>
      </c>
      <c r="J1276" s="115" t="s">
        <v>80</v>
      </c>
      <c r="K1276" s="115" t="s">
        <v>81</v>
      </c>
      <c r="L1276" s="115" t="n">
        <v>29.51</v>
      </c>
      <c r="M1276" s="115" t="n">
        <v>3.0</v>
      </c>
      <c r="N1276" s="115"/>
      <c r="O1276" s="115"/>
      <c r="P1276" s="115"/>
      <c r="Q1276" s="115"/>
      <c r="R1276" s="115"/>
      <c r="S1276" s="115"/>
      <c r="T1276" s="115"/>
      <c r="U1276" s="115"/>
      <c r="V1276" s="115" t="s">
        <v>91</v>
      </c>
      <c r="W1276" s="115" t="s">
        <v>92</v>
      </c>
      <c r="X1276" s="113">
        <f>IF(INDIRECT("W1276")="Clássico","12%",IF(INDIRECT("W1276")="Premium","17%","-"))</f>
      </c>
      <c r="Y1276" s="113" t="s">
        <v>3246</v>
      </c>
    </row>
    <row r="1277" ht="50.0" customHeight="true">
      <c r="A1277" s="113" t="s">
        <v>4551</v>
      </c>
      <c r="B1277" s="113" t="s">
        <v>4552</v>
      </c>
      <c r="C1277" s="113" t="s">
        <v>4553</v>
      </c>
      <c r="D1277" s="113"/>
      <c r="E1277" s="114" t="s">
        <v>3983</v>
      </c>
      <c r="F1277" s="113" t="s">
        <v>4554</v>
      </c>
      <c r="G1277" s="113" t="s">
        <v>4554</v>
      </c>
      <c r="H1277" s="113" t="s">
        <v>103</v>
      </c>
      <c r="I1277" s="115" t="n">
        <v>526.25</v>
      </c>
      <c r="J1277" s="115" t="s">
        <v>80</v>
      </c>
      <c r="K1277" s="115" t="s">
        <v>81</v>
      </c>
      <c r="L1277" s="115" t="n">
        <v>521.25</v>
      </c>
      <c r="M1277" s="115" t="n">
        <v>3.0</v>
      </c>
      <c r="N1277" s="115"/>
      <c r="O1277" s="115"/>
      <c r="P1277" s="115"/>
      <c r="Q1277" s="115"/>
      <c r="R1277" s="115"/>
      <c r="S1277" s="115"/>
      <c r="T1277" s="115"/>
      <c r="U1277" s="115"/>
      <c r="V1277" s="115" t="s">
        <v>82</v>
      </c>
      <c r="W1277" s="115" t="s">
        <v>83</v>
      </c>
      <c r="X1277" s="113">
        <f>IF(INDIRECT("W1277")="Clássico","12%",IF(INDIRECT("W1277")="Premium","17%","-"))</f>
      </c>
      <c r="Y1277" s="113" t="s">
        <v>1774</v>
      </c>
    </row>
    <row r="1278" ht="50.0" customHeight="true">
      <c r="A1278" s="113" t="s">
        <v>4555</v>
      </c>
      <c r="B1278" s="113" t="s">
        <v>4556</v>
      </c>
      <c r="C1278" s="113" t="s">
        <v>4557</v>
      </c>
      <c r="D1278" s="113"/>
      <c r="E1278" s="114" t="s">
        <v>3529</v>
      </c>
      <c r="F1278" s="113" t="s">
        <v>4558</v>
      </c>
      <c r="G1278" s="113" t="s">
        <v>1140</v>
      </c>
      <c r="H1278" s="113" t="s">
        <v>103</v>
      </c>
      <c r="I1278" s="115" t="n">
        <v>93.66</v>
      </c>
      <c r="J1278" s="115" t="s">
        <v>80</v>
      </c>
      <c r="K1278" s="115" t="s">
        <v>81</v>
      </c>
      <c r="L1278" s="115" t="n">
        <v>88.66</v>
      </c>
      <c r="M1278" s="115" t="n">
        <v>3.0</v>
      </c>
      <c r="N1278" s="115"/>
      <c r="O1278" s="115"/>
      <c r="P1278" s="115"/>
      <c r="Q1278" s="115"/>
      <c r="R1278" s="115"/>
      <c r="S1278" s="115"/>
      <c r="T1278" s="115"/>
      <c r="U1278" s="115"/>
      <c r="V1278" s="115" t="s">
        <v>82</v>
      </c>
      <c r="W1278" s="115" t="s">
        <v>92</v>
      </c>
      <c r="X1278" s="113">
        <f>IF(INDIRECT("W1278")="Clássico","12%",IF(INDIRECT("W1278")="Premium","17%","-"))</f>
      </c>
      <c r="Y1278" s="113" t="s">
        <v>1048</v>
      </c>
    </row>
    <row r="1279" ht="50.0" customHeight="true">
      <c r="A1279" s="113" t="s">
        <v>4559</v>
      </c>
      <c r="B1279" s="113" t="s">
        <v>4560</v>
      </c>
      <c r="C1279" s="113" t="s">
        <v>4561</v>
      </c>
      <c r="D1279" s="113"/>
      <c r="E1279" s="114" t="s">
        <v>3534</v>
      </c>
      <c r="F1279" s="113" t="s">
        <v>3535</v>
      </c>
      <c r="G1279" s="113" t="s">
        <v>3535</v>
      </c>
      <c r="H1279" s="113" t="s">
        <v>103</v>
      </c>
      <c r="I1279" s="115" t="n">
        <v>344.18</v>
      </c>
      <c r="J1279" s="115" t="s">
        <v>80</v>
      </c>
      <c r="K1279" s="115" t="s">
        <v>81</v>
      </c>
      <c r="L1279" s="115" t="n">
        <v>339.18</v>
      </c>
      <c r="M1279" s="115" t="n">
        <v>3.0</v>
      </c>
      <c r="N1279" s="115"/>
      <c r="O1279" s="115"/>
      <c r="P1279" s="115"/>
      <c r="Q1279" s="115"/>
      <c r="R1279" s="115"/>
      <c r="S1279" s="115"/>
      <c r="T1279" s="115"/>
      <c r="U1279" s="115"/>
      <c r="V1279" s="115" t="s">
        <v>82</v>
      </c>
      <c r="W1279" s="115" t="s">
        <v>92</v>
      </c>
      <c r="X1279" s="113">
        <f>IF(INDIRECT("W1279")="Clássico","12%",IF(INDIRECT("W1279")="Premium","17%","-"))</f>
      </c>
      <c r="Y1279" s="113" t="s">
        <v>1674</v>
      </c>
    </row>
    <row r="1280" ht="50.0" customHeight="true">
      <c r="A1280" s="113" t="s">
        <v>4562</v>
      </c>
      <c r="B1280" s="113" t="s">
        <v>4563</v>
      </c>
      <c r="C1280" s="113" t="s">
        <v>4564</v>
      </c>
      <c r="D1280" s="113"/>
      <c r="E1280" s="114" t="s">
        <v>3674</v>
      </c>
      <c r="F1280" s="113" t="s">
        <v>4565</v>
      </c>
      <c r="G1280" s="113" t="s">
        <v>4565</v>
      </c>
      <c r="H1280" s="113" t="s">
        <v>103</v>
      </c>
      <c r="I1280" s="115" t="n">
        <v>249.24</v>
      </c>
      <c r="J1280" s="115" t="s">
        <v>80</v>
      </c>
      <c r="K1280" s="115" t="s">
        <v>81</v>
      </c>
      <c r="L1280" s="115" t="n">
        <v>122.84</v>
      </c>
      <c r="M1280" s="115" t="n">
        <v>3.0</v>
      </c>
      <c r="N1280" s="115"/>
      <c r="O1280" s="115"/>
      <c r="P1280" s="115"/>
      <c r="Q1280" s="115"/>
      <c r="R1280" s="115"/>
      <c r="S1280" s="115"/>
      <c r="T1280" s="115"/>
      <c r="U1280" s="115"/>
      <c r="V1280" s="115" t="s">
        <v>82</v>
      </c>
      <c r="W1280" s="115" t="s">
        <v>92</v>
      </c>
      <c r="X1280" s="113">
        <f>IF(INDIRECT("W1280")="Clássico","12%",IF(INDIRECT("W1280")="Premium","17%","-"))</f>
      </c>
      <c r="Y1280" s="113" t="s">
        <v>200</v>
      </c>
    </row>
    <row r="1281" ht="50.0" customHeight="true">
      <c r="A1281" s="113" t="s">
        <v>4566</v>
      </c>
      <c r="B1281" s="113" t="s">
        <v>4567</v>
      </c>
      <c r="C1281" s="113" t="s">
        <v>4568</v>
      </c>
      <c r="D1281" s="113"/>
      <c r="E1281" s="114" t="s">
        <v>4034</v>
      </c>
      <c r="F1281" s="113" t="s">
        <v>4569</v>
      </c>
      <c r="G1281" s="113" t="s">
        <v>4569</v>
      </c>
      <c r="H1281" s="113" t="s">
        <v>103</v>
      </c>
      <c r="I1281" s="115" t="n">
        <v>53.5</v>
      </c>
      <c r="J1281" s="115" t="s">
        <v>80</v>
      </c>
      <c r="K1281" s="115" t="s">
        <v>81</v>
      </c>
      <c r="L1281" s="115" t="n">
        <v>48.5</v>
      </c>
      <c r="M1281" s="115" t="n">
        <v>3.0</v>
      </c>
      <c r="N1281" s="115"/>
      <c r="O1281" s="115"/>
      <c r="P1281" s="115"/>
      <c r="Q1281" s="115"/>
      <c r="R1281" s="115"/>
      <c r="S1281" s="115"/>
      <c r="T1281" s="115"/>
      <c r="U1281" s="115"/>
      <c r="V1281" s="115" t="s">
        <v>91</v>
      </c>
      <c r="W1281" s="115" t="s">
        <v>83</v>
      </c>
      <c r="X1281" s="113">
        <f>IF(INDIRECT("W1281")="Clássico","12%",IF(INDIRECT("W1281")="Premium","17%","-"))</f>
      </c>
      <c r="Y1281" s="113" t="s">
        <v>164</v>
      </c>
    </row>
    <row r="1282" ht="50.0" customHeight="true">
      <c r="A1282" s="113" t="s">
        <v>4570</v>
      </c>
      <c r="B1282" s="113" t="s">
        <v>4571</v>
      </c>
      <c r="C1282" s="113" t="s">
        <v>4572</v>
      </c>
      <c r="D1282" s="113"/>
      <c r="E1282" s="114" t="s">
        <v>3353</v>
      </c>
      <c r="F1282" s="113" t="s">
        <v>3354</v>
      </c>
      <c r="G1282" s="113" t="s">
        <v>3354</v>
      </c>
      <c r="H1282" s="113" t="s">
        <v>103</v>
      </c>
      <c r="I1282" s="115" t="n">
        <v>364.43</v>
      </c>
      <c r="J1282" s="115" t="s">
        <v>80</v>
      </c>
      <c r="K1282" s="115" t="s">
        <v>81</v>
      </c>
      <c r="L1282" s="115" t="n">
        <v>403.36</v>
      </c>
      <c r="M1282" s="115" t="n">
        <v>3.0</v>
      </c>
      <c r="N1282" s="115"/>
      <c r="O1282" s="115"/>
      <c r="P1282" s="115"/>
      <c r="Q1282" s="115"/>
      <c r="R1282" s="115"/>
      <c r="S1282" s="115"/>
      <c r="T1282" s="115"/>
      <c r="U1282" s="115"/>
      <c r="V1282" s="115" t="s">
        <v>82</v>
      </c>
      <c r="W1282" s="115" t="s">
        <v>92</v>
      </c>
      <c r="X1282" s="113">
        <f>IF(INDIRECT("W1282")="Clássico","12%",IF(INDIRECT("W1282")="Premium","17%","-"))</f>
      </c>
      <c r="Y1282" s="113" t="s">
        <v>414</v>
      </c>
    </row>
    <row r="1283" ht="50.0" customHeight="true">
      <c r="A1283" s="113" t="s">
        <v>4249</v>
      </c>
      <c r="B1283" s="113" t="s">
        <v>4573</v>
      </c>
      <c r="C1283" s="113" t="s">
        <v>4251</v>
      </c>
      <c r="D1283" s="113"/>
      <c r="E1283" s="114" t="s">
        <v>3316</v>
      </c>
      <c r="F1283" s="113" t="s">
        <v>4574</v>
      </c>
      <c r="G1283" s="113" t="s">
        <v>103</v>
      </c>
      <c r="H1283" s="113" t="s">
        <v>103</v>
      </c>
      <c r="I1283" s="115" t="n">
        <v>183.47</v>
      </c>
      <c r="J1283" s="115" t="s">
        <v>80</v>
      </c>
      <c r="K1283" s="115" t="s">
        <v>81</v>
      </c>
      <c r="L1283" s="115" t="n">
        <v>178.47</v>
      </c>
      <c r="M1283" s="115" t="n">
        <v>3.0</v>
      </c>
      <c r="N1283" s="115"/>
      <c r="O1283" s="115"/>
      <c r="P1283" s="115"/>
      <c r="Q1283" s="115"/>
      <c r="R1283" s="115"/>
      <c r="S1283" s="115"/>
      <c r="T1283" s="115"/>
      <c r="U1283" s="115"/>
      <c r="V1283" s="115" t="s">
        <v>82</v>
      </c>
      <c r="W1283" s="115" t="s">
        <v>92</v>
      </c>
      <c r="X1283" s="113">
        <f>IF(INDIRECT("W1283")="Clássico","12%",IF(INDIRECT("W1283")="Premium","17%","-"))</f>
      </c>
      <c r="Y1283" s="113" t="s">
        <v>1751</v>
      </c>
    </row>
    <row r="1284" ht="50.0" customHeight="true">
      <c r="A1284" s="113" t="s">
        <v>4575</v>
      </c>
      <c r="B1284" s="113" t="s">
        <v>4576</v>
      </c>
      <c r="C1284" s="113" t="s">
        <v>4577</v>
      </c>
      <c r="D1284" s="113"/>
      <c r="E1284" s="114" t="s">
        <v>4075</v>
      </c>
      <c r="F1284" s="113" t="s">
        <v>4578</v>
      </c>
      <c r="G1284" s="113" t="s">
        <v>4578</v>
      </c>
      <c r="H1284" s="113" t="s">
        <v>103</v>
      </c>
      <c r="I1284" s="115" t="n">
        <v>96.19</v>
      </c>
      <c r="J1284" s="115" t="s">
        <v>80</v>
      </c>
      <c r="K1284" s="115" t="s">
        <v>81</v>
      </c>
      <c r="L1284" s="115" t="n">
        <v>91.19</v>
      </c>
      <c r="M1284" s="115" t="n">
        <v>3.0</v>
      </c>
      <c r="N1284" s="115"/>
      <c r="O1284" s="115"/>
      <c r="P1284" s="115"/>
      <c r="Q1284" s="115"/>
      <c r="R1284" s="115"/>
      <c r="S1284" s="115"/>
      <c r="T1284" s="115"/>
      <c r="U1284" s="115"/>
      <c r="V1284" s="115" t="s">
        <v>82</v>
      </c>
      <c r="W1284" s="115" t="s">
        <v>92</v>
      </c>
      <c r="X1284" s="113">
        <f>IF(INDIRECT("W1284")="Clássico","12%",IF(INDIRECT("W1284")="Premium","17%","-"))</f>
      </c>
      <c r="Y1284" s="113" t="s">
        <v>2316</v>
      </c>
    </row>
    <row r="1285" ht="50.0" customHeight="true">
      <c r="A1285" s="113" t="s">
        <v>4579</v>
      </c>
      <c r="B1285" s="113" t="s">
        <v>4580</v>
      </c>
      <c r="C1285" s="113" t="s">
        <v>4581</v>
      </c>
      <c r="D1285" s="113"/>
      <c r="E1285" s="114" t="s">
        <v>4003</v>
      </c>
      <c r="F1285" s="113" t="s">
        <v>4582</v>
      </c>
      <c r="G1285" s="113" t="s">
        <v>4582</v>
      </c>
      <c r="H1285" s="113" t="s">
        <v>103</v>
      </c>
      <c r="I1285" s="115" t="n">
        <v>110.12</v>
      </c>
      <c r="J1285" s="115" t="s">
        <v>80</v>
      </c>
      <c r="K1285" s="115" t="s">
        <v>81</v>
      </c>
      <c r="L1285" s="115" t="n">
        <v>105.12</v>
      </c>
      <c r="M1285" s="115" t="n">
        <v>3.0</v>
      </c>
      <c r="N1285" s="115"/>
      <c r="O1285" s="115"/>
      <c r="P1285" s="115"/>
      <c r="Q1285" s="115"/>
      <c r="R1285" s="115"/>
      <c r="S1285" s="115"/>
      <c r="T1285" s="115"/>
      <c r="U1285" s="115"/>
      <c r="V1285" s="115" t="s">
        <v>82</v>
      </c>
      <c r="W1285" s="115" t="s">
        <v>83</v>
      </c>
      <c r="X1285" s="113">
        <f>IF(INDIRECT("W1285")="Clássico","12%",IF(INDIRECT("W1285")="Premium","17%","-"))</f>
      </c>
      <c r="Y1285" s="113" t="s">
        <v>1048</v>
      </c>
    </row>
    <row r="1286" ht="50.0" customHeight="true">
      <c r="A1286" s="113" t="s">
        <v>4583</v>
      </c>
      <c r="B1286" s="113" t="s">
        <v>4584</v>
      </c>
      <c r="C1286" s="113" t="s">
        <v>4585</v>
      </c>
      <c r="D1286" s="113"/>
      <c r="E1286" s="114" t="s">
        <v>4586</v>
      </c>
      <c r="F1286" s="113" t="s">
        <v>4587</v>
      </c>
      <c r="G1286" s="113" t="s">
        <v>4587</v>
      </c>
      <c r="H1286" s="113" t="s">
        <v>103</v>
      </c>
      <c r="I1286" s="115" t="n">
        <v>485.77</v>
      </c>
      <c r="J1286" s="115" t="s">
        <v>80</v>
      </c>
      <c r="K1286" s="115" t="s">
        <v>81</v>
      </c>
      <c r="L1286" s="115" t="n">
        <v>480.77</v>
      </c>
      <c r="M1286" s="115" t="n">
        <v>3.0</v>
      </c>
      <c r="N1286" s="115"/>
      <c r="O1286" s="115"/>
      <c r="P1286" s="115"/>
      <c r="Q1286" s="115"/>
      <c r="R1286" s="115"/>
      <c r="S1286" s="115"/>
      <c r="T1286" s="115"/>
      <c r="U1286" s="115"/>
      <c r="V1286" s="115" t="s">
        <v>82</v>
      </c>
      <c r="W1286" s="115" t="s">
        <v>92</v>
      </c>
      <c r="X1286" s="113">
        <f>IF(INDIRECT("W1286")="Clássico","12%",IF(INDIRECT("W1286")="Premium","17%","-"))</f>
      </c>
      <c r="Y1286" s="113" t="s">
        <v>783</v>
      </c>
    </row>
    <row r="1287" ht="50.0" customHeight="true">
      <c r="A1287" s="113" t="s">
        <v>4588</v>
      </c>
      <c r="B1287" s="113" t="s">
        <v>4589</v>
      </c>
      <c r="C1287" s="113" t="s">
        <v>4590</v>
      </c>
      <c r="D1287" s="113"/>
      <c r="E1287" s="114" t="s">
        <v>3983</v>
      </c>
      <c r="F1287" s="113" t="s">
        <v>4591</v>
      </c>
      <c r="G1287" s="113" t="s">
        <v>4591</v>
      </c>
      <c r="H1287" s="113" t="s">
        <v>103</v>
      </c>
      <c r="I1287" s="115" t="n">
        <v>524.11</v>
      </c>
      <c r="J1287" s="115" t="s">
        <v>80</v>
      </c>
      <c r="K1287" s="115" t="s">
        <v>81</v>
      </c>
      <c r="L1287" s="115" t="n">
        <v>519.11</v>
      </c>
      <c r="M1287" s="115" t="n">
        <v>3.0</v>
      </c>
      <c r="N1287" s="115"/>
      <c r="O1287" s="115"/>
      <c r="P1287" s="115"/>
      <c r="Q1287" s="115"/>
      <c r="R1287" s="115"/>
      <c r="S1287" s="115"/>
      <c r="T1287" s="115"/>
      <c r="U1287" s="115"/>
      <c r="V1287" s="115" t="s">
        <v>82</v>
      </c>
      <c r="W1287" s="115" t="s">
        <v>83</v>
      </c>
      <c r="X1287" s="113">
        <f>IF(INDIRECT("W1287")="Clássico","12%",IF(INDIRECT("W1287")="Premium","17%","-"))</f>
      </c>
      <c r="Y1287" s="113" t="s">
        <v>1774</v>
      </c>
    </row>
    <row r="1288" ht="50.0" customHeight="true">
      <c r="A1288" s="113" t="s">
        <v>4592</v>
      </c>
      <c r="B1288" s="113" t="s">
        <v>4593</v>
      </c>
      <c r="C1288" s="113" t="s">
        <v>4594</v>
      </c>
      <c r="D1288" s="113"/>
      <c r="E1288" s="114" t="s">
        <v>3601</v>
      </c>
      <c r="F1288" s="113" t="s">
        <v>4595</v>
      </c>
      <c r="G1288" s="113" t="s">
        <v>493</v>
      </c>
      <c r="H1288" s="113" t="s">
        <v>103</v>
      </c>
      <c r="I1288" s="115" t="n">
        <v>237.83</v>
      </c>
      <c r="J1288" s="115" t="s">
        <v>80</v>
      </c>
      <c r="K1288" s="115" t="s">
        <v>81</v>
      </c>
      <c r="L1288" s="115" t="n">
        <v>232.83</v>
      </c>
      <c r="M1288" s="115" t="n">
        <v>3.0</v>
      </c>
      <c r="N1288" s="115"/>
      <c r="O1288" s="115"/>
      <c r="P1288" s="115"/>
      <c r="Q1288" s="115"/>
      <c r="R1288" s="115"/>
      <c r="S1288" s="115"/>
      <c r="T1288" s="115"/>
      <c r="U1288" s="115"/>
      <c r="V1288" s="115" t="s">
        <v>82</v>
      </c>
      <c r="W1288" s="115" t="s">
        <v>83</v>
      </c>
      <c r="X1288" s="113">
        <f>IF(INDIRECT("W1288")="Clássico","12%",IF(INDIRECT("W1288")="Premium","17%","-"))</f>
      </c>
      <c r="Y1288" s="113" t="s">
        <v>1048</v>
      </c>
    </row>
    <row r="1289" ht="50.0" customHeight="true">
      <c r="A1289" s="113" t="s">
        <v>4596</v>
      </c>
      <c r="B1289" s="113" t="s">
        <v>4597</v>
      </c>
      <c r="C1289" s="113" t="s">
        <v>4598</v>
      </c>
      <c r="D1289" s="113"/>
      <c r="E1289" s="114" t="s">
        <v>4599</v>
      </c>
      <c r="F1289" s="113" t="s">
        <v>4600</v>
      </c>
      <c r="G1289" s="113" t="s">
        <v>4600</v>
      </c>
      <c r="H1289" s="113" t="s">
        <v>103</v>
      </c>
      <c r="I1289" s="115" t="n">
        <v>50.99</v>
      </c>
      <c r="J1289" s="115" t="s">
        <v>80</v>
      </c>
      <c r="K1289" s="115" t="s">
        <v>81</v>
      </c>
      <c r="L1289" s="115" t="n">
        <v>45.99</v>
      </c>
      <c r="M1289" s="115" t="n">
        <v>3.0</v>
      </c>
      <c r="N1289" s="115"/>
      <c r="O1289" s="115"/>
      <c r="P1289" s="115"/>
      <c r="Q1289" s="115"/>
      <c r="R1289" s="115"/>
      <c r="S1289" s="115"/>
      <c r="T1289" s="115"/>
      <c r="U1289" s="115"/>
      <c r="V1289" s="115" t="s">
        <v>91</v>
      </c>
      <c r="W1289" s="115" t="s">
        <v>83</v>
      </c>
      <c r="X1289" s="113">
        <f>IF(INDIRECT("W1289")="Clássico","12%",IF(INDIRECT("W1289")="Premium","17%","-"))</f>
      </c>
      <c r="Y1289" s="113" t="s">
        <v>1979</v>
      </c>
    </row>
    <row r="1290" ht="50.0" customHeight="true">
      <c r="A1290" s="113" t="s">
        <v>4601</v>
      </c>
      <c r="B1290" s="113" t="s">
        <v>4602</v>
      </c>
      <c r="C1290" s="113" t="s">
        <v>4603</v>
      </c>
      <c r="D1290" s="113"/>
      <c r="E1290" s="114" t="s">
        <v>4604</v>
      </c>
      <c r="F1290" s="113" t="s">
        <v>4605</v>
      </c>
      <c r="G1290" s="113" t="s">
        <v>4606</v>
      </c>
      <c r="H1290" s="113" t="s">
        <v>103</v>
      </c>
      <c r="I1290" s="115" t="n">
        <v>360.64</v>
      </c>
      <c r="J1290" s="115" t="s">
        <v>80</v>
      </c>
      <c r="K1290" s="115" t="s">
        <v>81</v>
      </c>
      <c r="L1290" s="115" t="n">
        <v>355.64</v>
      </c>
      <c r="M1290" s="115" t="n">
        <v>3.0</v>
      </c>
      <c r="N1290" s="115"/>
      <c r="O1290" s="115"/>
      <c r="P1290" s="115"/>
      <c r="Q1290" s="115"/>
      <c r="R1290" s="115"/>
      <c r="S1290" s="115"/>
      <c r="T1290" s="115"/>
      <c r="U1290" s="115"/>
      <c r="V1290" s="115" t="s">
        <v>82</v>
      </c>
      <c r="W1290" s="115" t="s">
        <v>83</v>
      </c>
      <c r="X1290" s="113">
        <f>IF(INDIRECT("W1290")="Clássico","12%",IF(INDIRECT("W1290")="Premium","17%","-"))</f>
      </c>
      <c r="Y1290" s="113" t="s">
        <v>1154</v>
      </c>
    </row>
    <row r="1291" ht="50.0" customHeight="true">
      <c r="A1291" s="113" t="s">
        <v>4215</v>
      </c>
      <c r="B1291" s="113" t="s">
        <v>4607</v>
      </c>
      <c r="C1291" s="113" t="s">
        <v>4608</v>
      </c>
      <c r="D1291" s="113"/>
      <c r="E1291" s="114" t="s">
        <v>3862</v>
      </c>
      <c r="F1291" s="113" t="s">
        <v>4218</v>
      </c>
      <c r="G1291" s="113" t="s">
        <v>4218</v>
      </c>
      <c r="H1291" s="113" t="s">
        <v>103</v>
      </c>
      <c r="I1291" s="115" t="n">
        <v>164.42</v>
      </c>
      <c r="J1291" s="115" t="s">
        <v>80</v>
      </c>
      <c r="K1291" s="115" t="s">
        <v>81</v>
      </c>
      <c r="L1291" s="115" t="n">
        <v>159.42</v>
      </c>
      <c r="M1291" s="115" t="n">
        <v>3.0</v>
      </c>
      <c r="N1291" s="115"/>
      <c r="O1291" s="115"/>
      <c r="P1291" s="115"/>
      <c r="Q1291" s="115"/>
      <c r="R1291" s="115"/>
      <c r="S1291" s="115"/>
      <c r="T1291" s="115"/>
      <c r="U1291" s="115"/>
      <c r="V1291" s="115" t="s">
        <v>82</v>
      </c>
      <c r="W1291" s="115" t="s">
        <v>83</v>
      </c>
      <c r="X1291" s="113">
        <f>IF(INDIRECT("W1291")="Clássico","12%",IF(INDIRECT("W1291")="Premium","17%","-"))</f>
      </c>
      <c r="Y1291" s="113" t="s">
        <v>4219</v>
      </c>
    </row>
    <row r="1292" ht="50.0" customHeight="true">
      <c r="A1292" s="113" t="s">
        <v>4609</v>
      </c>
      <c r="B1292" s="113" t="s">
        <v>4610</v>
      </c>
      <c r="C1292" s="113" t="s">
        <v>4611</v>
      </c>
      <c r="D1292" s="113"/>
      <c r="E1292" s="114" t="s">
        <v>4612</v>
      </c>
      <c r="F1292" s="113" t="s">
        <v>4613</v>
      </c>
      <c r="G1292" s="113" t="s">
        <v>4613</v>
      </c>
      <c r="H1292" s="113" t="s">
        <v>103</v>
      </c>
      <c r="I1292" s="115" t="n">
        <v>61.77</v>
      </c>
      <c r="J1292" s="115" t="s">
        <v>80</v>
      </c>
      <c r="K1292" s="115" t="s">
        <v>81</v>
      </c>
      <c r="L1292" s="115" t="n">
        <v>56.77</v>
      </c>
      <c r="M1292" s="115" t="n">
        <v>3.0</v>
      </c>
      <c r="N1292" s="115"/>
      <c r="O1292" s="115"/>
      <c r="P1292" s="115"/>
      <c r="Q1292" s="115"/>
      <c r="R1292" s="115"/>
      <c r="S1292" s="115"/>
      <c r="T1292" s="115"/>
      <c r="U1292" s="115"/>
      <c r="V1292" s="115" t="s">
        <v>91</v>
      </c>
      <c r="W1292" s="115" t="s">
        <v>83</v>
      </c>
      <c r="X1292" s="113">
        <f>IF(INDIRECT("W1292")="Clássico","12%",IF(INDIRECT("W1292")="Premium","17%","-"))</f>
      </c>
      <c r="Y1292" s="113" t="s">
        <v>1979</v>
      </c>
    </row>
    <row r="1293" ht="50.0" customHeight="true">
      <c r="A1293" s="113" t="s">
        <v>4614</v>
      </c>
      <c r="B1293" s="113" t="s">
        <v>4615</v>
      </c>
      <c r="C1293" s="113" t="s">
        <v>4616</v>
      </c>
      <c r="D1293" s="113"/>
      <c r="E1293" s="114" t="s">
        <v>4275</v>
      </c>
      <c r="F1293" s="113" t="s">
        <v>4617</v>
      </c>
      <c r="G1293" s="113" t="s">
        <v>4617</v>
      </c>
      <c r="H1293" s="113" t="s">
        <v>103</v>
      </c>
      <c r="I1293" s="115" t="n">
        <v>185.95</v>
      </c>
      <c r="J1293" s="115" t="s">
        <v>80</v>
      </c>
      <c r="K1293" s="115" t="s">
        <v>81</v>
      </c>
      <c r="L1293" s="115" t="n">
        <v>181.07</v>
      </c>
      <c r="M1293" s="115" t="n">
        <v>3.0</v>
      </c>
      <c r="N1293" s="115"/>
      <c r="O1293" s="115"/>
      <c r="P1293" s="115"/>
      <c r="Q1293" s="115"/>
      <c r="R1293" s="115"/>
      <c r="S1293" s="115"/>
      <c r="T1293" s="115"/>
      <c r="U1293" s="115"/>
      <c r="V1293" s="115" t="s">
        <v>82</v>
      </c>
      <c r="W1293" s="115" t="s">
        <v>83</v>
      </c>
      <c r="X1293" s="113">
        <f>IF(INDIRECT("W1293")="Clássico","12%",IF(INDIRECT("W1293")="Premium","17%","-"))</f>
      </c>
      <c r="Y1293" s="113" t="s">
        <v>2018</v>
      </c>
    </row>
    <row r="1294" ht="50.0" customHeight="true">
      <c r="A1294" s="113" t="s">
        <v>4618</v>
      </c>
      <c r="B1294" s="113" t="s">
        <v>4619</v>
      </c>
      <c r="C1294" s="113" t="s">
        <v>4620</v>
      </c>
      <c r="D1294" s="113"/>
      <c r="E1294" s="114" t="s">
        <v>4182</v>
      </c>
      <c r="F1294" s="113" t="s">
        <v>4621</v>
      </c>
      <c r="G1294" s="113" t="s">
        <v>4621</v>
      </c>
      <c r="H1294" s="113" t="s">
        <v>103</v>
      </c>
      <c r="I1294" s="115" t="n">
        <v>245.45</v>
      </c>
      <c r="J1294" s="115" t="s">
        <v>80</v>
      </c>
      <c r="K1294" s="115" t="s">
        <v>81</v>
      </c>
      <c r="L1294" s="115" t="n">
        <v>213.86</v>
      </c>
      <c r="M1294" s="115" t="n">
        <v>3.0</v>
      </c>
      <c r="N1294" s="115"/>
      <c r="O1294" s="115"/>
      <c r="P1294" s="115"/>
      <c r="Q1294" s="115"/>
      <c r="R1294" s="115"/>
      <c r="S1294" s="115"/>
      <c r="T1294" s="115"/>
      <c r="U1294" s="115"/>
      <c r="V1294" s="115" t="s">
        <v>82</v>
      </c>
      <c r="W1294" s="115" t="s">
        <v>92</v>
      </c>
      <c r="X1294" s="113">
        <f>IF(INDIRECT("W1294")="Clássico","12%",IF(INDIRECT("W1294")="Premium","17%","-"))</f>
      </c>
      <c r="Y1294" s="113" t="s">
        <v>4622</v>
      </c>
    </row>
    <row r="1295" ht="50.0" customHeight="true">
      <c r="A1295" s="113" t="s">
        <v>4623</v>
      </c>
      <c r="B1295" s="113" t="s">
        <v>4624</v>
      </c>
      <c r="C1295" s="113" t="s">
        <v>4625</v>
      </c>
      <c r="D1295" s="113"/>
      <c r="E1295" s="114" t="s">
        <v>4187</v>
      </c>
      <c r="F1295" s="113" t="s">
        <v>4626</v>
      </c>
      <c r="G1295" s="113" t="s">
        <v>4626</v>
      </c>
      <c r="H1295" s="113" t="s">
        <v>103</v>
      </c>
      <c r="I1295" s="115" t="n">
        <v>65.98</v>
      </c>
      <c r="J1295" s="115" t="s">
        <v>80</v>
      </c>
      <c r="K1295" s="115" t="s">
        <v>81</v>
      </c>
      <c r="L1295" s="115" t="n">
        <v>60.98</v>
      </c>
      <c r="M1295" s="115" t="n">
        <v>3.0</v>
      </c>
      <c r="N1295" s="115"/>
      <c r="O1295" s="115"/>
      <c r="P1295" s="115"/>
      <c r="Q1295" s="115"/>
      <c r="R1295" s="115"/>
      <c r="S1295" s="115"/>
      <c r="T1295" s="115"/>
      <c r="U1295" s="115"/>
      <c r="V1295" s="115" t="s">
        <v>91</v>
      </c>
      <c r="W1295" s="115" t="s">
        <v>92</v>
      </c>
      <c r="X1295" s="113">
        <f>IF(INDIRECT("W1295")="Clássico","11.5%",IF(INDIRECT("W1295")="Premium","16.5%","-"))</f>
      </c>
      <c r="Y1295" s="113" t="s">
        <v>4189</v>
      </c>
    </row>
    <row r="1296" ht="50.0" customHeight="true">
      <c r="A1296" s="113" t="s">
        <v>22</v>
      </c>
      <c r="B1296" s="113" t="s">
        <v>4627</v>
      </c>
      <c r="C1296" s="113"/>
      <c r="D1296" s="113"/>
      <c r="E1296" s="113" t="s">
        <v>1193</v>
      </c>
      <c r="F1296" s="113" t="s">
        <v>4628</v>
      </c>
      <c r="G1296" s="113" t="s">
        <v>103</v>
      </c>
      <c r="H1296" s="113" t="s">
        <v>103</v>
      </c>
      <c r="I1296" s="115" t="n">
        <v>323.71</v>
      </c>
      <c r="J1296" s="115" t="s">
        <v>80</v>
      </c>
      <c r="K1296" s="113" t="s">
        <v>81</v>
      </c>
      <c r="L1296" s="115" t="n">
        <v>318.71</v>
      </c>
      <c r="M1296" s="115" t="n">
        <v>3.0</v>
      </c>
      <c r="N1296" s="115"/>
      <c r="O1296" s="115"/>
      <c r="P1296" s="115"/>
      <c r="Q1296" s="115"/>
      <c r="R1296" s="115"/>
      <c r="S1296" s="115"/>
      <c r="T1296" s="115"/>
      <c r="U1296" s="115"/>
      <c r="V1296" s="115" t="s">
        <v>82</v>
      </c>
      <c r="W1296" s="115" t="s">
        <v>83</v>
      </c>
      <c r="X1296" s="113">
        <f>IF(INDIRECT("W1296")="Clássico","12%",IF(INDIRECT("W1296")="Premium","17%","-"))</f>
      </c>
      <c r="Y1296" s="113" t="s">
        <v>1330</v>
      </c>
    </row>
    <row r="1297" ht="50.0" customHeight="true">
      <c r="A1297" s="113" t="s">
        <v>22</v>
      </c>
      <c r="B1297" s="113" t="s">
        <v>4627</v>
      </c>
      <c r="C1297" s="113" t="s">
        <v>4629</v>
      </c>
      <c r="D1297" s="113" t="s">
        <v>4629</v>
      </c>
      <c r="E1297" s="114" t="s">
        <v>4630</v>
      </c>
      <c r="F1297" s="116">
        <f>"     "&amp;F1296</f>
      </c>
      <c r="G1297" s="113" t="s">
        <v>4631</v>
      </c>
      <c r="H1297" s="113" t="s">
        <v>103</v>
      </c>
      <c r="I1297" s="113">
        <f>I1296</f>
      </c>
      <c r="J1297" s="113">
        <f>J1296&amp;"     "</f>
      </c>
      <c r="K1297" s="113" t="s">
        <v>81</v>
      </c>
      <c r="L1297" s="113">
        <f>L1296</f>
      </c>
      <c r="M1297" s="113">
        <f>M1296</f>
      </c>
      <c r="N1297" s="113">
        <f>N1296</f>
      </c>
      <c r="O1297" s="113">
        <f>O1296</f>
      </c>
      <c r="P1297" s="113">
        <f>P1296</f>
      </c>
      <c r="Q1297" s="113">
        <f>Q1296</f>
      </c>
      <c r="R1297" s="113">
        <f>R1296</f>
      </c>
      <c r="S1297" s="113">
        <f>S1296</f>
      </c>
      <c r="T1297" s="113">
        <f>T1296</f>
      </c>
      <c r="U1297" s="113">
        <f>U1296</f>
      </c>
      <c r="V1297" s="113">
        <f>V1296&amp;"     "</f>
      </c>
      <c r="W1297" s="113">
        <f>W1296&amp;"     "</f>
      </c>
      <c r="X1297" s="113">
        <f>X1296</f>
      </c>
      <c r="Y1297" s="113" t="s">
        <v>1330</v>
      </c>
    </row>
    <row r="1298" ht="50.0" customHeight="true">
      <c r="A1298" s="113" t="s">
        <v>22</v>
      </c>
      <c r="B1298" s="113" t="s">
        <v>4627</v>
      </c>
      <c r="C1298" s="113" t="s">
        <v>4632</v>
      </c>
      <c r="D1298" s="113" t="s">
        <v>4632</v>
      </c>
      <c r="E1298" s="114" t="s">
        <v>4633</v>
      </c>
      <c r="F1298" s="116">
        <f>"     "&amp;F1296</f>
      </c>
      <c r="G1298" s="113" t="s">
        <v>4634</v>
      </c>
      <c r="H1298" s="113" t="s">
        <v>103</v>
      </c>
      <c r="I1298" s="113">
        <f>I1296</f>
      </c>
      <c r="J1298" s="113">
        <f>J1296&amp;"     "</f>
      </c>
      <c r="K1298" s="113" t="s">
        <v>81</v>
      </c>
      <c r="L1298" s="113">
        <f>L1296</f>
      </c>
      <c r="M1298" s="113">
        <f>M1296</f>
      </c>
      <c r="N1298" s="113">
        <f>N1296</f>
      </c>
      <c r="O1298" s="113">
        <f>O1296</f>
      </c>
      <c r="P1298" s="113">
        <f>P1296</f>
      </c>
      <c r="Q1298" s="113">
        <f>Q1296</f>
      </c>
      <c r="R1298" s="113">
        <f>R1296</f>
      </c>
      <c r="S1298" s="113">
        <f>S1296</f>
      </c>
      <c r="T1298" s="113">
        <f>T1296</f>
      </c>
      <c r="U1298" s="113">
        <f>U1296</f>
      </c>
      <c r="V1298" s="113">
        <f>V1296&amp;"     "</f>
      </c>
      <c r="W1298" s="113">
        <f>W1296&amp;"     "</f>
      </c>
      <c r="X1298" s="113">
        <f>X1296</f>
      </c>
      <c r="Y1298" s="113" t="s">
        <v>1330</v>
      </c>
    </row>
    <row r="1299" ht="50.0" customHeight="true">
      <c r="A1299" s="113" t="s">
        <v>22</v>
      </c>
      <c r="B1299" s="113" t="s">
        <v>4627</v>
      </c>
      <c r="C1299" s="113" t="s">
        <v>4635</v>
      </c>
      <c r="D1299" s="113" t="s">
        <v>4635</v>
      </c>
      <c r="E1299" s="114" t="s">
        <v>4636</v>
      </c>
      <c r="F1299" s="116">
        <f>"     "&amp;F1296</f>
      </c>
      <c r="G1299" s="113" t="s">
        <v>4637</v>
      </c>
      <c r="H1299" s="113" t="s">
        <v>103</v>
      </c>
      <c r="I1299" s="113">
        <f>I1296</f>
      </c>
      <c r="J1299" s="113">
        <f>J1296&amp;"     "</f>
      </c>
      <c r="K1299" s="113" t="s">
        <v>81</v>
      </c>
      <c r="L1299" s="113">
        <f>L1296</f>
      </c>
      <c r="M1299" s="113">
        <f>M1296</f>
      </c>
      <c r="N1299" s="113">
        <f>N1296</f>
      </c>
      <c r="O1299" s="113">
        <f>O1296</f>
      </c>
      <c r="P1299" s="113">
        <f>P1296</f>
      </c>
      <c r="Q1299" s="113">
        <f>Q1296</f>
      </c>
      <c r="R1299" s="113">
        <f>R1296</f>
      </c>
      <c r="S1299" s="113">
        <f>S1296</f>
      </c>
      <c r="T1299" s="113">
        <f>T1296</f>
      </c>
      <c r="U1299" s="113">
        <f>U1296</f>
      </c>
      <c r="V1299" s="113">
        <f>V1296&amp;"     "</f>
      </c>
      <c r="W1299" s="113">
        <f>W1296&amp;"     "</f>
      </c>
      <c r="X1299" s="113">
        <f>X1296</f>
      </c>
      <c r="Y1299" s="113" t="s">
        <v>1330</v>
      </c>
    </row>
    <row r="1300" ht="50.0" customHeight="true">
      <c r="A1300" s="113" t="s">
        <v>22</v>
      </c>
      <c r="B1300" s="113" t="s">
        <v>4627</v>
      </c>
      <c r="C1300" s="113" t="s">
        <v>4638</v>
      </c>
      <c r="D1300" s="113" t="s">
        <v>4638</v>
      </c>
      <c r="E1300" s="114" t="s">
        <v>4639</v>
      </c>
      <c r="F1300" s="116">
        <f>"     "&amp;F1296</f>
      </c>
      <c r="G1300" s="113" t="s">
        <v>4640</v>
      </c>
      <c r="H1300" s="113" t="s">
        <v>103</v>
      </c>
      <c r="I1300" s="113">
        <f>I1296</f>
      </c>
      <c r="J1300" s="113">
        <f>J1296&amp;"     "</f>
      </c>
      <c r="K1300" s="113" t="s">
        <v>81</v>
      </c>
      <c r="L1300" s="113">
        <f>L1296</f>
      </c>
      <c r="M1300" s="113">
        <f>M1296</f>
      </c>
      <c r="N1300" s="113">
        <f>N1296</f>
      </c>
      <c r="O1300" s="113">
        <f>O1296</f>
      </c>
      <c r="P1300" s="113">
        <f>P1296</f>
      </c>
      <c r="Q1300" s="113">
        <f>Q1296</f>
      </c>
      <c r="R1300" s="113">
        <f>R1296</f>
      </c>
      <c r="S1300" s="113">
        <f>S1296</f>
      </c>
      <c r="T1300" s="113">
        <f>T1296</f>
      </c>
      <c r="U1300" s="113">
        <f>U1296</f>
      </c>
      <c r="V1300" s="113">
        <f>V1296&amp;"     "</f>
      </c>
      <c r="W1300" s="113">
        <f>W1296&amp;"     "</f>
      </c>
      <c r="X1300" s="113">
        <f>X1296</f>
      </c>
      <c r="Y1300" s="113" t="s">
        <v>1330</v>
      </c>
    </row>
    <row r="1301" ht="50.0" customHeight="true">
      <c r="A1301" s="113" t="s">
        <v>4641</v>
      </c>
      <c r="B1301" s="113" t="s">
        <v>4642</v>
      </c>
      <c r="C1301" s="113" t="s">
        <v>4643</v>
      </c>
      <c r="D1301" s="113"/>
      <c r="E1301" s="114" t="s">
        <v>4644</v>
      </c>
      <c r="F1301" s="113" t="s">
        <v>4645</v>
      </c>
      <c r="G1301" s="113" t="s">
        <v>4645</v>
      </c>
      <c r="H1301" s="113" t="s">
        <v>103</v>
      </c>
      <c r="I1301" s="115" t="n">
        <v>288.61</v>
      </c>
      <c r="J1301" s="115" t="s">
        <v>80</v>
      </c>
      <c r="K1301" s="115" t="s">
        <v>81</v>
      </c>
      <c r="L1301" s="115" t="n">
        <v>283.61</v>
      </c>
      <c r="M1301" s="115" t="n">
        <v>3.0</v>
      </c>
      <c r="N1301" s="115"/>
      <c r="O1301" s="115"/>
      <c r="P1301" s="115"/>
      <c r="Q1301" s="115"/>
      <c r="R1301" s="115"/>
      <c r="S1301" s="115"/>
      <c r="T1301" s="115"/>
      <c r="U1301" s="115"/>
      <c r="V1301" s="115" t="s">
        <v>82</v>
      </c>
      <c r="W1301" s="115" t="s">
        <v>83</v>
      </c>
      <c r="X1301" s="113">
        <f>IF(INDIRECT("W1301")="Clássico","12%",IF(INDIRECT("W1301")="Premium","17%","-"))</f>
      </c>
      <c r="Y1301" s="113" t="s">
        <v>1774</v>
      </c>
    </row>
    <row r="1302" ht="50.0" customHeight="true">
      <c r="A1302" s="113" t="s">
        <v>3995</v>
      </c>
      <c r="B1302" s="113" t="s">
        <v>4646</v>
      </c>
      <c r="C1302" s="113" t="s">
        <v>4647</v>
      </c>
      <c r="D1302" s="113"/>
      <c r="E1302" s="114" t="s">
        <v>3998</v>
      </c>
      <c r="F1302" s="113" t="s">
        <v>3999</v>
      </c>
      <c r="G1302" s="113" t="s">
        <v>3999</v>
      </c>
      <c r="H1302" s="113" t="s">
        <v>103</v>
      </c>
      <c r="I1302" s="115" t="n">
        <v>177.66</v>
      </c>
      <c r="J1302" s="115" t="s">
        <v>80</v>
      </c>
      <c r="K1302" s="115" t="s">
        <v>81</v>
      </c>
      <c r="L1302" s="115" t="n">
        <v>172.66</v>
      </c>
      <c r="M1302" s="115" t="n">
        <v>3.0</v>
      </c>
      <c r="N1302" s="115"/>
      <c r="O1302" s="115"/>
      <c r="P1302" s="115"/>
      <c r="Q1302" s="115"/>
      <c r="R1302" s="115"/>
      <c r="S1302" s="115"/>
      <c r="T1302" s="115"/>
      <c r="U1302" s="115"/>
      <c r="V1302" s="115" t="s">
        <v>82</v>
      </c>
      <c r="W1302" s="115" t="s">
        <v>83</v>
      </c>
      <c r="X1302" s="113">
        <f>IF(INDIRECT("W1302")="Clássico","12%",IF(INDIRECT("W1302")="Premium","17%","-"))</f>
      </c>
      <c r="Y1302" s="113" t="s">
        <v>2653</v>
      </c>
    </row>
    <row r="1303" ht="50.0" customHeight="true">
      <c r="A1303" s="113" t="s">
        <v>22</v>
      </c>
      <c r="B1303" s="113" t="s">
        <v>4648</v>
      </c>
      <c r="C1303" s="113"/>
      <c r="D1303" s="113"/>
      <c r="E1303" s="113" t="s">
        <v>3452</v>
      </c>
      <c r="F1303" s="113" t="s">
        <v>3453</v>
      </c>
      <c r="G1303" s="113" t="s">
        <v>103</v>
      </c>
      <c r="H1303" s="113" t="s">
        <v>103</v>
      </c>
      <c r="I1303" s="115" t="n">
        <v>218.86</v>
      </c>
      <c r="J1303" s="115" t="s">
        <v>80</v>
      </c>
      <c r="K1303" s="113" t="s">
        <v>81</v>
      </c>
      <c r="L1303" s="115" t="n">
        <v>206.38</v>
      </c>
      <c r="M1303" s="115" t="n">
        <v>3.0</v>
      </c>
      <c r="N1303" s="115"/>
      <c r="O1303" s="115"/>
      <c r="P1303" s="115"/>
      <c r="Q1303" s="115"/>
      <c r="R1303" s="115"/>
      <c r="S1303" s="115"/>
      <c r="T1303" s="115"/>
      <c r="U1303" s="115"/>
      <c r="V1303" s="115" t="s">
        <v>82</v>
      </c>
      <c r="W1303" s="115" t="s">
        <v>83</v>
      </c>
      <c r="X1303" s="113">
        <f>IF(INDIRECT("W1303")="Clássico","12%",IF(INDIRECT("W1303")="Premium","17%","-"))</f>
      </c>
      <c r="Y1303" s="113" t="s">
        <v>3454</v>
      </c>
    </row>
    <row r="1304" ht="50.0" customHeight="true">
      <c r="A1304" s="113" t="s">
        <v>22</v>
      </c>
      <c r="B1304" s="113" t="s">
        <v>4648</v>
      </c>
      <c r="C1304" s="113" t="s">
        <v>4649</v>
      </c>
      <c r="D1304" s="113" t="s">
        <v>4649</v>
      </c>
      <c r="E1304" s="114" t="s">
        <v>3456</v>
      </c>
      <c r="F1304" s="116">
        <f>"     "&amp;F1303</f>
      </c>
      <c r="G1304" s="113" t="s">
        <v>3457</v>
      </c>
      <c r="H1304" s="113" t="s">
        <v>103</v>
      </c>
      <c r="I1304" s="113">
        <f>I1303</f>
      </c>
      <c r="J1304" s="113">
        <f>J1303&amp;"     "</f>
      </c>
      <c r="K1304" s="113" t="s">
        <v>81</v>
      </c>
      <c r="L1304" s="113">
        <f>L1303</f>
      </c>
      <c r="M1304" s="113">
        <f>M1303</f>
      </c>
      <c r="N1304" s="113">
        <f>N1303</f>
      </c>
      <c r="O1304" s="113">
        <f>O1303</f>
      </c>
      <c r="P1304" s="113">
        <f>P1303</f>
      </c>
      <c r="Q1304" s="113">
        <f>Q1303</f>
      </c>
      <c r="R1304" s="113">
        <f>R1303</f>
      </c>
      <c r="S1304" s="113">
        <f>S1303</f>
      </c>
      <c r="T1304" s="113">
        <f>T1303</f>
      </c>
      <c r="U1304" s="113">
        <f>U1303</f>
      </c>
      <c r="V1304" s="113">
        <f>V1303&amp;"     "</f>
      </c>
      <c r="W1304" s="113">
        <f>W1303&amp;"     "</f>
      </c>
      <c r="X1304" s="113">
        <f>X1303</f>
      </c>
      <c r="Y1304" s="113" t="s">
        <v>3454</v>
      </c>
    </row>
    <row r="1305" ht="50.0" customHeight="true">
      <c r="A1305" s="113" t="s">
        <v>22</v>
      </c>
      <c r="B1305" s="113" t="s">
        <v>4648</v>
      </c>
      <c r="C1305" s="113" t="s">
        <v>4650</v>
      </c>
      <c r="D1305" s="113" t="s">
        <v>4650</v>
      </c>
      <c r="E1305" s="114" t="s">
        <v>3459</v>
      </c>
      <c r="F1305" s="116">
        <f>"     "&amp;F1303</f>
      </c>
      <c r="G1305" s="113" t="s">
        <v>3460</v>
      </c>
      <c r="H1305" s="113" t="s">
        <v>103</v>
      </c>
      <c r="I1305" s="113">
        <f>I1303</f>
      </c>
      <c r="J1305" s="113">
        <f>J1303&amp;"     "</f>
      </c>
      <c r="K1305" s="113" t="s">
        <v>81</v>
      </c>
      <c r="L1305" s="113">
        <f>L1303</f>
      </c>
      <c r="M1305" s="113">
        <f>M1303</f>
      </c>
      <c r="N1305" s="113">
        <f>N1303</f>
      </c>
      <c r="O1305" s="113">
        <f>O1303</f>
      </c>
      <c r="P1305" s="113">
        <f>P1303</f>
      </c>
      <c r="Q1305" s="113">
        <f>Q1303</f>
      </c>
      <c r="R1305" s="113">
        <f>R1303</f>
      </c>
      <c r="S1305" s="113">
        <f>S1303</f>
      </c>
      <c r="T1305" s="113">
        <f>T1303</f>
      </c>
      <c r="U1305" s="113">
        <f>U1303</f>
      </c>
      <c r="V1305" s="113">
        <f>V1303&amp;"     "</f>
      </c>
      <c r="W1305" s="113">
        <f>W1303&amp;"     "</f>
      </c>
      <c r="X1305" s="113">
        <f>X1303</f>
      </c>
      <c r="Y1305" s="113" t="s">
        <v>3454</v>
      </c>
    </row>
    <row r="1306" ht="50.0" customHeight="true">
      <c r="A1306" s="113" t="s">
        <v>4651</v>
      </c>
      <c r="B1306" s="113" t="s">
        <v>4652</v>
      </c>
      <c r="C1306" s="113" t="s">
        <v>4653</v>
      </c>
      <c r="D1306" s="113"/>
      <c r="E1306" s="114" t="s">
        <v>3316</v>
      </c>
      <c r="F1306" s="113" t="s">
        <v>4654</v>
      </c>
      <c r="G1306" s="113" t="s">
        <v>4654</v>
      </c>
      <c r="H1306" s="113" t="s">
        <v>103</v>
      </c>
      <c r="I1306" s="115" t="n">
        <v>284.17</v>
      </c>
      <c r="J1306" s="115" t="s">
        <v>80</v>
      </c>
      <c r="K1306" s="115" t="s">
        <v>81</v>
      </c>
      <c r="L1306" s="115" t="n">
        <v>279.17</v>
      </c>
      <c r="M1306" s="115" t="n">
        <v>3.0</v>
      </c>
      <c r="N1306" s="115"/>
      <c r="O1306" s="115"/>
      <c r="P1306" s="115"/>
      <c r="Q1306" s="115"/>
      <c r="R1306" s="115"/>
      <c r="S1306" s="115"/>
      <c r="T1306" s="115"/>
      <c r="U1306" s="115"/>
      <c r="V1306" s="115" t="s">
        <v>82</v>
      </c>
      <c r="W1306" s="115" t="s">
        <v>83</v>
      </c>
      <c r="X1306" s="113">
        <f>IF(INDIRECT("W1306")="Clássico","12%",IF(INDIRECT("W1306")="Premium","17%","-"))</f>
      </c>
      <c r="Y1306" s="113" t="s">
        <v>1751</v>
      </c>
    </row>
    <row r="1307" ht="50.0" customHeight="true">
      <c r="A1307" s="113" t="s">
        <v>4655</v>
      </c>
      <c r="B1307" s="113" t="s">
        <v>4656</v>
      </c>
      <c r="C1307" s="113" t="s">
        <v>4657</v>
      </c>
      <c r="D1307" s="113"/>
      <c r="E1307" s="114" t="s">
        <v>3831</v>
      </c>
      <c r="F1307" s="113" t="s">
        <v>4658</v>
      </c>
      <c r="G1307" s="113" t="s">
        <v>4658</v>
      </c>
      <c r="H1307" s="113" t="s">
        <v>103</v>
      </c>
      <c r="I1307" s="115" t="n">
        <v>349.3</v>
      </c>
      <c r="J1307" s="115" t="s">
        <v>80</v>
      </c>
      <c r="K1307" s="115" t="s">
        <v>81</v>
      </c>
      <c r="L1307" s="115" t="n">
        <v>344.3</v>
      </c>
      <c r="M1307" s="115" t="n">
        <v>3.0</v>
      </c>
      <c r="N1307" s="115"/>
      <c r="O1307" s="115"/>
      <c r="P1307" s="115"/>
      <c r="Q1307" s="115"/>
      <c r="R1307" s="115"/>
      <c r="S1307" s="115"/>
      <c r="T1307" s="115"/>
      <c r="U1307" s="115"/>
      <c r="V1307" s="115" t="s">
        <v>82</v>
      </c>
      <c r="W1307" s="115" t="s">
        <v>83</v>
      </c>
      <c r="X1307" s="113">
        <f>IF(INDIRECT("W1307")="Clássico","12%",IF(INDIRECT("W1307")="Premium","17%","-"))</f>
      </c>
      <c r="Y1307" s="113" t="s">
        <v>1774</v>
      </c>
    </row>
    <row r="1308" ht="50.0" customHeight="true">
      <c r="A1308" s="113" t="s">
        <v>4659</v>
      </c>
      <c r="B1308" s="113" t="s">
        <v>4660</v>
      </c>
      <c r="C1308" s="113" t="s">
        <v>4661</v>
      </c>
      <c r="D1308" s="113"/>
      <c r="E1308" s="114" t="s">
        <v>3821</v>
      </c>
      <c r="F1308" s="113" t="s">
        <v>4662</v>
      </c>
      <c r="G1308" s="113" t="s">
        <v>4662</v>
      </c>
      <c r="H1308" s="113" t="s">
        <v>103</v>
      </c>
      <c r="I1308" s="115" t="n">
        <v>84.0</v>
      </c>
      <c r="J1308" s="115" t="s">
        <v>80</v>
      </c>
      <c r="K1308" s="115" t="s">
        <v>81</v>
      </c>
      <c r="L1308" s="115" t="n">
        <v>79.0</v>
      </c>
      <c r="M1308" s="115" t="n">
        <v>3.0</v>
      </c>
      <c r="N1308" s="115"/>
      <c r="O1308" s="115"/>
      <c r="P1308" s="115"/>
      <c r="Q1308" s="115"/>
      <c r="R1308" s="115"/>
      <c r="S1308" s="115"/>
      <c r="T1308" s="115"/>
      <c r="U1308" s="115"/>
      <c r="V1308" s="115" t="s">
        <v>82</v>
      </c>
      <c r="W1308" s="115" t="s">
        <v>83</v>
      </c>
      <c r="X1308" s="113">
        <f>IF(INDIRECT("W1308")="Clássico","12%",IF(INDIRECT("W1308")="Premium","17%","-"))</f>
      </c>
      <c r="Y1308" s="113" t="s">
        <v>3823</v>
      </c>
    </row>
    <row r="1309" ht="50.0" customHeight="true">
      <c r="A1309" s="113" t="s">
        <v>4663</v>
      </c>
      <c r="B1309" s="113" t="s">
        <v>4664</v>
      </c>
      <c r="C1309" s="113" t="s">
        <v>4665</v>
      </c>
      <c r="D1309" s="113"/>
      <c r="E1309" s="114" t="s">
        <v>4284</v>
      </c>
      <c r="F1309" s="113" t="s">
        <v>4666</v>
      </c>
      <c r="G1309" s="113" t="s">
        <v>127</v>
      </c>
      <c r="H1309" s="113" t="s">
        <v>103</v>
      </c>
      <c r="I1309" s="115" t="n">
        <v>332.9</v>
      </c>
      <c r="J1309" s="115" t="s">
        <v>80</v>
      </c>
      <c r="K1309" s="115" t="s">
        <v>81</v>
      </c>
      <c r="L1309" s="115" t="n">
        <v>327.9</v>
      </c>
      <c r="M1309" s="115" t="n">
        <v>3.0</v>
      </c>
      <c r="N1309" s="115"/>
      <c r="O1309" s="115"/>
      <c r="P1309" s="115"/>
      <c r="Q1309" s="115"/>
      <c r="R1309" s="115"/>
      <c r="S1309" s="115"/>
      <c r="T1309" s="115"/>
      <c r="U1309" s="115"/>
      <c r="V1309" s="115" t="s">
        <v>82</v>
      </c>
      <c r="W1309" s="115" t="s">
        <v>83</v>
      </c>
      <c r="X1309" s="113">
        <f>IF(INDIRECT("W1309")="Clássico","12%",IF(INDIRECT("W1309")="Premium","17%","-"))</f>
      </c>
      <c r="Y1309" s="113" t="s">
        <v>367</v>
      </c>
    </row>
    <row r="1310" ht="50.0" customHeight="true">
      <c r="A1310" s="113" t="s">
        <v>4667</v>
      </c>
      <c r="B1310" s="113" t="s">
        <v>4668</v>
      </c>
      <c r="C1310" s="113" t="s">
        <v>4669</v>
      </c>
      <c r="D1310" s="113"/>
      <c r="E1310" s="114" t="s">
        <v>1125</v>
      </c>
      <c r="F1310" s="113" t="s">
        <v>4670</v>
      </c>
      <c r="G1310" s="113" t="s">
        <v>127</v>
      </c>
      <c r="H1310" s="113" t="s">
        <v>103</v>
      </c>
      <c r="I1310" s="115" t="n">
        <v>242.91</v>
      </c>
      <c r="J1310" s="115" t="s">
        <v>80</v>
      </c>
      <c r="K1310" s="115" t="s">
        <v>81</v>
      </c>
      <c r="L1310" s="115" t="n">
        <v>249.31</v>
      </c>
      <c r="M1310" s="115" t="n">
        <v>3.0</v>
      </c>
      <c r="N1310" s="115"/>
      <c r="O1310" s="115"/>
      <c r="P1310" s="115"/>
      <c r="Q1310" s="115"/>
      <c r="R1310" s="115"/>
      <c r="S1310" s="115"/>
      <c r="T1310" s="115"/>
      <c r="U1310" s="115"/>
      <c r="V1310" s="115" t="s">
        <v>82</v>
      </c>
      <c r="W1310" s="115" t="s">
        <v>83</v>
      </c>
      <c r="X1310" s="113">
        <f>IF(INDIRECT("W1310")="Clássico","12%",IF(INDIRECT("W1310")="Premium","17%","-"))</f>
      </c>
      <c r="Y1310" s="113" t="s">
        <v>22</v>
      </c>
    </row>
    <row r="1311" ht="50.0" customHeight="true">
      <c r="A1311" s="113" t="s">
        <v>4671</v>
      </c>
      <c r="B1311" s="113" t="s">
        <v>4672</v>
      </c>
      <c r="C1311" s="113" t="s">
        <v>4673</v>
      </c>
      <c r="D1311" s="113"/>
      <c r="E1311" s="114" t="s">
        <v>1061</v>
      </c>
      <c r="F1311" s="113" t="s">
        <v>4674</v>
      </c>
      <c r="G1311" s="113" t="s">
        <v>4674</v>
      </c>
      <c r="H1311" s="113" t="s">
        <v>103</v>
      </c>
      <c r="I1311" s="115" t="n">
        <v>56.84</v>
      </c>
      <c r="J1311" s="115" t="s">
        <v>80</v>
      </c>
      <c r="K1311" s="115" t="s">
        <v>81</v>
      </c>
      <c r="L1311" s="115" t="n">
        <v>56.77</v>
      </c>
      <c r="M1311" s="115" t="n">
        <v>3.0</v>
      </c>
      <c r="N1311" s="115"/>
      <c r="O1311" s="115"/>
      <c r="P1311" s="115"/>
      <c r="Q1311" s="115"/>
      <c r="R1311" s="115"/>
      <c r="S1311" s="115"/>
      <c r="T1311" s="115"/>
      <c r="U1311" s="115"/>
      <c r="V1311" s="115" t="s">
        <v>91</v>
      </c>
      <c r="W1311" s="115" t="s">
        <v>92</v>
      </c>
      <c r="X1311" s="113">
        <f>IF(INDIRECT("W1311")="Clássico","12%",IF(INDIRECT("W1311")="Premium","17%","-"))</f>
      </c>
      <c r="Y1311" s="113" t="s">
        <v>343</v>
      </c>
    </row>
    <row r="1312" ht="50.0" customHeight="true">
      <c r="A1312" s="113" t="s">
        <v>4675</v>
      </c>
      <c r="B1312" s="113" t="s">
        <v>4676</v>
      </c>
      <c r="C1312" s="113" t="s">
        <v>4677</v>
      </c>
      <c r="D1312" s="113"/>
      <c r="E1312" s="114" t="s">
        <v>4678</v>
      </c>
      <c r="F1312" s="113" t="s">
        <v>4679</v>
      </c>
      <c r="G1312" s="113" t="s">
        <v>4679</v>
      </c>
      <c r="H1312" s="113" t="s">
        <v>103</v>
      </c>
      <c r="I1312" s="115" t="n">
        <v>189.75</v>
      </c>
      <c r="J1312" s="115" t="s">
        <v>80</v>
      </c>
      <c r="K1312" s="115" t="s">
        <v>81</v>
      </c>
      <c r="L1312" s="115" t="n">
        <v>184.75</v>
      </c>
      <c r="M1312" s="115" t="n">
        <v>3.0</v>
      </c>
      <c r="N1312" s="115"/>
      <c r="O1312" s="115"/>
      <c r="P1312" s="115"/>
      <c r="Q1312" s="115"/>
      <c r="R1312" s="115"/>
      <c r="S1312" s="115"/>
      <c r="T1312" s="115"/>
      <c r="U1312" s="115"/>
      <c r="V1312" s="115" t="s">
        <v>82</v>
      </c>
      <c r="W1312" s="115" t="s">
        <v>83</v>
      </c>
      <c r="X1312" s="113">
        <f>IF(INDIRECT("W1312")="Clássico","12%",IF(INDIRECT("W1312")="Premium","17%","-"))</f>
      </c>
      <c r="Y1312" s="113" t="s">
        <v>3198</v>
      </c>
    </row>
    <row r="1313" ht="50.0" customHeight="true">
      <c r="A1313" s="113" t="s">
        <v>4680</v>
      </c>
      <c r="B1313" s="113" t="s">
        <v>4681</v>
      </c>
      <c r="C1313" s="113" t="s">
        <v>4682</v>
      </c>
      <c r="D1313" s="113"/>
      <c r="E1313" s="114" t="s">
        <v>4683</v>
      </c>
      <c r="F1313" s="113" t="s">
        <v>4684</v>
      </c>
      <c r="G1313" s="113" t="s">
        <v>4684</v>
      </c>
      <c r="H1313" s="113" t="s">
        <v>103</v>
      </c>
      <c r="I1313" s="115" t="n">
        <v>150.66</v>
      </c>
      <c r="J1313" s="115" t="s">
        <v>80</v>
      </c>
      <c r="K1313" s="115" t="s">
        <v>81</v>
      </c>
      <c r="L1313" s="115" t="n">
        <v>145.66</v>
      </c>
      <c r="M1313" s="115" t="n">
        <v>3.0</v>
      </c>
      <c r="N1313" s="115"/>
      <c r="O1313" s="115"/>
      <c r="P1313" s="115"/>
      <c r="Q1313" s="115"/>
      <c r="R1313" s="115"/>
      <c r="S1313" s="115"/>
      <c r="T1313" s="115"/>
      <c r="U1313" s="115"/>
      <c r="V1313" s="115" t="s">
        <v>82</v>
      </c>
      <c r="W1313" s="115" t="s">
        <v>92</v>
      </c>
      <c r="X1313" s="113">
        <f>IF(INDIRECT("W1313")="Clássico","12%",IF(INDIRECT("W1313")="Premium","17%","-"))</f>
      </c>
      <c r="Y1313" s="113" t="s">
        <v>1741</v>
      </c>
    </row>
    <row r="1314" ht="50.0" customHeight="true">
      <c r="A1314" s="113" t="s">
        <v>4685</v>
      </c>
      <c r="B1314" s="113" t="s">
        <v>4686</v>
      </c>
      <c r="C1314" s="113" t="s">
        <v>4687</v>
      </c>
      <c r="D1314" s="113"/>
      <c r="E1314" s="114" t="s">
        <v>4688</v>
      </c>
      <c r="F1314" s="113" t="s">
        <v>4689</v>
      </c>
      <c r="G1314" s="113" t="s">
        <v>4689</v>
      </c>
      <c r="H1314" s="113" t="s">
        <v>103</v>
      </c>
      <c r="I1314" s="115" t="n">
        <v>227.81</v>
      </c>
      <c r="J1314" s="115" t="s">
        <v>80</v>
      </c>
      <c r="K1314" s="115" t="s">
        <v>81</v>
      </c>
      <c r="L1314" s="115" t="n">
        <v>222.81</v>
      </c>
      <c r="M1314" s="115" t="n">
        <v>3.0</v>
      </c>
      <c r="N1314" s="115"/>
      <c r="O1314" s="115"/>
      <c r="P1314" s="115"/>
      <c r="Q1314" s="115"/>
      <c r="R1314" s="115"/>
      <c r="S1314" s="115"/>
      <c r="T1314" s="115"/>
      <c r="U1314" s="115"/>
      <c r="V1314" s="115" t="s">
        <v>82</v>
      </c>
      <c r="W1314" s="115" t="s">
        <v>92</v>
      </c>
      <c r="X1314" s="113">
        <f>IF(INDIRECT("W1314")="Clássico","12%",IF(INDIRECT("W1314")="Premium","17%","-"))</f>
      </c>
      <c r="Y1314" s="113" t="s">
        <v>482</v>
      </c>
    </row>
    <row r="1315" ht="50.0" customHeight="true">
      <c r="A1315" s="113" t="s">
        <v>4058</v>
      </c>
      <c r="B1315" s="113" t="s">
        <v>4690</v>
      </c>
      <c r="C1315" s="113" t="s">
        <v>4691</v>
      </c>
      <c r="D1315" s="113"/>
      <c r="E1315" s="114" t="s">
        <v>4061</v>
      </c>
      <c r="F1315" s="113" t="s">
        <v>4062</v>
      </c>
      <c r="G1315" s="113" t="s">
        <v>4062</v>
      </c>
      <c r="H1315" s="113" t="s">
        <v>103</v>
      </c>
      <c r="I1315" s="115" t="n">
        <v>439.12</v>
      </c>
      <c r="J1315" s="115" t="s">
        <v>80</v>
      </c>
      <c r="K1315" s="115" t="s">
        <v>81</v>
      </c>
      <c r="L1315" s="115" t="n">
        <v>434.12</v>
      </c>
      <c r="M1315" s="115" t="n">
        <v>3.0</v>
      </c>
      <c r="N1315" s="115"/>
      <c r="O1315" s="115"/>
      <c r="P1315" s="115"/>
      <c r="Q1315" s="115"/>
      <c r="R1315" s="115"/>
      <c r="S1315" s="115"/>
      <c r="T1315" s="115"/>
      <c r="U1315" s="115"/>
      <c r="V1315" s="115" t="s">
        <v>82</v>
      </c>
      <c r="W1315" s="115" t="s">
        <v>83</v>
      </c>
      <c r="X1315" s="113">
        <f>IF(INDIRECT("W1315")="Clássico","12%",IF(INDIRECT("W1315")="Premium","17%","-"))</f>
      </c>
      <c r="Y1315" s="113" t="s">
        <v>4063</v>
      </c>
    </row>
    <row r="1316" ht="50.0" customHeight="true">
      <c r="A1316" s="113" t="s">
        <v>4692</v>
      </c>
      <c r="B1316" s="113" t="s">
        <v>4693</v>
      </c>
      <c r="C1316" s="113" t="s">
        <v>4694</v>
      </c>
      <c r="D1316" s="113"/>
      <c r="E1316" s="114" t="s">
        <v>4695</v>
      </c>
      <c r="F1316" s="113" t="s">
        <v>4696</v>
      </c>
      <c r="G1316" s="113" t="s">
        <v>4697</v>
      </c>
      <c r="H1316" s="113" t="s">
        <v>103</v>
      </c>
      <c r="I1316" s="115" t="n">
        <v>707.59</v>
      </c>
      <c r="J1316" s="115" t="s">
        <v>80</v>
      </c>
      <c r="K1316" s="115" t="s">
        <v>81</v>
      </c>
      <c r="L1316" s="115" t="n">
        <v>702.59</v>
      </c>
      <c r="M1316" s="115" t="n">
        <v>3.0</v>
      </c>
      <c r="N1316" s="115"/>
      <c r="O1316" s="115"/>
      <c r="P1316" s="115"/>
      <c r="Q1316" s="115"/>
      <c r="R1316" s="115"/>
      <c r="S1316" s="115"/>
      <c r="T1316" s="115"/>
      <c r="U1316" s="115"/>
      <c r="V1316" s="115" t="s">
        <v>82</v>
      </c>
      <c r="W1316" s="115" t="s">
        <v>92</v>
      </c>
      <c r="X1316" s="113">
        <f>IF(INDIRECT("W1316")="Clássico","12%",IF(INDIRECT("W1316")="Premium","17%","-"))</f>
      </c>
      <c r="Y1316" s="113" t="s">
        <v>414</v>
      </c>
    </row>
    <row r="1317" ht="50.0" customHeight="true">
      <c r="A1317" s="113" t="s">
        <v>4698</v>
      </c>
      <c r="B1317" s="113" t="s">
        <v>4699</v>
      </c>
      <c r="C1317" s="113" t="s">
        <v>4700</v>
      </c>
      <c r="D1317" s="113"/>
      <c r="E1317" s="114" t="s">
        <v>3931</v>
      </c>
      <c r="F1317" s="113" t="s">
        <v>4701</v>
      </c>
      <c r="G1317" s="113" t="s">
        <v>4701</v>
      </c>
      <c r="H1317" s="113" t="s">
        <v>103</v>
      </c>
      <c r="I1317" s="115" t="n">
        <v>377.21</v>
      </c>
      <c r="J1317" s="115" t="s">
        <v>80</v>
      </c>
      <c r="K1317" s="115" t="s">
        <v>81</v>
      </c>
      <c r="L1317" s="115" t="n">
        <v>372.21</v>
      </c>
      <c r="M1317" s="115" t="n">
        <v>3.0</v>
      </c>
      <c r="N1317" s="115"/>
      <c r="O1317" s="115"/>
      <c r="P1317" s="115"/>
      <c r="Q1317" s="115"/>
      <c r="R1317" s="115"/>
      <c r="S1317" s="115"/>
      <c r="T1317" s="115"/>
      <c r="U1317" s="115"/>
      <c r="V1317" s="115" t="s">
        <v>82</v>
      </c>
      <c r="W1317" s="115" t="s">
        <v>92</v>
      </c>
      <c r="X1317" s="113">
        <f>IF(INDIRECT("W1317")="Clássico","12%",IF(INDIRECT("W1317")="Premium","17%","-"))</f>
      </c>
      <c r="Y1317" s="113" t="s">
        <v>2126</v>
      </c>
    </row>
    <row r="1318" ht="50.0" customHeight="true">
      <c r="A1318" s="113" t="s">
        <v>4702</v>
      </c>
      <c r="B1318" s="113" t="s">
        <v>4703</v>
      </c>
      <c r="C1318" s="113" t="s">
        <v>4704</v>
      </c>
      <c r="D1318" s="113"/>
      <c r="E1318" s="114" t="s">
        <v>3353</v>
      </c>
      <c r="F1318" s="113" t="s">
        <v>4071</v>
      </c>
      <c r="G1318" s="113" t="s">
        <v>4071</v>
      </c>
      <c r="H1318" s="113" t="s">
        <v>103</v>
      </c>
      <c r="I1318" s="115" t="n">
        <v>540.39</v>
      </c>
      <c r="J1318" s="115" t="s">
        <v>80</v>
      </c>
      <c r="K1318" s="115" t="s">
        <v>81</v>
      </c>
      <c r="L1318" s="115" t="n">
        <v>521.45</v>
      </c>
      <c r="M1318" s="115" t="n">
        <v>3.0</v>
      </c>
      <c r="N1318" s="115"/>
      <c r="O1318" s="115"/>
      <c r="P1318" s="115"/>
      <c r="Q1318" s="115"/>
      <c r="R1318" s="115"/>
      <c r="S1318" s="115"/>
      <c r="T1318" s="115"/>
      <c r="U1318" s="115"/>
      <c r="V1318" s="115" t="s">
        <v>82</v>
      </c>
      <c r="W1318" s="115" t="s">
        <v>92</v>
      </c>
      <c r="X1318" s="113">
        <f>IF(INDIRECT("W1318")="Clássico","12%",IF(INDIRECT("W1318")="Premium","17%","-"))</f>
      </c>
      <c r="Y1318" s="113" t="s">
        <v>414</v>
      </c>
    </row>
    <row r="1319" ht="50.0" customHeight="true">
      <c r="A1319" s="113" t="s">
        <v>4705</v>
      </c>
      <c r="B1319" s="113" t="s">
        <v>4706</v>
      </c>
      <c r="C1319" s="113" t="s">
        <v>4707</v>
      </c>
      <c r="D1319" s="113"/>
      <c r="E1319" s="114" t="s">
        <v>3316</v>
      </c>
      <c r="F1319" s="113" t="s">
        <v>4708</v>
      </c>
      <c r="G1319" s="113" t="s">
        <v>103</v>
      </c>
      <c r="H1319" s="113" t="s">
        <v>103</v>
      </c>
      <c r="I1319" s="115" t="n">
        <v>157.9</v>
      </c>
      <c r="J1319" s="115" t="s">
        <v>80</v>
      </c>
      <c r="K1319" s="115" t="s">
        <v>81</v>
      </c>
      <c r="L1319" s="115" t="n">
        <v>145.0</v>
      </c>
      <c r="M1319" s="115" t="n">
        <v>3.0</v>
      </c>
      <c r="N1319" s="115"/>
      <c r="O1319" s="115"/>
      <c r="P1319" s="115"/>
      <c r="Q1319" s="115"/>
      <c r="R1319" s="115"/>
      <c r="S1319" s="115"/>
      <c r="T1319" s="115"/>
      <c r="U1319" s="115"/>
      <c r="V1319" s="115" t="s">
        <v>82</v>
      </c>
      <c r="W1319" s="115" t="s">
        <v>92</v>
      </c>
      <c r="X1319" s="113">
        <f>IF(INDIRECT("W1319")="Clássico","11.5%",IF(INDIRECT("W1319")="Premium","16.5%","-"))</f>
      </c>
      <c r="Y1319" s="113" t="s">
        <v>3364</v>
      </c>
    </row>
    <row r="1320" ht="50.0" customHeight="true">
      <c r="A1320" s="113" t="s">
        <v>4709</v>
      </c>
      <c r="B1320" s="113" t="s">
        <v>4710</v>
      </c>
      <c r="C1320" s="113" t="s">
        <v>4711</v>
      </c>
      <c r="D1320" s="113"/>
      <c r="E1320" s="114" t="s">
        <v>4712</v>
      </c>
      <c r="F1320" s="113" t="s">
        <v>4713</v>
      </c>
      <c r="G1320" s="113" t="s">
        <v>4713</v>
      </c>
      <c r="H1320" s="113" t="s">
        <v>103</v>
      </c>
      <c r="I1320" s="115" t="n">
        <v>151.77</v>
      </c>
      <c r="J1320" s="115" t="s">
        <v>80</v>
      </c>
      <c r="K1320" s="115" t="s">
        <v>81</v>
      </c>
      <c r="L1320" s="115" t="n">
        <v>146.77</v>
      </c>
      <c r="M1320" s="115" t="n">
        <v>3.0</v>
      </c>
      <c r="N1320" s="115"/>
      <c r="O1320" s="115"/>
      <c r="P1320" s="115"/>
      <c r="Q1320" s="115"/>
      <c r="R1320" s="115"/>
      <c r="S1320" s="115"/>
      <c r="T1320" s="115"/>
      <c r="U1320" s="115"/>
      <c r="V1320" s="115" t="s">
        <v>82</v>
      </c>
      <c r="W1320" s="115" t="s">
        <v>92</v>
      </c>
      <c r="X1320" s="113">
        <f>IF(INDIRECT("W1320")="Clássico","12%",IF(INDIRECT("W1320")="Premium","17%","-"))</f>
      </c>
      <c r="Y1320" s="113" t="s">
        <v>3308</v>
      </c>
    </row>
    <row r="1321" ht="50.0" customHeight="true">
      <c r="A1321" s="113" t="s">
        <v>4714</v>
      </c>
      <c r="B1321" s="113" t="s">
        <v>4715</v>
      </c>
      <c r="C1321" s="113" t="s">
        <v>4716</v>
      </c>
      <c r="D1321" s="113"/>
      <c r="E1321" s="114" t="s">
        <v>4717</v>
      </c>
      <c r="F1321" s="113" t="s">
        <v>4718</v>
      </c>
      <c r="G1321" s="113" t="s">
        <v>4718</v>
      </c>
      <c r="H1321" s="113" t="s">
        <v>103</v>
      </c>
      <c r="I1321" s="115" t="n">
        <v>285.23</v>
      </c>
      <c r="J1321" s="115" t="s">
        <v>80</v>
      </c>
      <c r="K1321" s="115" t="s">
        <v>81</v>
      </c>
      <c r="L1321" s="115" t="n">
        <v>280.23</v>
      </c>
      <c r="M1321" s="115" t="n">
        <v>3.0</v>
      </c>
      <c r="N1321" s="115"/>
      <c r="O1321" s="115"/>
      <c r="P1321" s="115"/>
      <c r="Q1321" s="115"/>
      <c r="R1321" s="115"/>
      <c r="S1321" s="115"/>
      <c r="T1321" s="115"/>
      <c r="U1321" s="115"/>
      <c r="V1321" s="115" t="s">
        <v>82</v>
      </c>
      <c r="W1321" s="115" t="s">
        <v>83</v>
      </c>
      <c r="X1321" s="113">
        <f>IF(INDIRECT("W1321")="Clássico","12%",IF(INDIRECT("W1321")="Premium","17%","-"))</f>
      </c>
      <c r="Y1321" s="113" t="s">
        <v>1774</v>
      </c>
    </row>
    <row r="1322" ht="50.0" customHeight="true">
      <c r="A1322" s="113" t="s">
        <v>4439</v>
      </c>
      <c r="B1322" s="113" t="s">
        <v>4719</v>
      </c>
      <c r="C1322" s="113" t="s">
        <v>4720</v>
      </c>
      <c r="D1322" s="113"/>
      <c r="E1322" s="114" t="s">
        <v>4284</v>
      </c>
      <c r="F1322" s="113" t="s">
        <v>4442</v>
      </c>
      <c r="G1322" s="113" t="s">
        <v>127</v>
      </c>
      <c r="H1322" s="113" t="s">
        <v>103</v>
      </c>
      <c r="I1322" s="115" t="n">
        <v>345.56</v>
      </c>
      <c r="J1322" s="115" t="s">
        <v>80</v>
      </c>
      <c r="K1322" s="115" t="s">
        <v>81</v>
      </c>
      <c r="L1322" s="115" t="n">
        <v>340.56</v>
      </c>
      <c r="M1322" s="115" t="n">
        <v>3.0</v>
      </c>
      <c r="N1322" s="115"/>
      <c r="O1322" s="115"/>
      <c r="P1322" s="115"/>
      <c r="Q1322" s="115"/>
      <c r="R1322" s="115"/>
      <c r="S1322" s="115"/>
      <c r="T1322" s="115"/>
      <c r="U1322" s="115"/>
      <c r="V1322" s="115" t="s">
        <v>82</v>
      </c>
      <c r="W1322" s="115" t="s">
        <v>83</v>
      </c>
      <c r="X1322" s="113">
        <f>IF(INDIRECT("W1322")="Clássico","12%",IF(INDIRECT("W1322")="Premium","17%","-"))</f>
      </c>
      <c r="Y1322" s="113" t="s">
        <v>367</v>
      </c>
    </row>
    <row r="1323" ht="50.0" customHeight="true">
      <c r="A1323" s="113" t="s">
        <v>4721</v>
      </c>
      <c r="B1323" s="113" t="s">
        <v>4722</v>
      </c>
      <c r="C1323" s="113" t="s">
        <v>4723</v>
      </c>
      <c r="D1323" s="113"/>
      <c r="E1323" s="114" t="s">
        <v>4724</v>
      </c>
      <c r="F1323" s="113" t="s">
        <v>4725</v>
      </c>
      <c r="G1323" s="113" t="s">
        <v>4725</v>
      </c>
      <c r="H1323" s="113" t="s">
        <v>103</v>
      </c>
      <c r="I1323" s="115" t="n">
        <v>163.0</v>
      </c>
      <c r="J1323" s="115" t="s">
        <v>80</v>
      </c>
      <c r="K1323" s="115" t="s">
        <v>81</v>
      </c>
      <c r="L1323" s="115" t="n">
        <v>158.0</v>
      </c>
      <c r="M1323" s="115" t="n">
        <v>3.0</v>
      </c>
      <c r="N1323" s="115"/>
      <c r="O1323" s="115"/>
      <c r="P1323" s="115"/>
      <c r="Q1323" s="115"/>
      <c r="R1323" s="115"/>
      <c r="S1323" s="115"/>
      <c r="T1323" s="115"/>
      <c r="U1323" s="115"/>
      <c r="V1323" s="115" t="s">
        <v>82</v>
      </c>
      <c r="W1323" s="115" t="s">
        <v>83</v>
      </c>
      <c r="X1323" s="113">
        <f>IF(INDIRECT("W1323")="Clássico","12%",IF(INDIRECT("W1323")="Premium","17%","-"))</f>
      </c>
      <c r="Y1323" s="113" t="s">
        <v>144</v>
      </c>
    </row>
    <row r="1324" ht="50.0" customHeight="true">
      <c r="A1324" s="113" t="s">
        <v>4726</v>
      </c>
      <c r="B1324" s="113" t="s">
        <v>4727</v>
      </c>
      <c r="C1324" s="113" t="s">
        <v>4728</v>
      </c>
      <c r="D1324" s="113"/>
      <c r="E1324" s="114" t="s">
        <v>4498</v>
      </c>
      <c r="F1324" s="113" t="s">
        <v>4729</v>
      </c>
      <c r="G1324" s="113" t="s">
        <v>4729</v>
      </c>
      <c r="H1324" s="113" t="s">
        <v>103</v>
      </c>
      <c r="I1324" s="115" t="n">
        <v>189.75</v>
      </c>
      <c r="J1324" s="115" t="s">
        <v>80</v>
      </c>
      <c r="K1324" s="115" t="s">
        <v>81</v>
      </c>
      <c r="L1324" s="115" t="n">
        <v>184.75</v>
      </c>
      <c r="M1324" s="115" t="n">
        <v>3.0</v>
      </c>
      <c r="N1324" s="115"/>
      <c r="O1324" s="115"/>
      <c r="P1324" s="115"/>
      <c r="Q1324" s="115"/>
      <c r="R1324" s="115"/>
      <c r="S1324" s="115"/>
      <c r="T1324" s="115"/>
      <c r="U1324" s="115"/>
      <c r="V1324" s="115" t="s">
        <v>82</v>
      </c>
      <c r="W1324" s="115" t="s">
        <v>83</v>
      </c>
      <c r="X1324" s="113">
        <f>IF(INDIRECT("W1324")="Clássico","12%",IF(INDIRECT("W1324")="Premium","17%","-"))</f>
      </c>
      <c r="Y1324" s="113" t="s">
        <v>1293</v>
      </c>
    </row>
    <row r="1325" ht="50.0" customHeight="true">
      <c r="A1325" s="113" t="s">
        <v>4730</v>
      </c>
      <c r="B1325" s="113" t="s">
        <v>4731</v>
      </c>
      <c r="C1325" s="113" t="s">
        <v>4732</v>
      </c>
      <c r="D1325" s="113"/>
      <c r="E1325" s="114" t="s">
        <v>4733</v>
      </c>
      <c r="F1325" s="113" t="s">
        <v>4734</v>
      </c>
      <c r="G1325" s="113" t="s">
        <v>4734</v>
      </c>
      <c r="H1325" s="113" t="s">
        <v>103</v>
      </c>
      <c r="I1325" s="115" t="n">
        <v>363.87</v>
      </c>
      <c r="J1325" s="115" t="s">
        <v>80</v>
      </c>
      <c r="K1325" s="115" t="s">
        <v>81</v>
      </c>
      <c r="L1325" s="115" t="n">
        <v>358.87</v>
      </c>
      <c r="M1325" s="115" t="n">
        <v>3.0</v>
      </c>
      <c r="N1325" s="115"/>
      <c r="O1325" s="115"/>
      <c r="P1325" s="115"/>
      <c r="Q1325" s="115"/>
      <c r="R1325" s="115"/>
      <c r="S1325" s="115"/>
      <c r="T1325" s="115"/>
      <c r="U1325" s="115"/>
      <c r="V1325" s="115" t="s">
        <v>82</v>
      </c>
      <c r="W1325" s="115" t="s">
        <v>83</v>
      </c>
      <c r="X1325" s="113">
        <f>IF(INDIRECT("W1325")="Clássico","12%",IF(INDIRECT("W1325")="Premium","17%","-"))</f>
      </c>
      <c r="Y1325" s="113" t="s">
        <v>4735</v>
      </c>
    </row>
    <row r="1326" ht="50.0" customHeight="true">
      <c r="A1326" s="113" t="s">
        <v>22</v>
      </c>
      <c r="B1326" s="113" t="s">
        <v>4736</v>
      </c>
      <c r="C1326" s="113"/>
      <c r="D1326" s="113"/>
      <c r="E1326" s="113" t="s">
        <v>22</v>
      </c>
      <c r="F1326" s="113" t="s">
        <v>4737</v>
      </c>
      <c r="G1326" s="113" t="s">
        <v>103</v>
      </c>
      <c r="H1326" s="113" t="s">
        <v>103</v>
      </c>
      <c r="I1326" s="115" t="n">
        <v>59.96</v>
      </c>
      <c r="J1326" s="115" t="s">
        <v>80</v>
      </c>
      <c r="K1326" s="113" t="s">
        <v>81</v>
      </c>
      <c r="L1326" s="115" t="n">
        <v>54.96</v>
      </c>
      <c r="M1326" s="115" t="n">
        <v>3.0</v>
      </c>
      <c r="N1326" s="115"/>
      <c r="O1326" s="115"/>
      <c r="P1326" s="115"/>
      <c r="Q1326" s="115"/>
      <c r="R1326" s="115"/>
      <c r="S1326" s="115"/>
      <c r="T1326" s="115"/>
      <c r="U1326" s="115"/>
      <c r="V1326" s="115" t="s">
        <v>91</v>
      </c>
      <c r="W1326" s="115" t="s">
        <v>83</v>
      </c>
      <c r="X1326" s="113">
        <f>IF(INDIRECT("W1326")="Clássico","12%",IF(INDIRECT("W1326")="Premium","17%","-"))</f>
      </c>
      <c r="Y1326" s="113" t="s">
        <v>4157</v>
      </c>
    </row>
    <row r="1327" ht="50.0" customHeight="true">
      <c r="A1327" s="113" t="s">
        <v>22</v>
      </c>
      <c r="B1327" s="113" t="s">
        <v>4736</v>
      </c>
      <c r="C1327" s="113" t="s">
        <v>4738</v>
      </c>
      <c r="D1327" s="113" t="s">
        <v>4738</v>
      </c>
      <c r="E1327" s="114" t="s">
        <v>4159</v>
      </c>
      <c r="F1327" s="116">
        <f>"     "&amp;F1326</f>
      </c>
      <c r="G1327" s="113" t="s">
        <v>4160</v>
      </c>
      <c r="H1327" s="113" t="s">
        <v>103</v>
      </c>
      <c r="I1327" s="113">
        <f>I1326</f>
      </c>
      <c r="J1327" s="113">
        <f>J1326&amp;"     "</f>
      </c>
      <c r="K1327" s="113" t="s">
        <v>81</v>
      </c>
      <c r="L1327" s="113">
        <f>L1326</f>
      </c>
      <c r="M1327" s="113">
        <f>M1326</f>
      </c>
      <c r="N1327" s="113">
        <f>N1326</f>
      </c>
      <c r="O1327" s="113">
        <f>O1326</f>
      </c>
      <c r="P1327" s="113">
        <f>P1326</f>
      </c>
      <c r="Q1327" s="113">
        <f>Q1326</f>
      </c>
      <c r="R1327" s="113">
        <f>R1326</f>
      </c>
      <c r="S1327" s="113">
        <f>S1326</f>
      </c>
      <c r="T1327" s="113">
        <f>T1326</f>
      </c>
      <c r="U1327" s="113">
        <f>U1326</f>
      </c>
      <c r="V1327" s="113">
        <f>V1326&amp;"     "</f>
      </c>
      <c r="W1327" s="113">
        <f>W1326&amp;"     "</f>
      </c>
      <c r="X1327" s="113">
        <f>X1326</f>
      </c>
      <c r="Y1327" s="113" t="s">
        <v>4157</v>
      </c>
    </row>
    <row r="1328" ht="50.0" customHeight="true">
      <c r="A1328" s="113" t="s">
        <v>22</v>
      </c>
      <c r="B1328" s="113" t="s">
        <v>4736</v>
      </c>
      <c r="C1328" s="113" t="s">
        <v>4739</v>
      </c>
      <c r="D1328" s="113" t="s">
        <v>4739</v>
      </c>
      <c r="E1328" s="114" t="s">
        <v>4162</v>
      </c>
      <c r="F1328" s="116">
        <f>"     "&amp;F1326</f>
      </c>
      <c r="G1328" s="113" t="s">
        <v>4740</v>
      </c>
      <c r="H1328" s="113" t="s">
        <v>103</v>
      </c>
      <c r="I1328" s="113">
        <f>I1326</f>
      </c>
      <c r="J1328" s="113">
        <f>J1326&amp;"     "</f>
      </c>
      <c r="K1328" s="113" t="s">
        <v>81</v>
      </c>
      <c r="L1328" s="113">
        <f>L1326</f>
      </c>
      <c r="M1328" s="113">
        <f>M1326</f>
      </c>
      <c r="N1328" s="113">
        <f>N1326</f>
      </c>
      <c r="O1328" s="113">
        <f>O1326</f>
      </c>
      <c r="P1328" s="113">
        <f>P1326</f>
      </c>
      <c r="Q1328" s="113">
        <f>Q1326</f>
      </c>
      <c r="R1328" s="113">
        <f>R1326</f>
      </c>
      <c r="S1328" s="113">
        <f>S1326</f>
      </c>
      <c r="T1328" s="113">
        <f>T1326</f>
      </c>
      <c r="U1328" s="113">
        <f>U1326</f>
      </c>
      <c r="V1328" s="113">
        <f>V1326&amp;"     "</f>
      </c>
      <c r="W1328" s="113">
        <f>W1326&amp;"     "</f>
      </c>
      <c r="X1328" s="113">
        <f>X1326</f>
      </c>
      <c r="Y1328" s="113" t="s">
        <v>4157</v>
      </c>
    </row>
    <row r="1329" ht="50.0" customHeight="true">
      <c r="A1329" s="113" t="s">
        <v>4741</v>
      </c>
      <c r="B1329" s="113" t="s">
        <v>4742</v>
      </c>
      <c r="C1329" s="113" t="s">
        <v>4743</v>
      </c>
      <c r="D1329" s="113"/>
      <c r="E1329" s="114" t="s">
        <v>4688</v>
      </c>
      <c r="F1329" s="113" t="s">
        <v>4744</v>
      </c>
      <c r="G1329" s="113" t="s">
        <v>4744</v>
      </c>
      <c r="H1329" s="113" t="s">
        <v>103</v>
      </c>
      <c r="I1329" s="115" t="n">
        <v>250.62</v>
      </c>
      <c r="J1329" s="115" t="s">
        <v>80</v>
      </c>
      <c r="K1329" s="115" t="s">
        <v>81</v>
      </c>
      <c r="L1329" s="115" t="n">
        <v>245.62</v>
      </c>
      <c r="M1329" s="115" t="n">
        <v>3.0</v>
      </c>
      <c r="N1329" s="115"/>
      <c r="O1329" s="115"/>
      <c r="P1329" s="115"/>
      <c r="Q1329" s="115"/>
      <c r="R1329" s="115"/>
      <c r="S1329" s="115"/>
      <c r="T1329" s="115"/>
      <c r="U1329" s="115"/>
      <c r="V1329" s="115" t="s">
        <v>82</v>
      </c>
      <c r="W1329" s="115" t="s">
        <v>83</v>
      </c>
      <c r="X1329" s="113">
        <f>IF(INDIRECT("W1329")="Clássico","12%",IF(INDIRECT("W1329")="Premium","17%","-"))</f>
      </c>
      <c r="Y1329" s="113" t="s">
        <v>482</v>
      </c>
    </row>
    <row r="1330" ht="50.0" customHeight="true">
      <c r="A1330" s="113" t="s">
        <v>4745</v>
      </c>
      <c r="B1330" s="113" t="s">
        <v>4746</v>
      </c>
      <c r="C1330" s="113" t="s">
        <v>4747</v>
      </c>
      <c r="D1330" s="113"/>
      <c r="E1330" s="114" t="s">
        <v>3225</v>
      </c>
      <c r="F1330" s="113" t="s">
        <v>4748</v>
      </c>
      <c r="G1330" s="113" t="s">
        <v>4748</v>
      </c>
      <c r="H1330" s="113" t="s">
        <v>103</v>
      </c>
      <c r="I1330" s="115" t="n">
        <v>248.86</v>
      </c>
      <c r="J1330" s="115" t="s">
        <v>80</v>
      </c>
      <c r="K1330" s="115" t="s">
        <v>81</v>
      </c>
      <c r="L1330" s="115" t="n">
        <v>243.86</v>
      </c>
      <c r="M1330" s="115" t="n">
        <v>3.0</v>
      </c>
      <c r="N1330" s="115"/>
      <c r="O1330" s="115"/>
      <c r="P1330" s="115"/>
      <c r="Q1330" s="115"/>
      <c r="R1330" s="115"/>
      <c r="S1330" s="115"/>
      <c r="T1330" s="115"/>
      <c r="U1330" s="115"/>
      <c r="V1330" s="115" t="s">
        <v>82</v>
      </c>
      <c r="W1330" s="115" t="s">
        <v>83</v>
      </c>
      <c r="X1330" s="113">
        <f>IF(INDIRECT("W1330")="Clássico","12%",IF(INDIRECT("W1330")="Premium","17%","-"))</f>
      </c>
      <c r="Y1330" s="113" t="s">
        <v>3286</v>
      </c>
    </row>
    <row r="1331" ht="50.0" customHeight="true">
      <c r="A1331" s="113" t="s">
        <v>4749</v>
      </c>
      <c r="B1331" s="113" t="s">
        <v>4750</v>
      </c>
      <c r="C1331" s="113" t="s">
        <v>4751</v>
      </c>
      <c r="D1331" s="113"/>
      <c r="E1331" s="114" t="s">
        <v>4752</v>
      </c>
      <c r="F1331" s="113" t="s">
        <v>4753</v>
      </c>
      <c r="G1331" s="113" t="s">
        <v>4753</v>
      </c>
      <c r="H1331" s="113" t="s">
        <v>103</v>
      </c>
      <c r="I1331" s="115" t="n">
        <v>488.9</v>
      </c>
      <c r="J1331" s="115" t="s">
        <v>80</v>
      </c>
      <c r="K1331" s="115" t="s">
        <v>81</v>
      </c>
      <c r="L1331" s="115" t="n">
        <v>483.9</v>
      </c>
      <c r="M1331" s="115" t="n">
        <v>3.0</v>
      </c>
      <c r="N1331" s="115"/>
      <c r="O1331" s="115"/>
      <c r="P1331" s="115"/>
      <c r="Q1331" s="115"/>
      <c r="R1331" s="115"/>
      <c r="S1331" s="115"/>
      <c r="T1331" s="115"/>
      <c r="U1331" s="115"/>
      <c r="V1331" s="115" t="s">
        <v>82</v>
      </c>
      <c r="W1331" s="115" t="s">
        <v>92</v>
      </c>
      <c r="X1331" s="113">
        <f>IF(INDIRECT("W1331")="Clássico","12%",IF(INDIRECT("W1331")="Premium","17%","-"))</f>
      </c>
      <c r="Y1331" s="113" t="s">
        <v>4754</v>
      </c>
    </row>
    <row r="1332" ht="50.0" customHeight="true">
      <c r="A1332" s="113" t="s">
        <v>4755</v>
      </c>
      <c r="B1332" s="113" t="s">
        <v>4756</v>
      </c>
      <c r="C1332" s="113" t="s">
        <v>4757</v>
      </c>
      <c r="D1332" s="113"/>
      <c r="E1332" s="114" t="s">
        <v>3321</v>
      </c>
      <c r="F1332" s="113" t="s">
        <v>4758</v>
      </c>
      <c r="G1332" s="113" t="s">
        <v>4758</v>
      </c>
      <c r="H1332" s="113" t="s">
        <v>103</v>
      </c>
      <c r="I1332" s="115" t="n">
        <v>164.55</v>
      </c>
      <c r="J1332" s="115" t="s">
        <v>80</v>
      </c>
      <c r="K1332" s="115" t="s">
        <v>81</v>
      </c>
      <c r="L1332" s="115" t="n">
        <v>159.55</v>
      </c>
      <c r="M1332" s="115" t="n">
        <v>3.0</v>
      </c>
      <c r="N1332" s="115"/>
      <c r="O1332" s="115"/>
      <c r="P1332" s="115"/>
      <c r="Q1332" s="115"/>
      <c r="R1332" s="115"/>
      <c r="S1332" s="115"/>
      <c r="T1332" s="115"/>
      <c r="U1332" s="115"/>
      <c r="V1332" s="115" t="s">
        <v>82</v>
      </c>
      <c r="W1332" s="115" t="s">
        <v>83</v>
      </c>
      <c r="X1332" s="113">
        <f>IF(INDIRECT("W1332")="Clássico","12%",IF(INDIRECT("W1332")="Premium","17%","-"))</f>
      </c>
      <c r="Y1332" s="113" t="s">
        <v>3323</v>
      </c>
    </row>
    <row r="1333" ht="50.0" customHeight="true">
      <c r="A1333" s="113" t="s">
        <v>4759</v>
      </c>
      <c r="B1333" s="113" t="s">
        <v>4760</v>
      </c>
      <c r="C1333" s="113" t="s">
        <v>4761</v>
      </c>
      <c r="D1333" s="113"/>
      <c r="E1333" s="114" t="s">
        <v>4369</v>
      </c>
      <c r="F1333" s="113" t="s">
        <v>2484</v>
      </c>
      <c r="G1333" s="113" t="s">
        <v>2484</v>
      </c>
      <c r="H1333" s="113" t="s">
        <v>103</v>
      </c>
      <c r="I1333" s="115" t="n">
        <v>540.39</v>
      </c>
      <c r="J1333" s="115" t="s">
        <v>80</v>
      </c>
      <c r="K1333" s="115" t="s">
        <v>81</v>
      </c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 t="s">
        <v>82</v>
      </c>
      <c r="W1333" s="115" t="s">
        <v>92</v>
      </c>
      <c r="X1333" s="113">
        <f>IF(INDIRECT("W1333")="Clássico","11.5%",IF(INDIRECT("W1333")="Premium","16.5%","-"))</f>
      </c>
      <c r="Y1333" s="113" t="s">
        <v>684</v>
      </c>
    </row>
    <row r="1334" ht="50.0" customHeight="true">
      <c r="A1334" s="113" t="s">
        <v>4762</v>
      </c>
      <c r="B1334" s="113" t="s">
        <v>4763</v>
      </c>
      <c r="C1334" s="113" t="s">
        <v>4764</v>
      </c>
      <c r="D1334" s="113"/>
      <c r="E1334" s="114" t="s">
        <v>3482</v>
      </c>
      <c r="F1334" s="113" t="s">
        <v>4765</v>
      </c>
      <c r="G1334" s="113" t="s">
        <v>4765</v>
      </c>
      <c r="H1334" s="113" t="s">
        <v>103</v>
      </c>
      <c r="I1334" s="115" t="n">
        <v>703.54</v>
      </c>
      <c r="J1334" s="115" t="s">
        <v>80</v>
      </c>
      <c r="K1334" s="115" t="s">
        <v>81</v>
      </c>
      <c r="L1334" s="115" t="n">
        <v>698.54</v>
      </c>
      <c r="M1334" s="115" t="n">
        <v>3.0</v>
      </c>
      <c r="N1334" s="115"/>
      <c r="O1334" s="115"/>
      <c r="P1334" s="115"/>
      <c r="Q1334" s="115"/>
      <c r="R1334" s="115"/>
      <c r="S1334" s="115"/>
      <c r="T1334" s="115"/>
      <c r="U1334" s="115"/>
      <c r="V1334" s="115" t="s">
        <v>82</v>
      </c>
      <c r="W1334" s="115" t="s">
        <v>92</v>
      </c>
      <c r="X1334" s="113">
        <f>IF(INDIRECT("W1334")="Clássico","12%",IF(INDIRECT("W1334")="Premium","17%","-"))</f>
      </c>
      <c r="Y1334" s="113" t="s">
        <v>3484</v>
      </c>
    </row>
    <row r="1335" ht="50.0" customHeight="true">
      <c r="A1335" s="113" t="s">
        <v>22</v>
      </c>
      <c r="B1335" s="113" t="s">
        <v>4766</v>
      </c>
      <c r="C1335" s="113"/>
      <c r="D1335" s="113"/>
      <c r="E1335" s="113" t="s">
        <v>1193</v>
      </c>
      <c r="F1335" s="113" t="s">
        <v>4628</v>
      </c>
      <c r="G1335" s="113" t="s">
        <v>103</v>
      </c>
      <c r="H1335" s="113" t="s">
        <v>103</v>
      </c>
      <c r="I1335" s="115" t="n">
        <v>339.87</v>
      </c>
      <c r="J1335" s="115" t="s">
        <v>80</v>
      </c>
      <c r="K1335" s="113" t="s">
        <v>81</v>
      </c>
      <c r="L1335" s="115" t="n">
        <v>334.87</v>
      </c>
      <c r="M1335" s="115" t="n">
        <v>3.0</v>
      </c>
      <c r="N1335" s="115"/>
      <c r="O1335" s="115"/>
      <c r="P1335" s="115"/>
      <c r="Q1335" s="115"/>
      <c r="R1335" s="115"/>
      <c r="S1335" s="115"/>
      <c r="T1335" s="115"/>
      <c r="U1335" s="115"/>
      <c r="V1335" s="115" t="s">
        <v>82</v>
      </c>
      <c r="W1335" s="115" t="s">
        <v>83</v>
      </c>
      <c r="X1335" s="113">
        <f>IF(INDIRECT("W1335")="Clássico","12%",IF(INDIRECT("W1335")="Premium","17%","-"))</f>
      </c>
      <c r="Y1335" s="113" t="s">
        <v>1330</v>
      </c>
    </row>
    <row r="1336" ht="50.0" customHeight="true">
      <c r="A1336" s="113" t="s">
        <v>22</v>
      </c>
      <c r="B1336" s="113" t="s">
        <v>4766</v>
      </c>
      <c r="C1336" s="113" t="s">
        <v>4767</v>
      </c>
      <c r="D1336" s="113" t="s">
        <v>4767</v>
      </c>
      <c r="E1336" s="114" t="s">
        <v>4630</v>
      </c>
      <c r="F1336" s="116">
        <f>"     "&amp;F1335</f>
      </c>
      <c r="G1336" s="113" t="s">
        <v>4631</v>
      </c>
      <c r="H1336" s="113" t="s">
        <v>103</v>
      </c>
      <c r="I1336" s="113">
        <f>I1335</f>
      </c>
      <c r="J1336" s="113">
        <f>J1335&amp;"     "</f>
      </c>
      <c r="K1336" s="113" t="s">
        <v>81</v>
      </c>
      <c r="L1336" s="113">
        <f>L1335</f>
      </c>
      <c r="M1336" s="113">
        <f>M1335</f>
      </c>
      <c r="N1336" s="113">
        <f>N1335</f>
      </c>
      <c r="O1336" s="113">
        <f>O1335</f>
      </c>
      <c r="P1336" s="113">
        <f>P1335</f>
      </c>
      <c r="Q1336" s="113">
        <f>Q1335</f>
      </c>
      <c r="R1336" s="113">
        <f>R1335</f>
      </c>
      <c r="S1336" s="113">
        <f>S1335</f>
      </c>
      <c r="T1336" s="113">
        <f>T1335</f>
      </c>
      <c r="U1336" s="113">
        <f>U1335</f>
      </c>
      <c r="V1336" s="113">
        <f>V1335&amp;"     "</f>
      </c>
      <c r="W1336" s="113">
        <f>W1335&amp;"     "</f>
      </c>
      <c r="X1336" s="113">
        <f>X1335</f>
      </c>
      <c r="Y1336" s="113" t="s">
        <v>1330</v>
      </c>
    </row>
    <row r="1337" ht="50.0" customHeight="true">
      <c r="A1337" s="113" t="s">
        <v>22</v>
      </c>
      <c r="B1337" s="113" t="s">
        <v>4766</v>
      </c>
      <c r="C1337" s="113" t="s">
        <v>4768</v>
      </c>
      <c r="D1337" s="113" t="s">
        <v>4768</v>
      </c>
      <c r="E1337" s="114" t="s">
        <v>4633</v>
      </c>
      <c r="F1337" s="116">
        <f>"     "&amp;F1335</f>
      </c>
      <c r="G1337" s="113" t="s">
        <v>4634</v>
      </c>
      <c r="H1337" s="113" t="s">
        <v>103</v>
      </c>
      <c r="I1337" s="113">
        <f>I1335</f>
      </c>
      <c r="J1337" s="113">
        <f>J1335&amp;"     "</f>
      </c>
      <c r="K1337" s="113" t="s">
        <v>81</v>
      </c>
      <c r="L1337" s="113">
        <f>L1335</f>
      </c>
      <c r="M1337" s="113">
        <f>M1335</f>
      </c>
      <c r="N1337" s="113">
        <f>N1335</f>
      </c>
      <c r="O1337" s="113">
        <f>O1335</f>
      </c>
      <c r="P1337" s="113">
        <f>P1335</f>
      </c>
      <c r="Q1337" s="113">
        <f>Q1335</f>
      </c>
      <c r="R1337" s="113">
        <f>R1335</f>
      </c>
      <c r="S1337" s="113">
        <f>S1335</f>
      </c>
      <c r="T1337" s="113">
        <f>T1335</f>
      </c>
      <c r="U1337" s="113">
        <f>U1335</f>
      </c>
      <c r="V1337" s="113">
        <f>V1335&amp;"     "</f>
      </c>
      <c r="W1337" s="113">
        <f>W1335&amp;"     "</f>
      </c>
      <c r="X1337" s="113">
        <f>X1335</f>
      </c>
      <c r="Y1337" s="113" t="s">
        <v>1330</v>
      </c>
    </row>
    <row r="1338" ht="50.0" customHeight="true">
      <c r="A1338" s="113" t="s">
        <v>22</v>
      </c>
      <c r="B1338" s="113" t="s">
        <v>4766</v>
      </c>
      <c r="C1338" s="113" t="s">
        <v>4769</v>
      </c>
      <c r="D1338" s="113" t="s">
        <v>4769</v>
      </c>
      <c r="E1338" s="114" t="s">
        <v>4636</v>
      </c>
      <c r="F1338" s="116">
        <f>"     "&amp;F1335</f>
      </c>
      <c r="G1338" s="113" t="s">
        <v>4637</v>
      </c>
      <c r="H1338" s="113" t="s">
        <v>103</v>
      </c>
      <c r="I1338" s="113">
        <f>I1335</f>
      </c>
      <c r="J1338" s="113">
        <f>J1335&amp;"     "</f>
      </c>
      <c r="K1338" s="113" t="s">
        <v>81</v>
      </c>
      <c r="L1338" s="113">
        <f>L1335</f>
      </c>
      <c r="M1338" s="113">
        <f>M1335</f>
      </c>
      <c r="N1338" s="113">
        <f>N1335</f>
      </c>
      <c r="O1338" s="113">
        <f>O1335</f>
      </c>
      <c r="P1338" s="113">
        <f>P1335</f>
      </c>
      <c r="Q1338" s="113">
        <f>Q1335</f>
      </c>
      <c r="R1338" s="113">
        <f>R1335</f>
      </c>
      <c r="S1338" s="113">
        <f>S1335</f>
      </c>
      <c r="T1338" s="113">
        <f>T1335</f>
      </c>
      <c r="U1338" s="113">
        <f>U1335</f>
      </c>
      <c r="V1338" s="113">
        <f>V1335&amp;"     "</f>
      </c>
      <c r="W1338" s="113">
        <f>W1335&amp;"     "</f>
      </c>
      <c r="X1338" s="113">
        <f>X1335</f>
      </c>
      <c r="Y1338" s="113" t="s">
        <v>1330</v>
      </c>
    </row>
    <row r="1339" ht="50.0" customHeight="true">
      <c r="A1339" s="113" t="s">
        <v>22</v>
      </c>
      <c r="B1339" s="113" t="s">
        <v>4766</v>
      </c>
      <c r="C1339" s="113" t="s">
        <v>4770</v>
      </c>
      <c r="D1339" s="113" t="s">
        <v>4770</v>
      </c>
      <c r="E1339" s="114" t="s">
        <v>4639</v>
      </c>
      <c r="F1339" s="116">
        <f>"     "&amp;F1335</f>
      </c>
      <c r="G1339" s="113" t="s">
        <v>4640</v>
      </c>
      <c r="H1339" s="113" t="s">
        <v>103</v>
      </c>
      <c r="I1339" s="113">
        <f>I1335</f>
      </c>
      <c r="J1339" s="113">
        <f>J1335&amp;"     "</f>
      </c>
      <c r="K1339" s="113" t="s">
        <v>81</v>
      </c>
      <c r="L1339" s="113">
        <f>L1335</f>
      </c>
      <c r="M1339" s="113">
        <f>M1335</f>
      </c>
      <c r="N1339" s="113">
        <f>N1335</f>
      </c>
      <c r="O1339" s="113">
        <f>O1335</f>
      </c>
      <c r="P1339" s="113">
        <f>P1335</f>
      </c>
      <c r="Q1339" s="113">
        <f>Q1335</f>
      </c>
      <c r="R1339" s="113">
        <f>R1335</f>
      </c>
      <c r="S1339" s="113">
        <f>S1335</f>
      </c>
      <c r="T1339" s="113">
        <f>T1335</f>
      </c>
      <c r="U1339" s="113">
        <f>U1335</f>
      </c>
      <c r="V1339" s="113">
        <f>V1335&amp;"     "</f>
      </c>
      <c r="W1339" s="113">
        <f>W1335&amp;"     "</f>
      </c>
      <c r="X1339" s="113">
        <f>X1335</f>
      </c>
      <c r="Y1339" s="113" t="s">
        <v>1330</v>
      </c>
    </row>
    <row r="1340" ht="50.0" customHeight="true">
      <c r="A1340" s="113" t="s">
        <v>4771</v>
      </c>
      <c r="B1340" s="113" t="s">
        <v>4772</v>
      </c>
      <c r="C1340" s="113" t="s">
        <v>4773</v>
      </c>
      <c r="D1340" s="113"/>
      <c r="E1340" s="114" t="s">
        <v>3803</v>
      </c>
      <c r="F1340" s="113" t="s">
        <v>4774</v>
      </c>
      <c r="G1340" s="113" t="s">
        <v>3178</v>
      </c>
      <c r="H1340" s="113" t="s">
        <v>103</v>
      </c>
      <c r="I1340" s="115" t="n">
        <v>104.94</v>
      </c>
      <c r="J1340" s="115" t="s">
        <v>80</v>
      </c>
      <c r="K1340" s="115" t="s">
        <v>81</v>
      </c>
      <c r="L1340" s="115" t="n">
        <v>99.94</v>
      </c>
      <c r="M1340" s="115" t="n">
        <v>3.0</v>
      </c>
      <c r="N1340" s="115"/>
      <c r="O1340" s="115"/>
      <c r="P1340" s="115"/>
      <c r="Q1340" s="115"/>
      <c r="R1340" s="115"/>
      <c r="S1340" s="115"/>
      <c r="T1340" s="115"/>
      <c r="U1340" s="115"/>
      <c r="V1340" s="115" t="s">
        <v>82</v>
      </c>
      <c r="W1340" s="115" t="s">
        <v>83</v>
      </c>
      <c r="X1340" s="113">
        <f>IF(INDIRECT("W1340")="Clássico","12%",IF(INDIRECT("W1340")="Premium","17%","-"))</f>
      </c>
      <c r="Y1340" s="113" t="s">
        <v>576</v>
      </c>
    </row>
    <row r="1341" ht="50.0" customHeight="true">
      <c r="A1341" s="113" t="s">
        <v>4775</v>
      </c>
      <c r="B1341" s="113" t="s">
        <v>4776</v>
      </c>
      <c r="C1341" s="113" t="s">
        <v>4777</v>
      </c>
      <c r="D1341" s="113"/>
      <c r="E1341" s="114" t="s">
        <v>3348</v>
      </c>
      <c r="F1341" s="113" t="s">
        <v>4778</v>
      </c>
      <c r="G1341" s="113" t="s">
        <v>4778</v>
      </c>
      <c r="H1341" s="113" t="s">
        <v>103</v>
      </c>
      <c r="I1341" s="115" t="n">
        <v>67.95</v>
      </c>
      <c r="J1341" s="115" t="s">
        <v>80</v>
      </c>
      <c r="K1341" s="115" t="s">
        <v>81</v>
      </c>
      <c r="L1341" s="115" t="n">
        <v>62.95</v>
      </c>
      <c r="M1341" s="115" t="n">
        <v>3.0</v>
      </c>
      <c r="N1341" s="115"/>
      <c r="O1341" s="115"/>
      <c r="P1341" s="115"/>
      <c r="Q1341" s="115"/>
      <c r="R1341" s="115"/>
      <c r="S1341" s="115"/>
      <c r="T1341" s="115"/>
      <c r="U1341" s="115"/>
      <c r="V1341" s="115" t="s">
        <v>91</v>
      </c>
      <c r="W1341" s="115" t="s">
        <v>83</v>
      </c>
      <c r="X1341" s="113">
        <f>IF(INDIRECT("W1341")="Clássico","12%",IF(INDIRECT("W1341")="Premium","17%","-"))</f>
      </c>
      <c r="Y1341" s="113" t="s">
        <v>1979</v>
      </c>
    </row>
    <row r="1342" ht="50.0" customHeight="true">
      <c r="A1342" s="113" t="s">
        <v>4779</v>
      </c>
      <c r="B1342" s="113" t="s">
        <v>4780</v>
      </c>
      <c r="C1342" s="113" t="s">
        <v>4781</v>
      </c>
      <c r="D1342" s="113"/>
      <c r="E1342" s="114" t="s">
        <v>3464</v>
      </c>
      <c r="F1342" s="113" t="s">
        <v>4782</v>
      </c>
      <c r="G1342" s="113" t="s">
        <v>127</v>
      </c>
      <c r="H1342" s="113" t="s">
        <v>103</v>
      </c>
      <c r="I1342" s="115" t="n">
        <v>411.27</v>
      </c>
      <c r="J1342" s="115" t="s">
        <v>80</v>
      </c>
      <c r="K1342" s="115" t="s">
        <v>81</v>
      </c>
      <c r="L1342" s="115" t="n">
        <v>406.27</v>
      </c>
      <c r="M1342" s="115" t="n">
        <v>3.0</v>
      </c>
      <c r="N1342" s="115"/>
      <c r="O1342" s="115"/>
      <c r="P1342" s="115"/>
      <c r="Q1342" s="115"/>
      <c r="R1342" s="115"/>
      <c r="S1342" s="115"/>
      <c r="T1342" s="115"/>
      <c r="U1342" s="115"/>
      <c r="V1342" s="115" t="s">
        <v>82</v>
      </c>
      <c r="W1342" s="115" t="s">
        <v>83</v>
      </c>
      <c r="X1342" s="113">
        <f>IF(INDIRECT("W1342")="Clássico","12%",IF(INDIRECT("W1342")="Premium","17%","-"))</f>
      </c>
      <c r="Y1342" s="113" t="s">
        <v>423</v>
      </c>
    </row>
    <row r="1343" ht="50.0" customHeight="true">
      <c r="A1343" s="113" t="s">
        <v>22</v>
      </c>
      <c r="B1343" s="113" t="s">
        <v>4783</v>
      </c>
      <c r="C1343" s="113"/>
      <c r="D1343" s="113"/>
      <c r="E1343" s="113" t="s">
        <v>22</v>
      </c>
      <c r="F1343" s="113" t="s">
        <v>4784</v>
      </c>
      <c r="G1343" s="113" t="s">
        <v>103</v>
      </c>
      <c r="H1343" s="113" t="s">
        <v>103</v>
      </c>
      <c r="I1343" s="115" t="n">
        <v>176.85</v>
      </c>
      <c r="J1343" s="115" t="s">
        <v>80</v>
      </c>
      <c r="K1343" s="113" t="s">
        <v>81</v>
      </c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 t="s">
        <v>82</v>
      </c>
      <c r="W1343" s="115" t="s">
        <v>92</v>
      </c>
      <c r="X1343" s="113">
        <f>IF(INDIRECT("W1343")="Clássico","11.5%",IF(INDIRECT("W1343")="Premium","16.5%","-"))</f>
      </c>
      <c r="Y1343" s="113" t="s">
        <v>3552</v>
      </c>
    </row>
    <row r="1344" ht="50.0" customHeight="true">
      <c r="A1344" s="113" t="s">
        <v>22</v>
      </c>
      <c r="B1344" s="113" t="s">
        <v>4783</v>
      </c>
      <c r="C1344" s="113" t="s">
        <v>4785</v>
      </c>
      <c r="D1344" s="113" t="s">
        <v>4785</v>
      </c>
      <c r="E1344" s="114" t="s">
        <v>3554</v>
      </c>
      <c r="F1344" s="116">
        <f>"     "&amp;F1343</f>
      </c>
      <c r="G1344" s="113" t="s">
        <v>3718</v>
      </c>
      <c r="H1344" s="113" t="s">
        <v>103</v>
      </c>
      <c r="I1344" s="113">
        <f>I1343</f>
      </c>
      <c r="J1344" s="113">
        <f>J1343&amp;"     "</f>
      </c>
      <c r="K1344" s="113" t="s">
        <v>81</v>
      </c>
      <c r="L1344" s="113">
        <f>L1343</f>
      </c>
      <c r="M1344" s="113">
        <f>M1343</f>
      </c>
      <c r="N1344" s="113">
        <f>N1343</f>
      </c>
      <c r="O1344" s="113">
        <f>O1343</f>
      </c>
      <c r="P1344" s="113">
        <f>P1343</f>
      </c>
      <c r="Q1344" s="113">
        <f>Q1343</f>
      </c>
      <c r="R1344" s="113">
        <f>R1343</f>
      </c>
      <c r="S1344" s="113">
        <f>S1343</f>
      </c>
      <c r="T1344" s="113">
        <f>T1343</f>
      </c>
      <c r="U1344" s="113">
        <f>U1343</f>
      </c>
      <c r="V1344" s="113">
        <f>V1343&amp;"     "</f>
      </c>
      <c r="W1344" s="113">
        <f>W1343&amp;"     "</f>
      </c>
      <c r="X1344" s="113">
        <f>X1343</f>
      </c>
      <c r="Y1344" s="113" t="s">
        <v>3552</v>
      </c>
    </row>
    <row r="1345" ht="50.0" customHeight="true">
      <c r="A1345" s="113" t="s">
        <v>22</v>
      </c>
      <c r="B1345" s="113" t="s">
        <v>4783</v>
      </c>
      <c r="C1345" s="113" t="s">
        <v>4786</v>
      </c>
      <c r="D1345" s="113" t="s">
        <v>4786</v>
      </c>
      <c r="E1345" s="114" t="s">
        <v>3557</v>
      </c>
      <c r="F1345" s="116">
        <f>"     "&amp;F1343</f>
      </c>
      <c r="G1345" s="113" t="s">
        <v>3720</v>
      </c>
      <c r="H1345" s="113" t="s">
        <v>103</v>
      </c>
      <c r="I1345" s="113">
        <f>I1343</f>
      </c>
      <c r="J1345" s="113">
        <f>J1343&amp;"     "</f>
      </c>
      <c r="K1345" s="113" t="s">
        <v>81</v>
      </c>
      <c r="L1345" s="113">
        <f>L1343</f>
      </c>
      <c r="M1345" s="113">
        <f>M1343</f>
      </c>
      <c r="N1345" s="113">
        <f>N1343</f>
      </c>
      <c r="O1345" s="113">
        <f>O1343</f>
      </c>
      <c r="P1345" s="113">
        <f>P1343</f>
      </c>
      <c r="Q1345" s="113">
        <f>Q1343</f>
      </c>
      <c r="R1345" s="113">
        <f>R1343</f>
      </c>
      <c r="S1345" s="113">
        <f>S1343</f>
      </c>
      <c r="T1345" s="113">
        <f>T1343</f>
      </c>
      <c r="U1345" s="113">
        <f>U1343</f>
      </c>
      <c r="V1345" s="113">
        <f>V1343&amp;"     "</f>
      </c>
      <c r="W1345" s="113">
        <f>W1343&amp;"     "</f>
      </c>
      <c r="X1345" s="113">
        <f>X1343</f>
      </c>
      <c r="Y1345" s="113" t="s">
        <v>3552</v>
      </c>
    </row>
    <row r="1346" ht="50.0" customHeight="true">
      <c r="A1346" s="113" t="s">
        <v>4787</v>
      </c>
      <c r="B1346" s="113" t="s">
        <v>4788</v>
      </c>
      <c r="C1346" s="113" t="s">
        <v>4789</v>
      </c>
      <c r="D1346" s="113"/>
      <c r="E1346" s="114" t="s">
        <v>4369</v>
      </c>
      <c r="F1346" s="113" t="s">
        <v>4790</v>
      </c>
      <c r="G1346" s="113" t="s">
        <v>4790</v>
      </c>
      <c r="H1346" s="113" t="s">
        <v>103</v>
      </c>
      <c r="I1346" s="115" t="n">
        <v>701.15</v>
      </c>
      <c r="J1346" s="115" t="s">
        <v>80</v>
      </c>
      <c r="K1346" s="115" t="s">
        <v>81</v>
      </c>
      <c r="L1346" s="115" t="n">
        <v>696.0</v>
      </c>
      <c r="M1346" s="115" t="n">
        <v>3.0</v>
      </c>
      <c r="N1346" s="115"/>
      <c r="O1346" s="115"/>
      <c r="P1346" s="115"/>
      <c r="Q1346" s="115"/>
      <c r="R1346" s="115"/>
      <c r="S1346" s="115"/>
      <c r="T1346" s="115"/>
      <c r="U1346" s="115"/>
      <c r="V1346" s="115" t="s">
        <v>82</v>
      </c>
      <c r="W1346" s="115" t="s">
        <v>83</v>
      </c>
      <c r="X1346" s="113">
        <f>IF(INDIRECT("W1346")="Clássico","11.5%",IF(INDIRECT("W1346")="Premium","16.5%","-"))</f>
      </c>
      <c r="Y1346" s="113" t="s">
        <v>684</v>
      </c>
    </row>
    <row r="1347" ht="50.0" customHeight="true">
      <c r="A1347" s="113" t="s">
        <v>4791</v>
      </c>
      <c r="B1347" s="113" t="s">
        <v>4792</v>
      </c>
      <c r="C1347" s="113" t="s">
        <v>4793</v>
      </c>
      <c r="D1347" s="113"/>
      <c r="E1347" s="114" t="s">
        <v>4061</v>
      </c>
      <c r="F1347" s="113" t="s">
        <v>4794</v>
      </c>
      <c r="G1347" s="113" t="s">
        <v>4794</v>
      </c>
      <c r="H1347" s="113" t="s">
        <v>103</v>
      </c>
      <c r="I1347" s="115" t="n">
        <v>438.61</v>
      </c>
      <c r="J1347" s="115" t="s">
        <v>80</v>
      </c>
      <c r="K1347" s="115" t="s">
        <v>81</v>
      </c>
      <c r="L1347" s="115" t="n">
        <v>433.61</v>
      </c>
      <c r="M1347" s="115" t="n">
        <v>3.0</v>
      </c>
      <c r="N1347" s="115"/>
      <c r="O1347" s="115"/>
      <c r="P1347" s="115"/>
      <c r="Q1347" s="115"/>
      <c r="R1347" s="115"/>
      <c r="S1347" s="115"/>
      <c r="T1347" s="115"/>
      <c r="U1347" s="115"/>
      <c r="V1347" s="115" t="s">
        <v>82</v>
      </c>
      <c r="W1347" s="115" t="s">
        <v>83</v>
      </c>
      <c r="X1347" s="113">
        <f>IF(INDIRECT("W1347")="Clássico","12%",IF(INDIRECT("W1347")="Premium","17%","-"))</f>
      </c>
      <c r="Y1347" s="113" t="s">
        <v>4063</v>
      </c>
    </row>
    <row r="1348" ht="50.0" customHeight="true">
      <c r="A1348" s="113" t="s">
        <v>4795</v>
      </c>
      <c r="B1348" s="113" t="s">
        <v>4796</v>
      </c>
      <c r="C1348" s="113" t="s">
        <v>4797</v>
      </c>
      <c r="D1348" s="113"/>
      <c r="E1348" s="114" t="s">
        <v>3368</v>
      </c>
      <c r="F1348" s="113" t="s">
        <v>4798</v>
      </c>
      <c r="G1348" s="113" t="s">
        <v>4798</v>
      </c>
      <c r="H1348" s="113" t="s">
        <v>103</v>
      </c>
      <c r="I1348" s="115" t="n">
        <v>296.89</v>
      </c>
      <c r="J1348" s="115" t="s">
        <v>80</v>
      </c>
      <c r="K1348" s="115" t="s">
        <v>81</v>
      </c>
      <c r="L1348" s="115" t="n">
        <v>291.89</v>
      </c>
      <c r="M1348" s="115" t="n">
        <v>3.0</v>
      </c>
      <c r="N1348" s="115"/>
      <c r="O1348" s="115"/>
      <c r="P1348" s="115"/>
      <c r="Q1348" s="115"/>
      <c r="R1348" s="115"/>
      <c r="S1348" s="115"/>
      <c r="T1348" s="115"/>
      <c r="U1348" s="115"/>
      <c r="V1348" s="115" t="s">
        <v>82</v>
      </c>
      <c r="W1348" s="115" t="s">
        <v>92</v>
      </c>
      <c r="X1348" s="113">
        <f>IF(INDIRECT("W1348")="Clássico","12%",IF(INDIRECT("W1348")="Premium","17%","-"))</f>
      </c>
      <c r="Y1348" s="113" t="s">
        <v>1774</v>
      </c>
    </row>
    <row r="1349" ht="50.0" customHeight="true">
      <c r="A1349" s="113" t="s">
        <v>4799</v>
      </c>
      <c r="B1349" s="113" t="s">
        <v>4800</v>
      </c>
      <c r="C1349" s="113" t="s">
        <v>4801</v>
      </c>
      <c r="D1349" s="113"/>
      <c r="E1349" s="114" t="s">
        <v>3339</v>
      </c>
      <c r="F1349" s="113" t="s">
        <v>4802</v>
      </c>
      <c r="G1349" s="113" t="s">
        <v>4802</v>
      </c>
      <c r="H1349" s="113" t="s">
        <v>103</v>
      </c>
      <c r="I1349" s="115" t="n">
        <v>308.74</v>
      </c>
      <c r="J1349" s="115" t="s">
        <v>80</v>
      </c>
      <c r="K1349" s="115" t="s">
        <v>81</v>
      </c>
      <c r="L1349" s="115" t="n">
        <v>303.74</v>
      </c>
      <c r="M1349" s="115" t="n">
        <v>3.0</v>
      </c>
      <c r="N1349" s="115"/>
      <c r="O1349" s="115"/>
      <c r="P1349" s="115"/>
      <c r="Q1349" s="115"/>
      <c r="R1349" s="115"/>
      <c r="S1349" s="115"/>
      <c r="T1349" s="115"/>
      <c r="U1349" s="115"/>
      <c r="V1349" s="115" t="s">
        <v>82</v>
      </c>
      <c r="W1349" s="115" t="s">
        <v>92</v>
      </c>
      <c r="X1349" s="113">
        <f>IF(INDIRECT("W1349")="Clássico","12%",IF(INDIRECT("W1349")="Premium","17%","-"))</f>
      </c>
      <c r="Y1349" s="113" t="s">
        <v>121</v>
      </c>
    </row>
    <row r="1350" ht="50.0" customHeight="true">
      <c r="A1350" s="113" t="s">
        <v>4803</v>
      </c>
      <c r="B1350" s="113" t="s">
        <v>4804</v>
      </c>
      <c r="C1350" s="113" t="s">
        <v>4805</v>
      </c>
      <c r="D1350" s="113"/>
      <c r="E1350" s="114" t="s">
        <v>3380</v>
      </c>
      <c r="F1350" s="113" t="s">
        <v>4806</v>
      </c>
      <c r="G1350" s="113" t="s">
        <v>413</v>
      </c>
      <c r="H1350" s="113" t="s">
        <v>103</v>
      </c>
      <c r="I1350" s="115" t="n">
        <v>161.9</v>
      </c>
      <c r="J1350" s="115" t="s">
        <v>80</v>
      </c>
      <c r="K1350" s="115" t="s">
        <v>81</v>
      </c>
      <c r="L1350" s="115" t="n">
        <v>156.9</v>
      </c>
      <c r="M1350" s="115" t="n">
        <v>3.0</v>
      </c>
      <c r="N1350" s="115"/>
      <c r="O1350" s="115"/>
      <c r="P1350" s="115"/>
      <c r="Q1350" s="115"/>
      <c r="R1350" s="115"/>
      <c r="S1350" s="115"/>
      <c r="T1350" s="115"/>
      <c r="U1350" s="115"/>
      <c r="V1350" s="115" t="s">
        <v>82</v>
      </c>
      <c r="W1350" s="115" t="s">
        <v>83</v>
      </c>
      <c r="X1350" s="113">
        <f>IF(INDIRECT("W1350")="Clássico","12%",IF(INDIRECT("W1350")="Premium","17%","-"))</f>
      </c>
      <c r="Y1350" s="113" t="s">
        <v>414</v>
      </c>
    </row>
    <row r="1351" ht="50.0" customHeight="true">
      <c r="A1351" s="113" t="s">
        <v>4807</v>
      </c>
      <c r="B1351" s="113" t="s">
        <v>4808</v>
      </c>
      <c r="C1351" s="113" t="s">
        <v>4809</v>
      </c>
      <c r="D1351" s="113"/>
      <c r="E1351" s="114" t="s">
        <v>3679</v>
      </c>
      <c r="F1351" s="113" t="s">
        <v>4810</v>
      </c>
      <c r="G1351" s="113" t="s">
        <v>4810</v>
      </c>
      <c r="H1351" s="113" t="s">
        <v>103</v>
      </c>
      <c r="I1351" s="115" t="n">
        <v>208.74</v>
      </c>
      <c r="J1351" s="115" t="s">
        <v>80</v>
      </c>
      <c r="K1351" s="115" t="s">
        <v>81</v>
      </c>
      <c r="L1351" s="115" t="n">
        <v>204.5</v>
      </c>
      <c r="M1351" s="115" t="n">
        <v>3.0</v>
      </c>
      <c r="N1351" s="115"/>
      <c r="O1351" s="115"/>
      <c r="P1351" s="115"/>
      <c r="Q1351" s="115"/>
      <c r="R1351" s="115"/>
      <c r="S1351" s="115"/>
      <c r="T1351" s="115"/>
      <c r="U1351" s="115"/>
      <c r="V1351" s="115" t="s">
        <v>82</v>
      </c>
      <c r="W1351" s="115" t="s">
        <v>83</v>
      </c>
      <c r="X1351" s="113">
        <f>IF(INDIRECT("W1351")="Clássico","12%",IF(INDIRECT("W1351")="Premium","17%","-"))</f>
      </c>
      <c r="Y1351" s="113" t="s">
        <v>4811</v>
      </c>
    </row>
    <row r="1352" ht="50.0" customHeight="true">
      <c r="A1352" s="113" t="s">
        <v>4812</v>
      </c>
      <c r="B1352" s="113" t="s">
        <v>4813</v>
      </c>
      <c r="C1352" s="113" t="s">
        <v>4814</v>
      </c>
      <c r="D1352" s="113"/>
      <c r="E1352" s="114" t="s">
        <v>4604</v>
      </c>
      <c r="F1352" s="113" t="s">
        <v>4815</v>
      </c>
      <c r="G1352" s="113" t="s">
        <v>4606</v>
      </c>
      <c r="H1352" s="113" t="s">
        <v>103</v>
      </c>
      <c r="I1352" s="115" t="n">
        <v>358.11</v>
      </c>
      <c r="J1352" s="115" t="s">
        <v>80</v>
      </c>
      <c r="K1352" s="115" t="s">
        <v>81</v>
      </c>
      <c r="L1352" s="115" t="n">
        <v>353.11</v>
      </c>
      <c r="M1352" s="115" t="n">
        <v>3.0</v>
      </c>
      <c r="N1352" s="115"/>
      <c r="O1352" s="115"/>
      <c r="P1352" s="115"/>
      <c r="Q1352" s="115"/>
      <c r="R1352" s="115"/>
      <c r="S1352" s="115"/>
      <c r="T1352" s="115"/>
      <c r="U1352" s="115"/>
      <c r="V1352" s="115" t="s">
        <v>82</v>
      </c>
      <c r="W1352" s="115" t="s">
        <v>83</v>
      </c>
      <c r="X1352" s="113">
        <f>IF(INDIRECT("W1352")="Clássico","12%",IF(INDIRECT("W1352")="Premium","17%","-"))</f>
      </c>
      <c r="Y1352" s="113" t="s">
        <v>1154</v>
      </c>
    </row>
    <row r="1353" ht="50.0" customHeight="true">
      <c r="A1353" s="113" t="s">
        <v>4816</v>
      </c>
      <c r="B1353" s="113" t="s">
        <v>4817</v>
      </c>
      <c r="C1353" s="113" t="s">
        <v>4818</v>
      </c>
      <c r="D1353" s="113"/>
      <c r="E1353" s="114" t="s">
        <v>4819</v>
      </c>
      <c r="F1353" s="113" t="s">
        <v>4820</v>
      </c>
      <c r="G1353" s="113" t="s">
        <v>127</v>
      </c>
      <c r="H1353" s="113" t="s">
        <v>103</v>
      </c>
      <c r="I1353" s="115" t="n">
        <v>249.1</v>
      </c>
      <c r="J1353" s="115" t="s">
        <v>80</v>
      </c>
      <c r="K1353" s="115" t="s">
        <v>81</v>
      </c>
      <c r="L1353" s="115" t="n">
        <v>244.1</v>
      </c>
      <c r="M1353" s="115" t="n">
        <v>3.0</v>
      </c>
      <c r="N1353" s="115"/>
      <c r="O1353" s="115"/>
      <c r="P1353" s="115"/>
      <c r="Q1353" s="115"/>
      <c r="R1353" s="115"/>
      <c r="S1353" s="115"/>
      <c r="T1353" s="115"/>
      <c r="U1353" s="115"/>
      <c r="V1353" s="115" t="s">
        <v>82</v>
      </c>
      <c r="W1353" s="115" t="s">
        <v>83</v>
      </c>
      <c r="X1353" s="113">
        <f>IF(INDIRECT("W1353")="Clássico","12%",IF(INDIRECT("W1353")="Premium","17%","-"))</f>
      </c>
      <c r="Y1353" s="113" t="s">
        <v>1952</v>
      </c>
    </row>
    <row r="1354" ht="50.0" customHeight="true">
      <c r="A1354" s="113" t="s">
        <v>4821</v>
      </c>
      <c r="B1354" s="113" t="s">
        <v>4822</v>
      </c>
      <c r="C1354" s="113" t="s">
        <v>4823</v>
      </c>
      <c r="D1354" s="113"/>
      <c r="E1354" s="114" t="s">
        <v>4474</v>
      </c>
      <c r="F1354" s="113" t="s">
        <v>4824</v>
      </c>
      <c r="G1354" s="113" t="s">
        <v>4824</v>
      </c>
      <c r="H1354" s="113" t="s">
        <v>103</v>
      </c>
      <c r="I1354" s="115" t="n">
        <v>162.84</v>
      </c>
      <c r="J1354" s="115" t="s">
        <v>80</v>
      </c>
      <c r="K1354" s="115" t="s">
        <v>81</v>
      </c>
      <c r="L1354" s="115" t="n">
        <v>157.84</v>
      </c>
      <c r="M1354" s="115" t="n">
        <v>3.0</v>
      </c>
      <c r="N1354" s="115"/>
      <c r="O1354" s="115"/>
      <c r="P1354" s="115"/>
      <c r="Q1354" s="115"/>
      <c r="R1354" s="115"/>
      <c r="S1354" s="115"/>
      <c r="T1354" s="115"/>
      <c r="U1354" s="115"/>
      <c r="V1354" s="115" t="s">
        <v>82</v>
      </c>
      <c r="W1354" s="115" t="s">
        <v>83</v>
      </c>
      <c r="X1354" s="113">
        <f>IF(INDIRECT("W1354")="Clássico","12%",IF(INDIRECT("W1354")="Premium","17%","-"))</f>
      </c>
      <c r="Y1354" s="113" t="s">
        <v>722</v>
      </c>
    </row>
    <row r="1355" ht="50.0" customHeight="true">
      <c r="A1355" s="113" t="s">
        <v>4825</v>
      </c>
      <c r="B1355" s="113" t="s">
        <v>4826</v>
      </c>
      <c r="C1355" s="113" t="s">
        <v>4827</v>
      </c>
      <c r="D1355" s="113"/>
      <c r="E1355" s="114" t="s">
        <v>3258</v>
      </c>
      <c r="F1355" s="113" t="s">
        <v>4828</v>
      </c>
      <c r="G1355" s="113" t="s">
        <v>127</v>
      </c>
      <c r="H1355" s="113" t="s">
        <v>103</v>
      </c>
      <c r="I1355" s="115" t="n">
        <v>450.51</v>
      </c>
      <c r="J1355" s="115" t="s">
        <v>80</v>
      </c>
      <c r="K1355" s="115" t="s">
        <v>81</v>
      </c>
      <c r="L1355" s="115" t="n">
        <v>445.51</v>
      </c>
      <c r="M1355" s="115" t="n">
        <v>3.0</v>
      </c>
      <c r="N1355" s="115"/>
      <c r="O1355" s="115"/>
      <c r="P1355" s="115"/>
      <c r="Q1355" s="115"/>
      <c r="R1355" s="115"/>
      <c r="S1355" s="115"/>
      <c r="T1355" s="115"/>
      <c r="U1355" s="115"/>
      <c r="V1355" s="115" t="s">
        <v>82</v>
      </c>
      <c r="W1355" s="115" t="s">
        <v>83</v>
      </c>
      <c r="X1355" s="113">
        <f>IF(INDIRECT("W1355")="Clássico","12%",IF(INDIRECT("W1355")="Premium","17%","-"))</f>
      </c>
      <c r="Y1355" s="113" t="s">
        <v>423</v>
      </c>
    </row>
    <row r="1356" ht="50.0" customHeight="true">
      <c r="A1356" s="113" t="s">
        <v>4829</v>
      </c>
      <c r="B1356" s="113" t="s">
        <v>4830</v>
      </c>
      <c r="C1356" s="113" t="s">
        <v>4831</v>
      </c>
      <c r="D1356" s="113"/>
      <c r="E1356" s="114" t="s">
        <v>3988</v>
      </c>
      <c r="F1356" s="113" t="s">
        <v>4832</v>
      </c>
      <c r="G1356" s="113" t="s">
        <v>4832</v>
      </c>
      <c r="H1356" s="113" t="s">
        <v>103</v>
      </c>
      <c r="I1356" s="115" t="n">
        <v>332.9</v>
      </c>
      <c r="J1356" s="115" t="s">
        <v>80</v>
      </c>
      <c r="K1356" s="115" t="s">
        <v>81</v>
      </c>
      <c r="L1356" s="115" t="n">
        <v>327.9</v>
      </c>
      <c r="M1356" s="115" t="n">
        <v>3.0</v>
      </c>
      <c r="N1356" s="115"/>
      <c r="O1356" s="115"/>
      <c r="P1356" s="115"/>
      <c r="Q1356" s="115"/>
      <c r="R1356" s="115"/>
      <c r="S1356" s="115"/>
      <c r="T1356" s="115"/>
      <c r="U1356" s="115"/>
      <c r="V1356" s="115" t="s">
        <v>82</v>
      </c>
      <c r="W1356" s="115" t="s">
        <v>92</v>
      </c>
      <c r="X1356" s="113">
        <f>IF(INDIRECT("W1356")="Clássico","12%",IF(INDIRECT("W1356")="Premium","17%","-"))</f>
      </c>
      <c r="Y1356" s="113" t="s">
        <v>3787</v>
      </c>
    </row>
    <row r="1357" ht="50.0" customHeight="true">
      <c r="A1357" s="113" t="s">
        <v>4833</v>
      </c>
      <c r="B1357" s="113" t="s">
        <v>4834</v>
      </c>
      <c r="C1357" s="113" t="s">
        <v>4835</v>
      </c>
      <c r="D1357" s="113"/>
      <c r="E1357" s="114" t="s">
        <v>1815</v>
      </c>
      <c r="F1357" s="113" t="s">
        <v>4836</v>
      </c>
      <c r="G1357" s="113" t="s">
        <v>4836</v>
      </c>
      <c r="H1357" s="113" t="s">
        <v>103</v>
      </c>
      <c r="I1357" s="115" t="n">
        <v>304.94</v>
      </c>
      <c r="J1357" s="115" t="s">
        <v>80</v>
      </c>
      <c r="K1357" s="115" t="s">
        <v>81</v>
      </c>
      <c r="L1357" s="115" t="n">
        <v>299.94</v>
      </c>
      <c r="M1357" s="115" t="n">
        <v>3.0</v>
      </c>
      <c r="N1357" s="115"/>
      <c r="O1357" s="115"/>
      <c r="P1357" s="115"/>
      <c r="Q1357" s="115"/>
      <c r="R1357" s="115"/>
      <c r="S1357" s="115"/>
      <c r="T1357" s="115"/>
      <c r="U1357" s="115"/>
      <c r="V1357" s="115" t="s">
        <v>82</v>
      </c>
      <c r="W1357" s="115" t="s">
        <v>83</v>
      </c>
      <c r="X1357" s="113">
        <f>IF(INDIRECT("W1357")="Clássico","12%",IF(INDIRECT("W1357")="Premium","17%","-"))</f>
      </c>
      <c r="Y1357" s="113" t="s">
        <v>181</v>
      </c>
    </row>
    <row r="1358" ht="50.0" customHeight="true">
      <c r="A1358" s="113" t="s">
        <v>4837</v>
      </c>
      <c r="B1358" s="113" t="s">
        <v>4838</v>
      </c>
      <c r="C1358" s="113" t="s">
        <v>4839</v>
      </c>
      <c r="D1358" s="113"/>
      <c r="E1358" s="114" t="s">
        <v>4678</v>
      </c>
      <c r="F1358" s="113" t="s">
        <v>4840</v>
      </c>
      <c r="G1358" s="113" t="s">
        <v>127</v>
      </c>
      <c r="H1358" s="113" t="s">
        <v>103</v>
      </c>
      <c r="I1358" s="115" t="n">
        <v>184.6</v>
      </c>
      <c r="J1358" s="115" t="s">
        <v>80</v>
      </c>
      <c r="K1358" s="115" t="s">
        <v>81</v>
      </c>
      <c r="L1358" s="115" t="n">
        <v>179.6</v>
      </c>
      <c r="M1358" s="115" t="n">
        <v>3.0</v>
      </c>
      <c r="N1358" s="115"/>
      <c r="O1358" s="115"/>
      <c r="P1358" s="115"/>
      <c r="Q1358" s="115"/>
      <c r="R1358" s="115"/>
      <c r="S1358" s="115"/>
      <c r="T1358" s="115"/>
      <c r="U1358" s="115"/>
      <c r="V1358" s="115" t="s">
        <v>82</v>
      </c>
      <c r="W1358" s="115" t="s">
        <v>83</v>
      </c>
      <c r="X1358" s="113">
        <f>IF(INDIRECT("W1358")="Clássico","12%",IF(INDIRECT("W1358")="Premium","17%","-"))</f>
      </c>
      <c r="Y1358" s="113" t="s">
        <v>300</v>
      </c>
    </row>
    <row r="1359" ht="50.0" customHeight="true">
      <c r="A1359" s="113" t="s">
        <v>3370</v>
      </c>
      <c r="B1359" s="113" t="s">
        <v>4841</v>
      </c>
      <c r="C1359" s="113" t="s">
        <v>3372</v>
      </c>
      <c r="D1359" s="113"/>
      <c r="E1359" s="114" t="s">
        <v>3170</v>
      </c>
      <c r="F1359" s="113" t="s">
        <v>4842</v>
      </c>
      <c r="G1359" s="113" t="s">
        <v>103</v>
      </c>
      <c r="H1359" s="113" t="s">
        <v>103</v>
      </c>
      <c r="I1359" s="115" t="n">
        <v>123.93</v>
      </c>
      <c r="J1359" s="115" t="s">
        <v>80</v>
      </c>
      <c r="K1359" s="115" t="s">
        <v>81</v>
      </c>
      <c r="L1359" s="115" t="n">
        <v>118.93</v>
      </c>
      <c r="M1359" s="115" t="n">
        <v>3.0</v>
      </c>
      <c r="N1359" s="115"/>
      <c r="O1359" s="115"/>
      <c r="P1359" s="115"/>
      <c r="Q1359" s="115"/>
      <c r="R1359" s="115"/>
      <c r="S1359" s="115"/>
      <c r="T1359" s="115"/>
      <c r="U1359" s="115"/>
      <c r="V1359" s="115" t="s">
        <v>82</v>
      </c>
      <c r="W1359" s="115" t="s">
        <v>83</v>
      </c>
      <c r="X1359" s="113">
        <f>IF(INDIRECT("W1359")="Clássico","12.5%",IF(INDIRECT("W1359")="Premium","17.5%","-"))</f>
      </c>
      <c r="Y1359" s="113" t="s">
        <v>3172</v>
      </c>
    </row>
    <row r="1360" ht="50.0" customHeight="true">
      <c r="A1360" s="113" t="s">
        <v>4843</v>
      </c>
      <c r="B1360" s="113" t="s">
        <v>4844</v>
      </c>
      <c r="C1360" s="113" t="s">
        <v>4845</v>
      </c>
      <c r="D1360" s="113"/>
      <c r="E1360" s="114" t="s">
        <v>4683</v>
      </c>
      <c r="F1360" s="113" t="s">
        <v>4846</v>
      </c>
      <c r="G1360" s="113" t="s">
        <v>4846</v>
      </c>
      <c r="H1360" s="113" t="s">
        <v>103</v>
      </c>
      <c r="I1360" s="115" t="n">
        <v>150.33</v>
      </c>
      <c r="J1360" s="115" t="s">
        <v>80</v>
      </c>
      <c r="K1360" s="115" t="s">
        <v>81</v>
      </c>
      <c r="L1360" s="115" t="n">
        <v>145.33</v>
      </c>
      <c r="M1360" s="115" t="n">
        <v>3.0</v>
      </c>
      <c r="N1360" s="115"/>
      <c r="O1360" s="115"/>
      <c r="P1360" s="115"/>
      <c r="Q1360" s="115"/>
      <c r="R1360" s="115"/>
      <c r="S1360" s="115"/>
      <c r="T1360" s="115"/>
      <c r="U1360" s="115"/>
      <c r="V1360" s="115" t="s">
        <v>82</v>
      </c>
      <c r="W1360" s="115" t="s">
        <v>92</v>
      </c>
      <c r="X1360" s="113">
        <f>IF(INDIRECT("W1360")="Clássico","12%",IF(INDIRECT("W1360")="Premium","17%","-"))</f>
      </c>
      <c r="Y1360" s="113" t="s">
        <v>1741</v>
      </c>
    </row>
    <row r="1361" ht="50.0" customHeight="true">
      <c r="A1361" s="113" t="s">
        <v>4847</v>
      </c>
      <c r="B1361" s="113" t="s">
        <v>4848</v>
      </c>
      <c r="C1361" s="113" t="s">
        <v>4849</v>
      </c>
      <c r="D1361" s="113"/>
      <c r="E1361" s="114" t="s">
        <v>4116</v>
      </c>
      <c r="F1361" s="113" t="s">
        <v>4850</v>
      </c>
      <c r="G1361" s="113" t="s">
        <v>4850</v>
      </c>
      <c r="H1361" s="113" t="s">
        <v>103</v>
      </c>
      <c r="I1361" s="115" t="n">
        <v>166.72</v>
      </c>
      <c r="J1361" s="115" t="s">
        <v>80</v>
      </c>
      <c r="K1361" s="115" t="s">
        <v>81</v>
      </c>
      <c r="L1361" s="115" t="n">
        <v>161.72</v>
      </c>
      <c r="M1361" s="115" t="n">
        <v>3.0</v>
      </c>
      <c r="N1361" s="115"/>
      <c r="O1361" s="115"/>
      <c r="P1361" s="115"/>
      <c r="Q1361" s="115"/>
      <c r="R1361" s="115"/>
      <c r="S1361" s="115"/>
      <c r="T1361" s="115"/>
      <c r="U1361" s="115"/>
      <c r="V1361" s="115" t="s">
        <v>82</v>
      </c>
      <c r="W1361" s="115" t="s">
        <v>83</v>
      </c>
      <c r="X1361" s="113">
        <f>IF(INDIRECT("W1361")="Clássico","12%",IF(INDIRECT("W1361")="Premium","17%","-"))</f>
      </c>
      <c r="Y1361" s="113" t="s">
        <v>3695</v>
      </c>
    </row>
    <row r="1362" ht="50.0" customHeight="true">
      <c r="A1362" s="113" t="s">
        <v>4851</v>
      </c>
      <c r="B1362" s="113" t="s">
        <v>4852</v>
      </c>
      <c r="C1362" s="113" t="s">
        <v>4853</v>
      </c>
      <c r="D1362" s="113"/>
      <c r="E1362" s="114" t="s">
        <v>4275</v>
      </c>
      <c r="F1362" s="113" t="s">
        <v>4854</v>
      </c>
      <c r="G1362" s="113" t="s">
        <v>4854</v>
      </c>
      <c r="H1362" s="113" t="s">
        <v>103</v>
      </c>
      <c r="I1362" s="115" t="n">
        <v>135.32</v>
      </c>
      <c r="J1362" s="115" t="s">
        <v>80</v>
      </c>
      <c r="K1362" s="115" t="s">
        <v>81</v>
      </c>
      <c r="L1362" s="115" t="n">
        <v>131.7</v>
      </c>
      <c r="M1362" s="115" t="n">
        <v>3.0</v>
      </c>
      <c r="N1362" s="115"/>
      <c r="O1362" s="115"/>
      <c r="P1362" s="115"/>
      <c r="Q1362" s="115"/>
      <c r="R1362" s="115"/>
      <c r="S1362" s="115"/>
      <c r="T1362" s="115"/>
      <c r="U1362" s="115"/>
      <c r="V1362" s="115" t="s">
        <v>82</v>
      </c>
      <c r="W1362" s="115" t="s">
        <v>92</v>
      </c>
      <c r="X1362" s="113">
        <f>IF(INDIRECT("W1362")="Clássico","12%",IF(INDIRECT("W1362")="Premium","17%","-"))</f>
      </c>
      <c r="Y1362" s="113" t="s">
        <v>2018</v>
      </c>
    </row>
    <row r="1363" ht="50.0" customHeight="true">
      <c r="A1363" s="113" t="s">
        <v>4855</v>
      </c>
      <c r="B1363" s="113" t="s">
        <v>4856</v>
      </c>
      <c r="C1363" s="113" t="s">
        <v>4857</v>
      </c>
      <c r="D1363" s="113"/>
      <c r="E1363" s="114" t="s">
        <v>3760</v>
      </c>
      <c r="F1363" s="113" t="s">
        <v>4858</v>
      </c>
      <c r="G1363" s="113" t="s">
        <v>4858</v>
      </c>
      <c r="H1363" s="113" t="s">
        <v>103</v>
      </c>
      <c r="I1363" s="115" t="n">
        <v>86.9</v>
      </c>
      <c r="J1363" s="115" t="s">
        <v>80</v>
      </c>
      <c r="K1363" s="115" t="s">
        <v>81</v>
      </c>
      <c r="L1363" s="115" t="n">
        <v>81.9</v>
      </c>
      <c r="M1363" s="115" t="n">
        <v>3.0</v>
      </c>
      <c r="N1363" s="115"/>
      <c r="O1363" s="115"/>
      <c r="P1363" s="115"/>
      <c r="Q1363" s="115"/>
      <c r="R1363" s="115"/>
      <c r="S1363" s="115"/>
      <c r="T1363" s="115"/>
      <c r="U1363" s="115"/>
      <c r="V1363" s="115" t="s">
        <v>82</v>
      </c>
      <c r="W1363" s="115" t="s">
        <v>83</v>
      </c>
      <c r="X1363" s="113">
        <f>IF(INDIRECT("W1363")="Clássico","12%",IF(INDIRECT("W1363")="Premium","17%","-"))</f>
      </c>
      <c r="Y1363" s="113" t="s">
        <v>367</v>
      </c>
    </row>
    <row r="1364" ht="50.0" customHeight="true">
      <c r="A1364" s="113" t="s">
        <v>4859</v>
      </c>
      <c r="B1364" s="113" t="s">
        <v>4860</v>
      </c>
      <c r="C1364" s="113" t="s">
        <v>4861</v>
      </c>
      <c r="D1364" s="113"/>
      <c r="E1364" s="114" t="s">
        <v>4182</v>
      </c>
      <c r="F1364" s="113" t="s">
        <v>4862</v>
      </c>
      <c r="G1364" s="113" t="s">
        <v>4862</v>
      </c>
      <c r="H1364" s="113" t="s">
        <v>103</v>
      </c>
      <c r="I1364" s="115" t="n">
        <v>198.61</v>
      </c>
      <c r="J1364" s="115" t="s">
        <v>80</v>
      </c>
      <c r="K1364" s="115" t="s">
        <v>81</v>
      </c>
      <c r="L1364" s="115" t="n">
        <v>198.67</v>
      </c>
      <c r="M1364" s="115" t="n">
        <v>3.0</v>
      </c>
      <c r="N1364" s="115"/>
      <c r="O1364" s="115"/>
      <c r="P1364" s="115"/>
      <c r="Q1364" s="115"/>
      <c r="R1364" s="115"/>
      <c r="S1364" s="115"/>
      <c r="T1364" s="115"/>
      <c r="U1364" s="115"/>
      <c r="V1364" s="115" t="s">
        <v>82</v>
      </c>
      <c r="W1364" s="115" t="s">
        <v>92</v>
      </c>
      <c r="X1364" s="113">
        <f>IF(INDIRECT("W1364")="Clássico","12%",IF(INDIRECT("W1364")="Premium","17%","-"))</f>
      </c>
      <c r="Y1364" s="113" t="s">
        <v>4863</v>
      </c>
    </row>
    <row r="1365" ht="50.0" customHeight="true">
      <c r="A1365" s="113" t="s">
        <v>4864</v>
      </c>
      <c r="B1365" s="113" t="s">
        <v>4865</v>
      </c>
      <c r="C1365" s="113" t="s">
        <v>4866</v>
      </c>
      <c r="D1365" s="113"/>
      <c r="E1365" s="114" t="s">
        <v>4604</v>
      </c>
      <c r="F1365" s="113" t="s">
        <v>4867</v>
      </c>
      <c r="G1365" s="113" t="s">
        <v>4606</v>
      </c>
      <c r="H1365" s="113" t="s">
        <v>103</v>
      </c>
      <c r="I1365" s="115" t="n">
        <v>351.78</v>
      </c>
      <c r="J1365" s="115" t="s">
        <v>80</v>
      </c>
      <c r="K1365" s="115" t="s">
        <v>81</v>
      </c>
      <c r="L1365" s="115" t="n">
        <v>346.78</v>
      </c>
      <c r="M1365" s="115" t="n">
        <v>3.0</v>
      </c>
      <c r="N1365" s="115"/>
      <c r="O1365" s="115"/>
      <c r="P1365" s="115"/>
      <c r="Q1365" s="115"/>
      <c r="R1365" s="115"/>
      <c r="S1365" s="115"/>
      <c r="T1365" s="115"/>
      <c r="U1365" s="115"/>
      <c r="V1365" s="115" t="s">
        <v>82</v>
      </c>
      <c r="W1365" s="115" t="s">
        <v>83</v>
      </c>
      <c r="X1365" s="113">
        <f>IF(INDIRECT("W1365")="Clássico","12%",IF(INDIRECT("W1365")="Premium","17%","-"))</f>
      </c>
      <c r="Y1365" s="113" t="s">
        <v>1154</v>
      </c>
    </row>
    <row r="1366" ht="50.0" customHeight="true">
      <c r="A1366" s="113" t="s">
        <v>4868</v>
      </c>
      <c r="B1366" s="113" t="s">
        <v>4869</v>
      </c>
      <c r="C1366" s="113" t="s">
        <v>4870</v>
      </c>
      <c r="D1366" s="113"/>
      <c r="E1366" s="114" t="s">
        <v>3202</v>
      </c>
      <c r="F1366" s="113" t="s">
        <v>4871</v>
      </c>
      <c r="G1366" s="113" t="s">
        <v>4871</v>
      </c>
      <c r="H1366" s="113" t="s">
        <v>103</v>
      </c>
      <c r="I1366" s="115" t="n">
        <v>153.75</v>
      </c>
      <c r="J1366" s="115" t="s">
        <v>80</v>
      </c>
      <c r="K1366" s="115" t="s">
        <v>81</v>
      </c>
      <c r="L1366" s="115" t="n">
        <v>148.75</v>
      </c>
      <c r="M1366" s="115" t="n">
        <v>3.0</v>
      </c>
      <c r="N1366" s="115"/>
      <c r="O1366" s="115"/>
      <c r="P1366" s="115"/>
      <c r="Q1366" s="115"/>
      <c r="R1366" s="115"/>
      <c r="S1366" s="115"/>
      <c r="T1366" s="115"/>
      <c r="U1366" s="115"/>
      <c r="V1366" s="115" t="s">
        <v>82</v>
      </c>
      <c r="W1366" s="115" t="s">
        <v>92</v>
      </c>
      <c r="X1366" s="113">
        <f>IF(INDIRECT("W1366")="Clássico","12%",IF(INDIRECT("W1366")="Premium","17%","-"))</f>
      </c>
      <c r="Y1366" s="113" t="s">
        <v>3204</v>
      </c>
    </row>
    <row r="1367" ht="50.0" customHeight="true">
      <c r="A1367" s="113" t="s">
        <v>4872</v>
      </c>
      <c r="B1367" s="113" t="s">
        <v>4873</v>
      </c>
      <c r="C1367" s="113" t="s">
        <v>4874</v>
      </c>
      <c r="D1367" s="113"/>
      <c r="E1367" s="114" t="s">
        <v>4483</v>
      </c>
      <c r="F1367" s="113" t="s">
        <v>4875</v>
      </c>
      <c r="G1367" s="113" t="s">
        <v>4875</v>
      </c>
      <c r="H1367" s="113" t="s">
        <v>103</v>
      </c>
      <c r="I1367" s="115" t="n">
        <v>592.1</v>
      </c>
      <c r="J1367" s="115" t="s">
        <v>80</v>
      </c>
      <c r="K1367" s="115" t="s">
        <v>81</v>
      </c>
      <c r="L1367" s="115" t="n">
        <v>587.1</v>
      </c>
      <c r="M1367" s="115" t="n">
        <v>3.0</v>
      </c>
      <c r="N1367" s="115"/>
      <c r="O1367" s="115"/>
      <c r="P1367" s="115"/>
      <c r="Q1367" s="115"/>
      <c r="R1367" s="115"/>
      <c r="S1367" s="115"/>
      <c r="T1367" s="115"/>
      <c r="U1367" s="115"/>
      <c r="V1367" s="115" t="s">
        <v>82</v>
      </c>
      <c r="W1367" s="115" t="s">
        <v>92</v>
      </c>
      <c r="X1367" s="113">
        <f>IF(INDIRECT("W1367")="Clássico","12%",IF(INDIRECT("W1367")="Premium","17%","-"))</f>
      </c>
      <c r="Y1367" s="113" t="s">
        <v>1774</v>
      </c>
    </row>
    <row r="1368" ht="50.0" customHeight="true">
      <c r="A1368" s="113" t="s">
        <v>4876</v>
      </c>
      <c r="B1368" s="113" t="s">
        <v>4877</v>
      </c>
      <c r="C1368" s="113" t="s">
        <v>4878</v>
      </c>
      <c r="D1368" s="113"/>
      <c r="E1368" s="114" t="s">
        <v>4182</v>
      </c>
      <c r="F1368" s="113" t="s">
        <v>4879</v>
      </c>
      <c r="G1368" s="113" t="s">
        <v>4879</v>
      </c>
      <c r="H1368" s="113" t="s">
        <v>103</v>
      </c>
      <c r="I1368" s="115" t="n">
        <v>211.27</v>
      </c>
      <c r="J1368" s="115" t="s">
        <v>80</v>
      </c>
      <c r="K1368" s="115" t="s">
        <v>81</v>
      </c>
      <c r="L1368" s="115" t="n">
        <v>219.05</v>
      </c>
      <c r="M1368" s="115" t="n">
        <v>3.0</v>
      </c>
      <c r="N1368" s="115"/>
      <c r="O1368" s="115"/>
      <c r="P1368" s="115"/>
      <c r="Q1368" s="115"/>
      <c r="R1368" s="115"/>
      <c r="S1368" s="115"/>
      <c r="T1368" s="115"/>
      <c r="U1368" s="115"/>
      <c r="V1368" s="115" t="s">
        <v>82</v>
      </c>
      <c r="W1368" s="115" t="s">
        <v>92</v>
      </c>
      <c r="X1368" s="113">
        <f>IF(INDIRECT("W1368")="Clássico","12%",IF(INDIRECT("W1368")="Premium","17%","-"))</f>
      </c>
      <c r="Y1368" s="113" t="s">
        <v>755</v>
      </c>
    </row>
    <row r="1369" ht="50.0" customHeight="true">
      <c r="A1369" s="113" t="s">
        <v>4880</v>
      </c>
      <c r="B1369" s="113" t="s">
        <v>4881</v>
      </c>
      <c r="C1369" s="113" t="s">
        <v>4882</v>
      </c>
      <c r="D1369" s="113"/>
      <c r="E1369" s="114" t="s">
        <v>4586</v>
      </c>
      <c r="F1369" s="113" t="s">
        <v>4883</v>
      </c>
      <c r="G1369" s="113" t="s">
        <v>4883</v>
      </c>
      <c r="H1369" s="113" t="s">
        <v>103</v>
      </c>
      <c r="I1369" s="115" t="n">
        <v>981.01</v>
      </c>
      <c r="J1369" s="115" t="s">
        <v>80</v>
      </c>
      <c r="K1369" s="115" t="s">
        <v>81</v>
      </c>
      <c r="L1369" s="115" t="n">
        <v>976.01</v>
      </c>
      <c r="M1369" s="115" t="n">
        <v>3.0</v>
      </c>
      <c r="N1369" s="115"/>
      <c r="O1369" s="115"/>
      <c r="P1369" s="115"/>
      <c r="Q1369" s="115"/>
      <c r="R1369" s="115"/>
      <c r="S1369" s="115"/>
      <c r="T1369" s="115"/>
      <c r="U1369" s="115"/>
      <c r="V1369" s="115" t="s">
        <v>82</v>
      </c>
      <c r="W1369" s="115" t="s">
        <v>83</v>
      </c>
      <c r="X1369" s="113">
        <f>IF(INDIRECT("W1369")="Clássico","12%",IF(INDIRECT("W1369")="Premium","17%","-"))</f>
      </c>
      <c r="Y1369" s="113" t="s">
        <v>783</v>
      </c>
    </row>
    <row r="1370" ht="50.0" customHeight="true">
      <c r="A1370" s="113" t="s">
        <v>4884</v>
      </c>
      <c r="B1370" s="113" t="s">
        <v>4885</v>
      </c>
      <c r="C1370" s="113" t="s">
        <v>4886</v>
      </c>
      <c r="D1370" s="113"/>
      <c r="E1370" s="114" t="s">
        <v>3993</v>
      </c>
      <c r="F1370" s="113" t="s">
        <v>4887</v>
      </c>
      <c r="G1370" s="113" t="s">
        <v>4887</v>
      </c>
      <c r="H1370" s="113" t="s">
        <v>103</v>
      </c>
      <c r="I1370" s="115" t="n">
        <v>44.99</v>
      </c>
      <c r="J1370" s="115" t="s">
        <v>80</v>
      </c>
      <c r="K1370" s="115" t="s">
        <v>81</v>
      </c>
      <c r="L1370" s="115" t="n">
        <v>39.99</v>
      </c>
      <c r="M1370" s="115" t="n">
        <v>3.0</v>
      </c>
      <c r="N1370" s="115"/>
      <c r="O1370" s="115"/>
      <c r="P1370" s="115"/>
      <c r="Q1370" s="115"/>
      <c r="R1370" s="115"/>
      <c r="S1370" s="115"/>
      <c r="T1370" s="115"/>
      <c r="U1370" s="115"/>
      <c r="V1370" s="115" t="s">
        <v>91</v>
      </c>
      <c r="W1370" s="115" t="s">
        <v>92</v>
      </c>
      <c r="X1370" s="113">
        <f>IF(INDIRECT("W1370")="Clássico","12%",IF(INDIRECT("W1370")="Premium","17%","-"))</f>
      </c>
      <c r="Y1370" s="113" t="s">
        <v>3308</v>
      </c>
    </row>
    <row r="1371" ht="50.0" customHeight="true">
      <c r="A1371" s="113" t="s">
        <v>4888</v>
      </c>
      <c r="B1371" s="113" t="s">
        <v>4889</v>
      </c>
      <c r="C1371" s="113" t="s">
        <v>4890</v>
      </c>
      <c r="D1371" s="113"/>
      <c r="E1371" s="114" t="s">
        <v>4891</v>
      </c>
      <c r="F1371" s="113" t="s">
        <v>4892</v>
      </c>
      <c r="G1371" s="113" t="s">
        <v>4892</v>
      </c>
      <c r="H1371" s="113" t="s">
        <v>103</v>
      </c>
      <c r="I1371" s="115" t="n">
        <v>499.99</v>
      </c>
      <c r="J1371" s="115" t="s">
        <v>80</v>
      </c>
      <c r="K1371" s="115" t="s">
        <v>81</v>
      </c>
      <c r="L1371" s="115" t="n">
        <v>494.99</v>
      </c>
      <c r="M1371" s="115" t="n">
        <v>3.0</v>
      </c>
      <c r="N1371" s="115"/>
      <c r="O1371" s="115"/>
      <c r="P1371" s="115"/>
      <c r="Q1371" s="115"/>
      <c r="R1371" s="115"/>
      <c r="S1371" s="115"/>
      <c r="T1371" s="115"/>
      <c r="U1371" s="115"/>
      <c r="V1371" s="115" t="s">
        <v>82</v>
      </c>
      <c r="W1371" s="115" t="s">
        <v>83</v>
      </c>
      <c r="X1371" s="113">
        <f>IF(INDIRECT("W1371")="Clássico","12%",IF(INDIRECT("W1371")="Premium","17%","-"))</f>
      </c>
      <c r="Y1371" s="113" t="s">
        <v>783</v>
      </c>
    </row>
    <row r="1372" ht="50.0" customHeight="true">
      <c r="A1372" s="113" t="s">
        <v>4893</v>
      </c>
      <c r="B1372" s="113" t="s">
        <v>4894</v>
      </c>
      <c r="C1372" s="113" t="s">
        <v>4895</v>
      </c>
      <c r="D1372" s="113"/>
      <c r="E1372" s="114" t="s">
        <v>4896</v>
      </c>
      <c r="F1372" s="113" t="s">
        <v>4897</v>
      </c>
      <c r="G1372" s="113" t="s">
        <v>4897</v>
      </c>
      <c r="H1372" s="113" t="s">
        <v>103</v>
      </c>
      <c r="I1372" s="115" t="n">
        <v>263.89</v>
      </c>
      <c r="J1372" s="115" t="s">
        <v>80</v>
      </c>
      <c r="K1372" s="115" t="s">
        <v>81</v>
      </c>
      <c r="L1372" s="115" t="n">
        <v>258.89</v>
      </c>
      <c r="M1372" s="115" t="n">
        <v>3.0</v>
      </c>
      <c r="N1372" s="115"/>
      <c r="O1372" s="115"/>
      <c r="P1372" s="115"/>
      <c r="Q1372" s="115"/>
      <c r="R1372" s="115"/>
      <c r="S1372" s="115"/>
      <c r="T1372" s="115"/>
      <c r="U1372" s="115"/>
      <c r="V1372" s="115" t="s">
        <v>82</v>
      </c>
      <c r="W1372" s="115" t="s">
        <v>83</v>
      </c>
      <c r="X1372" s="113">
        <f>IF(INDIRECT("W1372")="Clássico","12%",IF(INDIRECT("W1372")="Premium","17%","-"))</f>
      </c>
      <c r="Y1372" s="113" t="s">
        <v>551</v>
      </c>
    </row>
    <row r="1373" ht="50.0" customHeight="true">
      <c r="A1373" s="113" t="s">
        <v>3949</v>
      </c>
      <c r="B1373" s="113" t="s">
        <v>4898</v>
      </c>
      <c r="C1373" s="113" t="s">
        <v>4899</v>
      </c>
      <c r="D1373" s="113"/>
      <c r="E1373" s="114" t="s">
        <v>3952</v>
      </c>
      <c r="F1373" s="113" t="s">
        <v>3953</v>
      </c>
      <c r="G1373" s="113" t="s">
        <v>3953</v>
      </c>
      <c r="H1373" s="113" t="s">
        <v>103</v>
      </c>
      <c r="I1373" s="115" t="n">
        <v>111.9</v>
      </c>
      <c r="J1373" s="115" t="s">
        <v>80</v>
      </c>
      <c r="K1373" s="115" t="s">
        <v>81</v>
      </c>
      <c r="L1373" s="115" t="n">
        <v>106.9</v>
      </c>
      <c r="M1373" s="115" t="n">
        <v>3.0</v>
      </c>
      <c r="N1373" s="115"/>
      <c r="O1373" s="115"/>
      <c r="P1373" s="115"/>
      <c r="Q1373" s="115"/>
      <c r="R1373" s="115"/>
      <c r="S1373" s="115"/>
      <c r="T1373" s="115"/>
      <c r="U1373" s="115"/>
      <c r="V1373" s="115" t="s">
        <v>82</v>
      </c>
      <c r="W1373" s="115" t="s">
        <v>83</v>
      </c>
      <c r="X1373" s="113">
        <f>IF(INDIRECT("W1373")="Clássico","12%",IF(INDIRECT("W1373")="Premium","17%","-"))</f>
      </c>
      <c r="Y1373" s="113" t="s">
        <v>3954</v>
      </c>
    </row>
    <row r="1374" ht="50.0" customHeight="true">
      <c r="A1374" s="113" t="s">
        <v>4900</v>
      </c>
      <c r="B1374" s="113" t="s">
        <v>4901</v>
      </c>
      <c r="C1374" s="113" t="s">
        <v>4902</v>
      </c>
      <c r="D1374" s="113"/>
      <c r="E1374" s="114" t="s">
        <v>3632</v>
      </c>
      <c r="F1374" s="113" t="s">
        <v>4903</v>
      </c>
      <c r="G1374" s="113" t="s">
        <v>127</v>
      </c>
      <c r="H1374" s="113" t="s">
        <v>103</v>
      </c>
      <c r="I1374" s="115" t="n">
        <v>145.44</v>
      </c>
      <c r="J1374" s="115" t="s">
        <v>80</v>
      </c>
      <c r="K1374" s="115" t="s">
        <v>81</v>
      </c>
      <c r="L1374" s="115" t="n">
        <v>140.44</v>
      </c>
      <c r="M1374" s="115" t="n">
        <v>3.0</v>
      </c>
      <c r="N1374" s="115"/>
      <c r="O1374" s="115"/>
      <c r="P1374" s="115"/>
      <c r="Q1374" s="115"/>
      <c r="R1374" s="115"/>
      <c r="S1374" s="115"/>
      <c r="T1374" s="115"/>
      <c r="U1374" s="115"/>
      <c r="V1374" s="115" t="s">
        <v>82</v>
      </c>
      <c r="W1374" s="115" t="s">
        <v>92</v>
      </c>
      <c r="X1374" s="113">
        <f>IF(INDIRECT("W1374")="Clássico","12%",IF(INDIRECT("W1374")="Premium","17%","-"))</f>
      </c>
      <c r="Y1374" s="113" t="s">
        <v>423</v>
      </c>
    </row>
    <row r="1375" ht="50.0" customHeight="true">
      <c r="A1375" s="113" t="s">
        <v>4277</v>
      </c>
      <c r="B1375" s="113" t="s">
        <v>4904</v>
      </c>
      <c r="C1375" s="113" t="s">
        <v>4905</v>
      </c>
      <c r="D1375" s="113"/>
      <c r="E1375" s="114" t="s">
        <v>4149</v>
      </c>
      <c r="F1375" s="113" t="s">
        <v>4280</v>
      </c>
      <c r="G1375" s="113" t="s">
        <v>4280</v>
      </c>
      <c r="H1375" s="113" t="s">
        <v>103</v>
      </c>
      <c r="I1375" s="115" t="n">
        <v>236.4</v>
      </c>
      <c r="J1375" s="115" t="s">
        <v>80</v>
      </c>
      <c r="K1375" s="115" t="s">
        <v>81</v>
      </c>
      <c r="L1375" s="115" t="n">
        <v>231.4</v>
      </c>
      <c r="M1375" s="115" t="n">
        <v>3.0</v>
      </c>
      <c r="N1375" s="115"/>
      <c r="O1375" s="115"/>
      <c r="P1375" s="115"/>
      <c r="Q1375" s="115"/>
      <c r="R1375" s="115"/>
      <c r="S1375" s="115"/>
      <c r="T1375" s="115"/>
      <c r="U1375" s="115"/>
      <c r="V1375" s="115" t="s">
        <v>82</v>
      </c>
      <c r="W1375" s="115" t="s">
        <v>83</v>
      </c>
      <c r="X1375" s="113">
        <f>IF(INDIRECT("W1375")="Clássico","12%",IF(INDIRECT("W1375")="Premium","17%","-"))</f>
      </c>
      <c r="Y1375" s="113" t="s">
        <v>1048</v>
      </c>
    </row>
    <row r="1376" ht="50.0" customHeight="true">
      <c r="A1376" s="113" t="s">
        <v>4906</v>
      </c>
      <c r="B1376" s="113" t="s">
        <v>4907</v>
      </c>
      <c r="C1376" s="113" t="s">
        <v>4908</v>
      </c>
      <c r="D1376" s="113"/>
      <c r="E1376" s="114" t="s">
        <v>3244</v>
      </c>
      <c r="F1376" s="113" t="s">
        <v>4909</v>
      </c>
      <c r="G1376" s="113" t="s">
        <v>4909</v>
      </c>
      <c r="H1376" s="113" t="s">
        <v>103</v>
      </c>
      <c r="I1376" s="115" t="n">
        <v>44.18</v>
      </c>
      <c r="J1376" s="115" t="s">
        <v>80</v>
      </c>
      <c r="K1376" s="115" t="s">
        <v>81</v>
      </c>
      <c r="L1376" s="115" t="n">
        <v>34.11</v>
      </c>
      <c r="M1376" s="115" t="n">
        <v>3.0</v>
      </c>
      <c r="N1376" s="115"/>
      <c r="O1376" s="115"/>
      <c r="P1376" s="115"/>
      <c r="Q1376" s="115"/>
      <c r="R1376" s="115"/>
      <c r="S1376" s="115"/>
      <c r="T1376" s="115"/>
      <c r="U1376" s="115"/>
      <c r="V1376" s="115" t="s">
        <v>91</v>
      </c>
      <c r="W1376" s="115" t="s">
        <v>92</v>
      </c>
      <c r="X1376" s="113">
        <f>IF(INDIRECT("W1376")="Clássico","12%",IF(INDIRECT("W1376")="Premium","17%","-"))</f>
      </c>
      <c r="Y1376" s="113" t="s">
        <v>3246</v>
      </c>
    </row>
    <row r="1377" ht="50.0" customHeight="true">
      <c r="A1377" s="113" t="s">
        <v>4910</v>
      </c>
      <c r="B1377" s="113" t="s">
        <v>4911</v>
      </c>
      <c r="C1377" s="113" t="s">
        <v>4912</v>
      </c>
      <c r="D1377" s="113"/>
      <c r="E1377" s="114" t="s">
        <v>4432</v>
      </c>
      <c r="F1377" s="113" t="s">
        <v>4913</v>
      </c>
      <c r="G1377" s="113" t="s">
        <v>4913</v>
      </c>
      <c r="H1377" s="113" t="s">
        <v>103</v>
      </c>
      <c r="I1377" s="115" t="n">
        <v>97.1</v>
      </c>
      <c r="J1377" s="115" t="s">
        <v>80</v>
      </c>
      <c r="K1377" s="115" t="s">
        <v>81</v>
      </c>
      <c r="L1377" s="115" t="n">
        <v>92.1</v>
      </c>
      <c r="M1377" s="115" t="n">
        <v>3.0</v>
      </c>
      <c r="N1377" s="115"/>
      <c r="O1377" s="115"/>
      <c r="P1377" s="115"/>
      <c r="Q1377" s="115"/>
      <c r="R1377" s="115"/>
      <c r="S1377" s="115"/>
      <c r="T1377" s="115"/>
      <c r="U1377" s="115"/>
      <c r="V1377" s="115" t="s">
        <v>82</v>
      </c>
      <c r="W1377" s="115" t="s">
        <v>83</v>
      </c>
      <c r="X1377" s="113">
        <f>IF(INDIRECT("W1377")="Clássico","12%",IF(INDIRECT("W1377")="Premium","17%","-"))</f>
      </c>
      <c r="Y1377" s="113" t="s">
        <v>3756</v>
      </c>
    </row>
    <row r="1378" ht="50.0" customHeight="true">
      <c r="A1378" s="113" t="s">
        <v>4451</v>
      </c>
      <c r="B1378" s="113" t="s">
        <v>4914</v>
      </c>
      <c r="C1378" s="113" t="s">
        <v>4915</v>
      </c>
      <c r="D1378" s="113"/>
      <c r="E1378" s="114" t="s">
        <v>3321</v>
      </c>
      <c r="F1378" s="113" t="s">
        <v>4324</v>
      </c>
      <c r="G1378" s="113" t="s">
        <v>4324</v>
      </c>
      <c r="H1378" s="113" t="s">
        <v>103</v>
      </c>
      <c r="I1378" s="115" t="n">
        <v>73.29</v>
      </c>
      <c r="J1378" s="115" t="s">
        <v>80</v>
      </c>
      <c r="K1378" s="115" t="s">
        <v>81</v>
      </c>
      <c r="L1378" s="115" t="n">
        <v>63.99</v>
      </c>
      <c r="M1378" s="115" t="n">
        <v>3.0</v>
      </c>
      <c r="N1378" s="115"/>
      <c r="O1378" s="115"/>
      <c r="P1378" s="115"/>
      <c r="Q1378" s="115"/>
      <c r="R1378" s="115"/>
      <c r="S1378" s="115"/>
      <c r="T1378" s="115"/>
      <c r="U1378" s="115"/>
      <c r="V1378" s="115" t="s">
        <v>91</v>
      </c>
      <c r="W1378" s="115" t="s">
        <v>92</v>
      </c>
      <c r="X1378" s="113">
        <f>IF(INDIRECT("W1378")="Clássico","12%",IF(INDIRECT("W1378")="Premium","17%","-"))</f>
      </c>
      <c r="Y1378" s="113" t="s">
        <v>3323</v>
      </c>
    </row>
    <row r="1379" ht="50.0" customHeight="true">
      <c r="A1379" s="113" t="s">
        <v>22</v>
      </c>
      <c r="B1379" s="113" t="s">
        <v>4916</v>
      </c>
      <c r="C1379" s="113"/>
      <c r="D1379" s="113"/>
      <c r="E1379" s="113" t="s">
        <v>22</v>
      </c>
      <c r="F1379" s="113" t="s">
        <v>4917</v>
      </c>
      <c r="G1379" s="113" t="s">
        <v>103</v>
      </c>
      <c r="H1379" s="113" t="s">
        <v>103</v>
      </c>
      <c r="I1379" s="115" t="n">
        <v>163.17</v>
      </c>
      <c r="J1379" s="115" t="s">
        <v>80</v>
      </c>
      <c r="K1379" s="113" t="s">
        <v>81</v>
      </c>
      <c r="L1379" s="115" t="n">
        <v>91.08</v>
      </c>
      <c r="M1379" s="115" t="n">
        <v>3.0</v>
      </c>
      <c r="N1379" s="115"/>
      <c r="O1379" s="115"/>
      <c r="P1379" s="115"/>
      <c r="Q1379" s="115"/>
      <c r="R1379" s="115"/>
      <c r="S1379" s="115"/>
      <c r="T1379" s="115"/>
      <c r="U1379" s="115"/>
      <c r="V1379" s="115" t="s">
        <v>82</v>
      </c>
      <c r="W1379" s="115" t="s">
        <v>83</v>
      </c>
      <c r="X1379" s="113">
        <f>IF(INDIRECT("W1379")="Clássico","12%",IF(INDIRECT("W1379")="Premium","17%","-"))</f>
      </c>
      <c r="Y1379" s="113" t="s">
        <v>1154</v>
      </c>
    </row>
    <row r="1380" ht="50.0" customHeight="true">
      <c r="A1380" s="113" t="s">
        <v>22</v>
      </c>
      <c r="B1380" s="113" t="s">
        <v>4916</v>
      </c>
      <c r="C1380" s="113" t="s">
        <v>4918</v>
      </c>
      <c r="D1380" s="113" t="s">
        <v>4918</v>
      </c>
      <c r="E1380" s="114" t="s">
        <v>4355</v>
      </c>
      <c r="F1380" s="116">
        <f>"     "&amp;F1379</f>
      </c>
      <c r="G1380" s="113" t="s">
        <v>4356</v>
      </c>
      <c r="H1380" s="113" t="s">
        <v>103</v>
      </c>
      <c r="I1380" s="113">
        <f>I1379</f>
      </c>
      <c r="J1380" s="113">
        <f>J1379&amp;"     "</f>
      </c>
      <c r="K1380" s="113" t="s">
        <v>81</v>
      </c>
      <c r="L1380" s="113">
        <f>L1379</f>
      </c>
      <c r="M1380" s="113">
        <f>M1379</f>
      </c>
      <c r="N1380" s="113">
        <f>N1379</f>
      </c>
      <c r="O1380" s="113">
        <f>O1379</f>
      </c>
      <c r="P1380" s="113">
        <f>P1379</f>
      </c>
      <c r="Q1380" s="113">
        <f>Q1379</f>
      </c>
      <c r="R1380" s="113">
        <f>R1379</f>
      </c>
      <c r="S1380" s="113">
        <f>S1379</f>
      </c>
      <c r="T1380" s="113">
        <f>T1379</f>
      </c>
      <c r="U1380" s="113">
        <f>U1379</f>
      </c>
      <c r="V1380" s="113">
        <f>V1379&amp;"     "</f>
      </c>
      <c r="W1380" s="113">
        <f>W1379&amp;"     "</f>
      </c>
      <c r="X1380" s="113">
        <f>X1379</f>
      </c>
      <c r="Y1380" s="113" t="s">
        <v>1154</v>
      </c>
    </row>
    <row r="1381" ht="50.0" customHeight="true">
      <c r="A1381" s="113" t="s">
        <v>22</v>
      </c>
      <c r="B1381" s="113" t="s">
        <v>4916</v>
      </c>
      <c r="C1381" s="113" t="s">
        <v>4919</v>
      </c>
      <c r="D1381" s="113" t="s">
        <v>4919</v>
      </c>
      <c r="E1381" s="114" t="s">
        <v>4358</v>
      </c>
      <c r="F1381" s="116">
        <f>"     "&amp;F1379</f>
      </c>
      <c r="G1381" s="113" t="s">
        <v>4359</v>
      </c>
      <c r="H1381" s="113" t="s">
        <v>103</v>
      </c>
      <c r="I1381" s="113">
        <f>I1379</f>
      </c>
      <c r="J1381" s="113">
        <f>J1379&amp;"     "</f>
      </c>
      <c r="K1381" s="113" t="s">
        <v>81</v>
      </c>
      <c r="L1381" s="113">
        <f>L1379</f>
      </c>
      <c r="M1381" s="113">
        <f>M1379</f>
      </c>
      <c r="N1381" s="113">
        <f>N1379</f>
      </c>
      <c r="O1381" s="113">
        <f>O1379</f>
      </c>
      <c r="P1381" s="113">
        <f>P1379</f>
      </c>
      <c r="Q1381" s="113">
        <f>Q1379</f>
      </c>
      <c r="R1381" s="113">
        <f>R1379</f>
      </c>
      <c r="S1381" s="113">
        <f>S1379</f>
      </c>
      <c r="T1381" s="113">
        <f>T1379</f>
      </c>
      <c r="U1381" s="113">
        <f>U1379</f>
      </c>
      <c r="V1381" s="113">
        <f>V1379&amp;"     "</f>
      </c>
      <c r="W1381" s="113">
        <f>W1379&amp;"     "</f>
      </c>
      <c r="X1381" s="113">
        <f>X1379</f>
      </c>
      <c r="Y1381" s="113" t="s">
        <v>1154</v>
      </c>
    </row>
    <row r="1382" ht="50.0" customHeight="true">
      <c r="A1382" s="113" t="s">
        <v>4920</v>
      </c>
      <c r="B1382" s="113" t="s">
        <v>4921</v>
      </c>
      <c r="C1382" s="113" t="s">
        <v>4922</v>
      </c>
      <c r="D1382" s="113"/>
      <c r="E1382" s="114" t="s">
        <v>4923</v>
      </c>
      <c r="F1382" s="113" t="s">
        <v>4924</v>
      </c>
      <c r="G1382" s="113" t="s">
        <v>4924</v>
      </c>
      <c r="H1382" s="113" t="s">
        <v>103</v>
      </c>
      <c r="I1382" s="115" t="n">
        <v>253.04</v>
      </c>
      <c r="J1382" s="115" t="s">
        <v>80</v>
      </c>
      <c r="K1382" s="115" t="s">
        <v>81</v>
      </c>
      <c r="L1382" s="115" t="n">
        <v>248.04</v>
      </c>
      <c r="M1382" s="115" t="n">
        <v>3.0</v>
      </c>
      <c r="N1382" s="115"/>
      <c r="O1382" s="115"/>
      <c r="P1382" s="115"/>
      <c r="Q1382" s="115"/>
      <c r="R1382" s="115"/>
      <c r="S1382" s="115"/>
      <c r="T1382" s="115"/>
      <c r="U1382" s="115"/>
      <c r="V1382" s="115" t="s">
        <v>82</v>
      </c>
      <c r="W1382" s="115" t="s">
        <v>92</v>
      </c>
      <c r="X1382" s="113">
        <f>IF(INDIRECT("W1382")="Clássico","12%",IF(INDIRECT("W1382")="Premium","17%","-"))</f>
      </c>
      <c r="Y1382" s="113" t="s">
        <v>1032</v>
      </c>
    </row>
    <row r="1383" ht="50.0" customHeight="true">
      <c r="A1383" s="113" t="s">
        <v>4925</v>
      </c>
      <c r="B1383" s="113" t="s">
        <v>4926</v>
      </c>
      <c r="C1383" s="113" t="s">
        <v>4927</v>
      </c>
      <c r="D1383" s="113"/>
      <c r="E1383" s="114" t="s">
        <v>3321</v>
      </c>
      <c r="F1383" s="113" t="s">
        <v>4928</v>
      </c>
      <c r="G1383" s="113" t="s">
        <v>4928</v>
      </c>
      <c r="H1383" s="113" t="s">
        <v>103</v>
      </c>
      <c r="I1383" s="115" t="n">
        <v>123.14</v>
      </c>
      <c r="J1383" s="115" t="s">
        <v>80</v>
      </c>
      <c r="K1383" s="115" t="s">
        <v>81</v>
      </c>
      <c r="L1383" s="115" t="n">
        <v>118.14</v>
      </c>
      <c r="M1383" s="115" t="n">
        <v>3.0</v>
      </c>
      <c r="N1383" s="115"/>
      <c r="O1383" s="115"/>
      <c r="P1383" s="115"/>
      <c r="Q1383" s="115"/>
      <c r="R1383" s="115"/>
      <c r="S1383" s="115"/>
      <c r="T1383" s="115"/>
      <c r="U1383" s="115"/>
      <c r="V1383" s="115" t="s">
        <v>82</v>
      </c>
      <c r="W1383" s="115" t="s">
        <v>83</v>
      </c>
      <c r="X1383" s="113">
        <f>IF(INDIRECT("W1383")="Clássico","12%",IF(INDIRECT("W1383")="Premium","17%","-"))</f>
      </c>
      <c r="Y1383" s="113" t="s">
        <v>3323</v>
      </c>
    </row>
    <row r="1384" ht="50.0" customHeight="true">
      <c r="A1384" s="113" t="s">
        <v>4833</v>
      </c>
      <c r="B1384" s="113" t="s">
        <v>4929</v>
      </c>
      <c r="C1384" s="113" t="s">
        <v>4930</v>
      </c>
      <c r="D1384" s="113"/>
      <c r="E1384" s="114" t="s">
        <v>1815</v>
      </c>
      <c r="F1384" s="113" t="s">
        <v>4836</v>
      </c>
      <c r="G1384" s="113" t="s">
        <v>4836</v>
      </c>
      <c r="H1384" s="113" t="s">
        <v>103</v>
      </c>
      <c r="I1384" s="115" t="n">
        <v>468.23</v>
      </c>
      <c r="J1384" s="115" t="s">
        <v>80</v>
      </c>
      <c r="K1384" s="115" t="s">
        <v>81</v>
      </c>
      <c r="L1384" s="115" t="n">
        <v>378.42</v>
      </c>
      <c r="M1384" s="115" t="n">
        <v>3.0</v>
      </c>
      <c r="N1384" s="115"/>
      <c r="O1384" s="115"/>
      <c r="P1384" s="115"/>
      <c r="Q1384" s="115"/>
      <c r="R1384" s="115"/>
      <c r="S1384" s="115"/>
      <c r="T1384" s="115"/>
      <c r="U1384" s="115"/>
      <c r="V1384" s="115" t="s">
        <v>82</v>
      </c>
      <c r="W1384" s="115" t="s">
        <v>83</v>
      </c>
      <c r="X1384" s="113">
        <f>IF(INDIRECT("W1384")="Clássico","12%",IF(INDIRECT("W1384")="Premium","17%","-"))</f>
      </c>
      <c r="Y1384" s="113" t="s">
        <v>181</v>
      </c>
    </row>
    <row r="1385" ht="50.0" customHeight="true">
      <c r="A1385" s="113" t="s">
        <v>4931</v>
      </c>
      <c r="B1385" s="113" t="s">
        <v>4932</v>
      </c>
      <c r="C1385" s="113" t="s">
        <v>4933</v>
      </c>
      <c r="D1385" s="113"/>
      <c r="E1385" s="114" t="s">
        <v>4934</v>
      </c>
      <c r="F1385" s="113" t="s">
        <v>2297</v>
      </c>
      <c r="G1385" s="113" t="s">
        <v>2297</v>
      </c>
      <c r="H1385" s="113" t="s">
        <v>103</v>
      </c>
      <c r="I1385" s="115" t="n">
        <v>199.97</v>
      </c>
      <c r="J1385" s="115" t="s">
        <v>80</v>
      </c>
      <c r="K1385" s="115" t="s">
        <v>81</v>
      </c>
      <c r="L1385" s="115" t="n">
        <v>194.97</v>
      </c>
      <c r="M1385" s="115" t="n">
        <v>3.0</v>
      </c>
      <c r="N1385" s="115"/>
      <c r="O1385" s="115"/>
      <c r="P1385" s="115"/>
      <c r="Q1385" s="115"/>
      <c r="R1385" s="115"/>
      <c r="S1385" s="115"/>
      <c r="T1385" s="115"/>
      <c r="U1385" s="115"/>
      <c r="V1385" s="115" t="s">
        <v>82</v>
      </c>
      <c r="W1385" s="115" t="s">
        <v>92</v>
      </c>
      <c r="X1385" s="113">
        <f>IF(INDIRECT("W1385")="Clássico","12%",IF(INDIRECT("W1385")="Premium","17%","-"))</f>
      </c>
      <c r="Y1385" s="113" t="s">
        <v>2585</v>
      </c>
    </row>
    <row r="1386" ht="50.0" customHeight="true">
      <c r="A1386" s="113" t="s">
        <v>4935</v>
      </c>
      <c r="B1386" s="113" t="s">
        <v>4936</v>
      </c>
      <c r="C1386" s="113" t="s">
        <v>4937</v>
      </c>
      <c r="D1386" s="113"/>
      <c r="E1386" s="114" t="s">
        <v>4938</v>
      </c>
      <c r="F1386" s="113" t="s">
        <v>4939</v>
      </c>
      <c r="G1386" s="113" t="s">
        <v>4939</v>
      </c>
      <c r="H1386" s="113" t="s">
        <v>103</v>
      </c>
      <c r="I1386" s="115" t="n">
        <v>38.61</v>
      </c>
      <c r="J1386" s="115" t="s">
        <v>80</v>
      </c>
      <c r="K1386" s="113" t="s">
        <v>81</v>
      </c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 t="s">
        <v>91</v>
      </c>
      <c r="W1386" s="115" t="s">
        <v>92</v>
      </c>
      <c r="X1386" s="113">
        <f>IF(INDIRECT("W1386")="Clássico","12%",IF(INDIRECT("W1386")="Premium","17%","-"))</f>
      </c>
      <c r="Y1386" s="113" t="s">
        <v>4940</v>
      </c>
    </row>
    <row r="1387" ht="50.0" customHeight="true">
      <c r="A1387" s="113" t="s">
        <v>4405</v>
      </c>
      <c r="B1387" s="113" t="s">
        <v>4941</v>
      </c>
      <c r="C1387" s="113" t="s">
        <v>4942</v>
      </c>
      <c r="D1387" s="113"/>
      <c r="E1387" s="114" t="s">
        <v>4408</v>
      </c>
      <c r="F1387" s="113" t="s">
        <v>4409</v>
      </c>
      <c r="G1387" s="113" t="s">
        <v>4409</v>
      </c>
      <c r="H1387" s="113" t="s">
        <v>103</v>
      </c>
      <c r="I1387" s="115" t="n">
        <v>1974.86</v>
      </c>
      <c r="J1387" s="115" t="s">
        <v>80</v>
      </c>
      <c r="K1387" s="115" t="s">
        <v>81</v>
      </c>
      <c r="L1387" s="115" t="n">
        <v>1969.86</v>
      </c>
      <c r="M1387" s="115" t="n">
        <v>3.0</v>
      </c>
      <c r="N1387" s="115"/>
      <c r="O1387" s="115"/>
      <c r="P1387" s="115"/>
      <c r="Q1387" s="115"/>
      <c r="R1387" s="115"/>
      <c r="S1387" s="115"/>
      <c r="T1387" s="115"/>
      <c r="U1387" s="115"/>
      <c r="V1387" s="115" t="s">
        <v>82</v>
      </c>
      <c r="W1387" s="115" t="s">
        <v>83</v>
      </c>
      <c r="X1387" s="113">
        <f>IF(INDIRECT("W1387")="Clássico","12%",IF(INDIRECT("W1387")="Premium","17%","-"))</f>
      </c>
      <c r="Y1387" s="113" t="s">
        <v>164</v>
      </c>
    </row>
    <row r="1388" ht="50.0" customHeight="true">
      <c r="A1388" s="113" t="s">
        <v>4749</v>
      </c>
      <c r="B1388" s="113" t="s">
        <v>4943</v>
      </c>
      <c r="C1388" s="113" t="s">
        <v>4751</v>
      </c>
      <c r="D1388" s="113"/>
      <c r="E1388" s="114" t="s">
        <v>4752</v>
      </c>
      <c r="F1388" s="113" t="s">
        <v>4753</v>
      </c>
      <c r="G1388" s="113" t="s">
        <v>4753</v>
      </c>
      <c r="H1388" s="113" t="s">
        <v>103</v>
      </c>
      <c r="I1388" s="115" t="n">
        <v>402.9</v>
      </c>
      <c r="J1388" s="115" t="s">
        <v>80</v>
      </c>
      <c r="K1388" s="115" t="s">
        <v>81</v>
      </c>
      <c r="L1388" s="115" t="n">
        <v>397.9</v>
      </c>
      <c r="M1388" s="115" t="n">
        <v>3.0</v>
      </c>
      <c r="N1388" s="115"/>
      <c r="O1388" s="115"/>
      <c r="P1388" s="115"/>
      <c r="Q1388" s="115"/>
      <c r="R1388" s="115"/>
      <c r="S1388" s="115"/>
      <c r="T1388" s="115"/>
      <c r="U1388" s="115"/>
      <c r="V1388" s="115" t="s">
        <v>82</v>
      </c>
      <c r="W1388" s="115" t="s">
        <v>92</v>
      </c>
      <c r="X1388" s="113">
        <f>IF(INDIRECT("W1388")="Clássico","12%",IF(INDIRECT("W1388")="Premium","17%","-"))</f>
      </c>
      <c r="Y1388" s="113" t="s">
        <v>4754</v>
      </c>
    </row>
    <row r="1389" ht="50.0" customHeight="true">
      <c r="A1389" s="113" t="s">
        <v>4944</v>
      </c>
      <c r="B1389" s="113" t="s">
        <v>4945</v>
      </c>
      <c r="C1389" s="113" t="s">
        <v>4946</v>
      </c>
      <c r="D1389" s="113"/>
      <c r="E1389" s="114" t="s">
        <v>4061</v>
      </c>
      <c r="F1389" s="113" t="s">
        <v>4947</v>
      </c>
      <c r="G1389" s="113" t="s">
        <v>4947</v>
      </c>
      <c r="H1389" s="113" t="s">
        <v>103</v>
      </c>
      <c r="I1389" s="115" t="n">
        <v>432.79</v>
      </c>
      <c r="J1389" s="115" t="s">
        <v>80</v>
      </c>
      <c r="K1389" s="115" t="s">
        <v>81</v>
      </c>
      <c r="L1389" s="115" t="n">
        <v>427.79</v>
      </c>
      <c r="M1389" s="115" t="n">
        <v>3.0</v>
      </c>
      <c r="N1389" s="115"/>
      <c r="O1389" s="115"/>
      <c r="P1389" s="115"/>
      <c r="Q1389" s="115"/>
      <c r="R1389" s="115"/>
      <c r="S1389" s="115"/>
      <c r="T1389" s="115"/>
      <c r="U1389" s="115"/>
      <c r="V1389" s="115" t="s">
        <v>82</v>
      </c>
      <c r="W1389" s="115" t="s">
        <v>83</v>
      </c>
      <c r="X1389" s="113">
        <f>IF(INDIRECT("W1389")="Clássico","12%",IF(INDIRECT("W1389")="Premium","17%","-"))</f>
      </c>
      <c r="Y1389" s="113" t="s">
        <v>4063</v>
      </c>
    </row>
    <row r="1390" ht="50.0" customHeight="true">
      <c r="A1390" s="113" t="s">
        <v>4948</v>
      </c>
      <c r="B1390" s="113" t="s">
        <v>4949</v>
      </c>
      <c r="C1390" s="113" t="s">
        <v>4950</v>
      </c>
      <c r="D1390" s="113"/>
      <c r="E1390" s="114" t="s">
        <v>3897</v>
      </c>
      <c r="F1390" s="113" t="s">
        <v>4951</v>
      </c>
      <c r="G1390" s="113" t="s">
        <v>4951</v>
      </c>
      <c r="H1390" s="113" t="s">
        <v>103</v>
      </c>
      <c r="I1390" s="115" t="n">
        <v>293.55</v>
      </c>
      <c r="J1390" s="115" t="s">
        <v>80</v>
      </c>
      <c r="K1390" s="115" t="s">
        <v>81</v>
      </c>
      <c r="L1390" s="115" t="n">
        <v>286.02</v>
      </c>
      <c r="M1390" s="115" t="n">
        <v>3.0</v>
      </c>
      <c r="N1390" s="115"/>
      <c r="O1390" s="115"/>
      <c r="P1390" s="115"/>
      <c r="Q1390" s="115"/>
      <c r="R1390" s="115"/>
      <c r="S1390" s="115"/>
      <c r="T1390" s="115"/>
      <c r="U1390" s="115"/>
      <c r="V1390" s="115" t="s">
        <v>82</v>
      </c>
      <c r="W1390" s="115" t="s">
        <v>83</v>
      </c>
      <c r="X1390" s="113">
        <f>IF(INDIRECT("W1390")="Clássico","12%",IF(INDIRECT("W1390")="Premium","17%","-"))</f>
      </c>
      <c r="Y1390" s="113" t="s">
        <v>3454</v>
      </c>
    </row>
    <row r="1391" ht="50.0" customHeight="true">
      <c r="A1391" s="113" t="s">
        <v>4952</v>
      </c>
      <c r="B1391" s="113" t="s">
        <v>4953</v>
      </c>
      <c r="C1391" s="113" t="s">
        <v>4954</v>
      </c>
      <c r="D1391" s="113"/>
      <c r="E1391" s="114" t="s">
        <v>3579</v>
      </c>
      <c r="F1391" s="113" t="s">
        <v>4955</v>
      </c>
      <c r="G1391" s="113" t="s">
        <v>4955</v>
      </c>
      <c r="H1391" s="113" t="s">
        <v>103</v>
      </c>
      <c r="I1391" s="115" t="n">
        <v>35.64</v>
      </c>
      <c r="J1391" s="115" t="s">
        <v>80</v>
      </c>
      <c r="K1391" s="115" t="s">
        <v>81</v>
      </c>
      <c r="L1391" s="115" t="n">
        <v>30.64</v>
      </c>
      <c r="M1391" s="115" t="n">
        <v>3.0</v>
      </c>
      <c r="N1391" s="115"/>
      <c r="O1391" s="115"/>
      <c r="P1391" s="115"/>
      <c r="Q1391" s="115"/>
      <c r="R1391" s="115"/>
      <c r="S1391" s="115"/>
      <c r="T1391" s="115"/>
      <c r="U1391" s="115"/>
      <c r="V1391" s="115" t="s">
        <v>91</v>
      </c>
      <c r="W1391" s="115" t="s">
        <v>92</v>
      </c>
      <c r="X1391" s="113">
        <f>IF(INDIRECT("W1391")="Clássico","11%",IF(INDIRECT("W1391")="Premium","16%","-"))</f>
      </c>
      <c r="Y1391" s="113" t="s">
        <v>1591</v>
      </c>
    </row>
    <row r="1392" ht="50.0" customHeight="true">
      <c r="A1392" s="113" t="s">
        <v>4956</v>
      </c>
      <c r="B1392" s="113" t="s">
        <v>4957</v>
      </c>
      <c r="C1392" s="113" t="s">
        <v>4958</v>
      </c>
      <c r="D1392" s="113"/>
      <c r="E1392" s="114" t="s">
        <v>3579</v>
      </c>
      <c r="F1392" s="113" t="s">
        <v>4959</v>
      </c>
      <c r="G1392" s="113" t="s">
        <v>4959</v>
      </c>
      <c r="H1392" s="113" t="s">
        <v>103</v>
      </c>
      <c r="I1392" s="115" t="n">
        <v>34.99</v>
      </c>
      <c r="J1392" s="115" t="s">
        <v>80</v>
      </c>
      <c r="K1392" s="115" t="s">
        <v>81</v>
      </c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 t="s">
        <v>91</v>
      </c>
      <c r="W1392" s="115" t="s">
        <v>92</v>
      </c>
      <c r="X1392" s="113">
        <f>IF(INDIRECT("W1392")="Clássico","11%",IF(INDIRECT("W1392")="Premium","16%","-"))</f>
      </c>
      <c r="Y1392" s="113" t="s">
        <v>1591</v>
      </c>
    </row>
    <row r="1393" ht="50.0" customHeight="true">
      <c r="A1393" s="113" t="s">
        <v>4960</v>
      </c>
      <c r="B1393" s="113" t="s">
        <v>4961</v>
      </c>
      <c r="C1393" s="113" t="s">
        <v>4962</v>
      </c>
      <c r="D1393" s="113"/>
      <c r="E1393" s="114" t="s">
        <v>4182</v>
      </c>
      <c r="F1393" s="113" t="s">
        <v>4862</v>
      </c>
      <c r="G1393" s="113" t="s">
        <v>4862</v>
      </c>
      <c r="H1393" s="113" t="s">
        <v>103</v>
      </c>
      <c r="I1393" s="115" t="n">
        <v>211.27</v>
      </c>
      <c r="J1393" s="115" t="s">
        <v>80</v>
      </c>
      <c r="K1393" s="115" t="s">
        <v>81</v>
      </c>
      <c r="L1393" s="115" t="n">
        <v>219.56</v>
      </c>
      <c r="M1393" s="115" t="n">
        <v>3.0</v>
      </c>
      <c r="N1393" s="115"/>
      <c r="O1393" s="115"/>
      <c r="P1393" s="115"/>
      <c r="Q1393" s="115"/>
      <c r="R1393" s="115"/>
      <c r="S1393" s="115"/>
      <c r="T1393" s="115"/>
      <c r="U1393" s="115"/>
      <c r="V1393" s="115" t="s">
        <v>82</v>
      </c>
      <c r="W1393" s="115" t="s">
        <v>92</v>
      </c>
      <c r="X1393" s="113">
        <f>IF(INDIRECT("W1393")="Clássico","12%",IF(INDIRECT("W1393")="Premium","17%","-"))</f>
      </c>
      <c r="Y1393" s="113" t="s">
        <v>1098</v>
      </c>
    </row>
    <row r="1394" ht="50.0" customHeight="true">
      <c r="A1394" s="113" t="s">
        <v>4963</v>
      </c>
      <c r="B1394" s="113" t="s">
        <v>4964</v>
      </c>
      <c r="C1394" s="113" t="s">
        <v>4965</v>
      </c>
      <c r="D1394" s="113"/>
      <c r="E1394" s="114" t="s">
        <v>3662</v>
      </c>
      <c r="F1394" s="113" t="s">
        <v>4966</v>
      </c>
      <c r="G1394" s="113" t="s">
        <v>4966</v>
      </c>
      <c r="H1394" s="113" t="s">
        <v>103</v>
      </c>
      <c r="I1394" s="115" t="n">
        <v>161.99</v>
      </c>
      <c r="J1394" s="115" t="s">
        <v>80</v>
      </c>
      <c r="K1394" s="115" t="s">
        <v>81</v>
      </c>
      <c r="L1394" s="115" t="n">
        <v>158.17</v>
      </c>
      <c r="M1394" s="115" t="n">
        <v>3.0</v>
      </c>
      <c r="N1394" s="115"/>
      <c r="O1394" s="115"/>
      <c r="P1394" s="115"/>
      <c r="Q1394" s="115"/>
      <c r="R1394" s="115"/>
      <c r="S1394" s="115"/>
      <c r="T1394" s="115"/>
      <c r="U1394" s="115"/>
      <c r="V1394" s="115" t="s">
        <v>82</v>
      </c>
      <c r="W1394" s="115" t="s">
        <v>83</v>
      </c>
      <c r="X1394" s="113">
        <f>IF(INDIRECT("W1394")="Clássico","12%",IF(INDIRECT("W1394")="Premium","17%","-"))</f>
      </c>
      <c r="Y1394" s="113" t="s">
        <v>200</v>
      </c>
    </row>
    <row r="1395" ht="50.0" customHeight="true">
      <c r="A1395" s="113" t="s">
        <v>4967</v>
      </c>
      <c r="B1395" s="113" t="s">
        <v>4968</v>
      </c>
      <c r="C1395" s="113" t="s">
        <v>4969</v>
      </c>
      <c r="D1395" s="113"/>
      <c r="E1395" s="114" t="s">
        <v>3993</v>
      </c>
      <c r="F1395" s="113" t="s">
        <v>4970</v>
      </c>
      <c r="G1395" s="113" t="s">
        <v>4970</v>
      </c>
      <c r="H1395" s="113" t="s">
        <v>103</v>
      </c>
      <c r="I1395" s="115" t="n">
        <v>51.86</v>
      </c>
      <c r="J1395" s="115" t="s">
        <v>80</v>
      </c>
      <c r="K1395" s="115" t="s">
        <v>81</v>
      </c>
      <c r="L1395" s="115" t="n">
        <v>42.5</v>
      </c>
      <c r="M1395" s="115" t="n">
        <v>3.0</v>
      </c>
      <c r="N1395" s="115"/>
      <c r="O1395" s="115"/>
      <c r="P1395" s="115"/>
      <c r="Q1395" s="115"/>
      <c r="R1395" s="115"/>
      <c r="S1395" s="115"/>
      <c r="T1395" s="115"/>
      <c r="U1395" s="115"/>
      <c r="V1395" s="115" t="s">
        <v>91</v>
      </c>
      <c r="W1395" s="115" t="s">
        <v>92</v>
      </c>
      <c r="X1395" s="113">
        <f>IF(INDIRECT("W1395")="Clássico","12%",IF(INDIRECT("W1395")="Premium","17%","-"))</f>
      </c>
      <c r="Y1395" s="113" t="s">
        <v>3308</v>
      </c>
    </row>
    <row r="1396" ht="50.0" customHeight="true">
      <c r="A1396" s="113" t="s">
        <v>4971</v>
      </c>
      <c r="B1396" s="113" t="s">
        <v>4972</v>
      </c>
      <c r="C1396" s="113" t="s">
        <v>4973</v>
      </c>
      <c r="D1396" s="113"/>
      <c r="E1396" s="114" t="s">
        <v>4138</v>
      </c>
      <c r="F1396" s="113" t="s">
        <v>4974</v>
      </c>
      <c r="G1396" s="113" t="s">
        <v>4974</v>
      </c>
      <c r="H1396" s="113" t="s">
        <v>103</v>
      </c>
      <c r="I1396" s="115" t="n">
        <v>528.99</v>
      </c>
      <c r="J1396" s="115" t="s">
        <v>80</v>
      </c>
      <c r="K1396" s="115" t="s">
        <v>81</v>
      </c>
      <c r="L1396" s="115" t="n">
        <v>555.75</v>
      </c>
      <c r="M1396" s="115" t="n">
        <v>3.0</v>
      </c>
      <c r="N1396" s="115"/>
      <c r="O1396" s="115"/>
      <c r="P1396" s="115"/>
      <c r="Q1396" s="115"/>
      <c r="R1396" s="115"/>
      <c r="S1396" s="115"/>
      <c r="T1396" s="115"/>
      <c r="U1396" s="115"/>
      <c r="V1396" s="115" t="s">
        <v>82</v>
      </c>
      <c r="W1396" s="115" t="s">
        <v>92</v>
      </c>
      <c r="X1396" s="113">
        <f>IF(INDIRECT("W1396")="Clássico","12%",IF(INDIRECT("W1396")="Premium","17%","-"))</f>
      </c>
      <c r="Y1396" s="113" t="s">
        <v>4754</v>
      </c>
    </row>
    <row r="1397" ht="50.0" customHeight="true">
      <c r="A1397" s="113" t="s">
        <v>4975</v>
      </c>
      <c r="B1397" s="113" t="s">
        <v>4976</v>
      </c>
      <c r="C1397" s="113" t="s">
        <v>4977</v>
      </c>
      <c r="D1397" s="113"/>
      <c r="E1397" s="114" t="s">
        <v>4978</v>
      </c>
      <c r="F1397" s="113" t="s">
        <v>3177</v>
      </c>
      <c r="G1397" s="113" t="s">
        <v>3178</v>
      </c>
      <c r="H1397" s="113" t="s">
        <v>103</v>
      </c>
      <c r="I1397" s="115" t="n">
        <v>49.86</v>
      </c>
      <c r="J1397" s="115" t="s">
        <v>80</v>
      </c>
      <c r="K1397" s="113" t="s">
        <v>81</v>
      </c>
      <c r="L1397" s="115" t="n">
        <v>44.86</v>
      </c>
      <c r="M1397" s="115" t="n">
        <v>3.0</v>
      </c>
      <c r="N1397" s="115"/>
      <c r="O1397" s="115"/>
      <c r="P1397" s="115"/>
      <c r="Q1397" s="115"/>
      <c r="R1397" s="115"/>
      <c r="S1397" s="115"/>
      <c r="T1397" s="115"/>
      <c r="U1397" s="115"/>
      <c r="V1397" s="115" t="s">
        <v>91</v>
      </c>
      <c r="W1397" s="115" t="s">
        <v>92</v>
      </c>
      <c r="X1397" s="113">
        <f>IF(INDIRECT("W1397")="Clássico","12.5%",IF(INDIRECT("W1397")="Premium","17.5%","-"))</f>
      </c>
      <c r="Y1397" s="113" t="s">
        <v>3172</v>
      </c>
    </row>
    <row r="1398" ht="50.0" customHeight="true">
      <c r="A1398" s="113" t="s">
        <v>4979</v>
      </c>
      <c r="B1398" s="113" t="s">
        <v>4980</v>
      </c>
      <c r="C1398" s="113" t="s">
        <v>4981</v>
      </c>
      <c r="D1398" s="113"/>
      <c r="E1398" s="114" t="s">
        <v>4982</v>
      </c>
      <c r="F1398" s="114" t="s">
        <v>4983</v>
      </c>
      <c r="G1398" s="113" t="s">
        <v>4983</v>
      </c>
      <c r="H1398" s="113" t="s">
        <v>103</v>
      </c>
      <c r="I1398" s="115" t="n">
        <v>284.9</v>
      </c>
      <c r="J1398" s="115" t="s">
        <v>80</v>
      </c>
      <c r="K1398" s="115" t="s">
        <v>81</v>
      </c>
      <c r="L1398" s="115" t="n">
        <v>279.9</v>
      </c>
      <c r="M1398" s="115" t="n">
        <v>3.0</v>
      </c>
      <c r="N1398" s="115"/>
      <c r="O1398" s="115"/>
      <c r="P1398" s="115"/>
      <c r="Q1398" s="115"/>
      <c r="R1398" s="115"/>
      <c r="S1398" s="115"/>
      <c r="T1398" s="115"/>
      <c r="U1398" s="115"/>
      <c r="V1398" s="115" t="s">
        <v>82</v>
      </c>
      <c r="W1398" s="115" t="s">
        <v>83</v>
      </c>
      <c r="X1398" s="113">
        <f>IF(INDIRECT("W1398")="Clássico","12%",IF(INDIRECT("W1398")="Premium","17%","-"))</f>
      </c>
      <c r="Y1398" s="113" t="s">
        <v>1774</v>
      </c>
    </row>
    <row r="1399" ht="50.0" customHeight="true">
      <c r="A1399" s="113" t="s">
        <v>4984</v>
      </c>
      <c r="B1399" s="113" t="s">
        <v>4985</v>
      </c>
      <c r="C1399" s="113" t="s">
        <v>4986</v>
      </c>
      <c r="D1399" s="113"/>
      <c r="E1399" s="114" t="s">
        <v>4987</v>
      </c>
      <c r="F1399" s="114" t="s">
        <v>4988</v>
      </c>
      <c r="G1399" s="113" t="s">
        <v>4988</v>
      </c>
      <c r="H1399" s="113" t="s">
        <v>103</v>
      </c>
      <c r="I1399" s="115" t="n">
        <v>46.99</v>
      </c>
      <c r="J1399" s="115" t="s">
        <v>80</v>
      </c>
      <c r="K1399" s="115" t="s">
        <v>81</v>
      </c>
      <c r="L1399" s="115" t="n">
        <v>41.99</v>
      </c>
      <c r="M1399" s="115" t="n">
        <v>3.0</v>
      </c>
      <c r="N1399" s="115"/>
      <c r="O1399" s="115"/>
      <c r="P1399" s="115"/>
      <c r="Q1399" s="115"/>
      <c r="R1399" s="115"/>
      <c r="S1399" s="115"/>
      <c r="T1399" s="115"/>
      <c r="U1399" s="115"/>
      <c r="V1399" s="115" t="s">
        <v>91</v>
      </c>
      <c r="W1399" s="115" t="s">
        <v>92</v>
      </c>
      <c r="X1399" s="113">
        <f>IF(INDIRECT("W1399")="Clássico","12%",IF(INDIRECT("W1399")="Premium","17%","-"))</f>
      </c>
      <c r="Y1399" s="113" t="s">
        <v>1774</v>
      </c>
    </row>
    <row r="1400" ht="50.0" customHeight="true">
      <c r="A1400" s="113" t="s">
        <v>4984</v>
      </c>
      <c r="B1400" s="113" t="s">
        <v>4989</v>
      </c>
      <c r="C1400" s="113" t="s">
        <v>4986</v>
      </c>
      <c r="D1400" s="113"/>
      <c r="E1400" s="114" t="s">
        <v>4987</v>
      </c>
      <c r="F1400" s="114" t="s">
        <v>4988</v>
      </c>
      <c r="G1400" s="113" t="s">
        <v>4988</v>
      </c>
      <c r="H1400" s="113" t="s">
        <v>103</v>
      </c>
      <c r="I1400" s="115" t="n">
        <v>46.9</v>
      </c>
      <c r="J1400" s="115" t="s">
        <v>80</v>
      </c>
      <c r="K1400" s="115" t="s">
        <v>81</v>
      </c>
      <c r="L1400" s="115" t="n">
        <v>41.9</v>
      </c>
      <c r="M1400" s="115" t="n">
        <v>3.0</v>
      </c>
      <c r="N1400" s="115"/>
      <c r="O1400" s="115"/>
      <c r="P1400" s="115"/>
      <c r="Q1400" s="115"/>
      <c r="R1400" s="115"/>
      <c r="S1400" s="115"/>
      <c r="T1400" s="115"/>
      <c r="U1400" s="115"/>
      <c r="V1400" s="115" t="s">
        <v>91</v>
      </c>
      <c r="W1400" s="115" t="s">
        <v>92</v>
      </c>
      <c r="X1400" s="113">
        <f>IF(INDIRECT("W1400")="Clássico","12%",IF(INDIRECT("W1400")="Premium","17%","-"))</f>
      </c>
      <c r="Y1400" s="113" t="s">
        <v>1774</v>
      </c>
    </row>
    <row r="1401" ht="50.0" customHeight="true">
      <c r="A1401" s="113" t="s">
        <v>4979</v>
      </c>
      <c r="B1401" s="113" t="s">
        <v>4990</v>
      </c>
      <c r="C1401" s="113" t="s">
        <v>4981</v>
      </c>
      <c r="D1401" s="113"/>
      <c r="E1401" s="114" t="s">
        <v>4982</v>
      </c>
      <c r="F1401" s="114" t="s">
        <v>4983</v>
      </c>
      <c r="G1401" s="113" t="s">
        <v>4983</v>
      </c>
      <c r="H1401" s="113" t="s">
        <v>103</v>
      </c>
      <c r="I1401" s="115" t="n">
        <v>259.9</v>
      </c>
      <c r="J1401" s="115" t="s">
        <v>80</v>
      </c>
      <c r="K1401" s="115" t="s">
        <v>81</v>
      </c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 t="s">
        <v>82</v>
      </c>
      <c r="W1401" s="115" t="s">
        <v>92</v>
      </c>
      <c r="X1401" s="113">
        <f>IF(INDIRECT("W1401")="Clássico","12%",IF(INDIRECT("W1401")="Premium","17%","-"))</f>
      </c>
      <c r="Y1401" s="113" t="s">
        <v>1774</v>
      </c>
    </row>
    <row r="1402" ht="50.0" customHeight="true">
      <c r="A1402" s="113" t="s">
        <v>4979</v>
      </c>
      <c r="B1402" s="113" t="s">
        <v>4991</v>
      </c>
      <c r="C1402" s="113" t="s">
        <v>4981</v>
      </c>
      <c r="D1402" s="113"/>
      <c r="E1402" s="114" t="s">
        <v>4982</v>
      </c>
      <c r="F1402" s="114" t="s">
        <v>4983</v>
      </c>
      <c r="G1402" s="113" t="s">
        <v>4983</v>
      </c>
      <c r="H1402" s="113" t="s">
        <v>103</v>
      </c>
      <c r="I1402" s="115" t="n">
        <v>269.9</v>
      </c>
      <c r="J1402" s="115" t="s">
        <v>80</v>
      </c>
      <c r="K1402" s="115" t="s">
        <v>81</v>
      </c>
      <c r="L1402" s="115" t="n">
        <v>264.9</v>
      </c>
      <c r="M1402" s="115" t="n">
        <v>3.0</v>
      </c>
      <c r="N1402" s="115"/>
      <c r="O1402" s="115"/>
      <c r="P1402" s="115"/>
      <c r="Q1402" s="115"/>
      <c r="R1402" s="115"/>
      <c r="S1402" s="115"/>
      <c r="T1402" s="115"/>
      <c r="U1402" s="115"/>
      <c r="V1402" s="115" t="s">
        <v>82</v>
      </c>
      <c r="W1402" s="115" t="s">
        <v>92</v>
      </c>
      <c r="X1402" s="113">
        <f>IF(INDIRECT("W1402")="Clássico","12%",IF(INDIRECT("W1402")="Premium","17%","-"))</f>
      </c>
      <c r="Y1402" s="113" t="s">
        <v>1774</v>
      </c>
    </row>
    <row r="1403" ht="50.0" customHeight="true">
      <c r="A1403" s="113" t="s">
        <v>4984</v>
      </c>
      <c r="B1403" s="113" t="s">
        <v>4992</v>
      </c>
      <c r="C1403" s="113" t="s">
        <v>4986</v>
      </c>
      <c r="D1403" s="113"/>
      <c r="E1403" s="114" t="s">
        <v>4987</v>
      </c>
      <c r="F1403" s="114" t="s">
        <v>4988</v>
      </c>
      <c r="G1403" s="113" t="s">
        <v>4988</v>
      </c>
      <c r="H1403" s="113" t="s">
        <v>103</v>
      </c>
      <c r="I1403" s="115" t="n">
        <v>51.93</v>
      </c>
      <c r="J1403" s="115" t="s">
        <v>80</v>
      </c>
      <c r="K1403" s="115" t="s">
        <v>81</v>
      </c>
      <c r="L1403" s="115" t="n">
        <v>46.93</v>
      </c>
      <c r="M1403" s="115" t="n">
        <v>3.0</v>
      </c>
      <c r="N1403" s="115"/>
      <c r="O1403" s="115"/>
      <c r="P1403" s="115"/>
      <c r="Q1403" s="115"/>
      <c r="R1403" s="115"/>
      <c r="S1403" s="115"/>
      <c r="T1403" s="115"/>
      <c r="U1403" s="115"/>
      <c r="V1403" s="115" t="s">
        <v>91</v>
      </c>
      <c r="W1403" s="115" t="s">
        <v>83</v>
      </c>
      <c r="X1403" s="113">
        <f>IF(INDIRECT("W1403")="Clássico","12%",IF(INDIRECT("W1403")="Premium","17%","-"))</f>
      </c>
      <c r="Y1403" s="113" t="s">
        <v>1774</v>
      </c>
    </row>
    <row r="1404" ht="50.0" customHeight="true">
      <c r="A1404" s="113" t="s">
        <v>4993</v>
      </c>
      <c r="B1404" s="113" t="s">
        <v>4994</v>
      </c>
      <c r="C1404" s="113" t="s">
        <v>4995</v>
      </c>
      <c r="D1404" s="113"/>
      <c r="E1404" s="114" t="s">
        <v>3464</v>
      </c>
      <c r="F1404" s="114" t="s">
        <v>4996</v>
      </c>
      <c r="G1404" s="113" t="s">
        <v>127</v>
      </c>
      <c r="H1404" s="113" t="s">
        <v>103</v>
      </c>
      <c r="I1404" s="115" t="n">
        <v>404.94</v>
      </c>
      <c r="J1404" s="115" t="s">
        <v>80</v>
      </c>
      <c r="K1404" s="115" t="s">
        <v>81</v>
      </c>
      <c r="L1404" s="115" t="n">
        <v>320.19</v>
      </c>
      <c r="M1404" s="115" t="n">
        <v>3.0</v>
      </c>
      <c r="N1404" s="115"/>
      <c r="O1404" s="115"/>
      <c r="P1404" s="115"/>
      <c r="Q1404" s="115"/>
      <c r="R1404" s="115"/>
      <c r="S1404" s="115"/>
      <c r="T1404" s="115"/>
      <c r="U1404" s="115"/>
      <c r="V1404" s="115" t="s">
        <v>82</v>
      </c>
      <c r="W1404" s="115" t="s">
        <v>92</v>
      </c>
      <c r="X1404" s="113">
        <f>IF(INDIRECT("W1404")="Clássico","12%",IF(INDIRECT("W1404")="Premium","17%","-"))</f>
      </c>
      <c r="Y1404" s="113" t="s">
        <v>423</v>
      </c>
    </row>
    <row r="1405" ht="50.0" customHeight="true">
      <c r="A1405" s="113" t="s">
        <v>4997</v>
      </c>
      <c r="B1405" s="113" t="s">
        <v>4998</v>
      </c>
      <c r="C1405" s="113" t="s">
        <v>4999</v>
      </c>
      <c r="D1405" s="113"/>
      <c r="E1405" s="114" t="s">
        <v>4182</v>
      </c>
      <c r="F1405" s="114" t="s">
        <v>4862</v>
      </c>
      <c r="G1405" s="113" t="s">
        <v>4862</v>
      </c>
      <c r="H1405" s="113" t="s">
        <v>103</v>
      </c>
      <c r="I1405" s="115" t="n">
        <v>339.69</v>
      </c>
      <c r="J1405" s="115" t="s">
        <v>80</v>
      </c>
      <c r="K1405" s="115" t="s">
        <v>81</v>
      </c>
      <c r="L1405" s="115" t="n">
        <v>334.69</v>
      </c>
      <c r="M1405" s="115" t="n">
        <v>3.0</v>
      </c>
      <c r="N1405" s="115"/>
      <c r="O1405" s="115"/>
      <c r="P1405" s="115"/>
      <c r="Q1405" s="115"/>
      <c r="R1405" s="115"/>
      <c r="S1405" s="115"/>
      <c r="T1405" s="115"/>
      <c r="U1405" s="115"/>
      <c r="V1405" s="115" t="s">
        <v>82</v>
      </c>
      <c r="W1405" s="115" t="s">
        <v>92</v>
      </c>
      <c r="X1405" s="113">
        <f>IF(INDIRECT("W1405")="Clássico","12%",IF(INDIRECT("W1405")="Premium","17%","-"))</f>
      </c>
      <c r="Y1405" s="113" t="s">
        <v>755</v>
      </c>
    </row>
    <row r="1406" ht="50.0" customHeight="true">
      <c r="A1406" s="113" t="s">
        <v>4979</v>
      </c>
      <c r="B1406" s="113" t="s">
        <v>5000</v>
      </c>
      <c r="C1406" s="113" t="s">
        <v>4981</v>
      </c>
      <c r="D1406" s="113"/>
      <c r="E1406" s="114" t="s">
        <v>4982</v>
      </c>
      <c r="F1406" s="114" t="s">
        <v>4983</v>
      </c>
      <c r="G1406" s="113" t="s">
        <v>4983</v>
      </c>
      <c r="H1406" s="113" t="s">
        <v>103</v>
      </c>
      <c r="I1406" s="115" t="n">
        <v>244.9</v>
      </c>
      <c r="J1406" s="115" t="s">
        <v>80</v>
      </c>
      <c r="K1406" s="115" t="s">
        <v>81</v>
      </c>
      <c r="L1406" s="115" t="n">
        <v>239.9</v>
      </c>
      <c r="M1406" s="115" t="n">
        <v>3.0</v>
      </c>
      <c r="N1406" s="115"/>
      <c r="O1406" s="115"/>
      <c r="P1406" s="115"/>
      <c r="Q1406" s="115"/>
      <c r="R1406" s="115"/>
      <c r="S1406" s="115"/>
      <c r="T1406" s="115"/>
      <c r="U1406" s="115"/>
      <c r="V1406" s="115" t="s">
        <v>82</v>
      </c>
      <c r="W1406" s="115" t="s">
        <v>92</v>
      </c>
      <c r="X1406" s="113">
        <f>IF(INDIRECT("W1406")="Clássico","12%",IF(INDIRECT("W1406")="Premium","17%","-"))</f>
      </c>
      <c r="Y1406" s="113" t="s">
        <v>1774</v>
      </c>
    </row>
    <row r="1407" ht="50.0" customHeight="true">
      <c r="A1407" s="113" t="s">
        <v>5001</v>
      </c>
      <c r="B1407" s="113" t="s">
        <v>5002</v>
      </c>
      <c r="C1407" s="113" t="s">
        <v>5003</v>
      </c>
      <c r="D1407" s="113"/>
      <c r="E1407" s="114" t="s">
        <v>3632</v>
      </c>
      <c r="F1407" s="114" t="s">
        <v>3633</v>
      </c>
      <c r="G1407" s="113" t="s">
        <v>127</v>
      </c>
      <c r="H1407" s="113" t="s">
        <v>103</v>
      </c>
      <c r="I1407" s="115" t="n">
        <v>85.44</v>
      </c>
      <c r="J1407" s="115" t="s">
        <v>80</v>
      </c>
      <c r="K1407" s="115" t="s">
        <v>81</v>
      </c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 t="s">
        <v>91</v>
      </c>
      <c r="W1407" s="115" t="s">
        <v>83</v>
      </c>
      <c r="X1407" s="113">
        <f>IF(INDIRECT("W1407")="Clássico","12%",IF(INDIRECT("W1407")="Premium","17%","-"))</f>
      </c>
      <c r="Y1407" s="113" t="s">
        <v>423</v>
      </c>
    </row>
    <row r="1408" ht="50.0" customHeight="true">
      <c r="A1408" s="113" t="s">
        <v>5004</v>
      </c>
      <c r="B1408" s="113" t="s">
        <v>5005</v>
      </c>
      <c r="C1408" s="113" t="s">
        <v>5006</v>
      </c>
      <c r="D1408" s="113"/>
      <c r="E1408" s="114" t="s">
        <v>3836</v>
      </c>
      <c r="F1408" s="114" t="s">
        <v>5007</v>
      </c>
      <c r="G1408" s="113" t="s">
        <v>127</v>
      </c>
      <c r="H1408" s="113" t="s">
        <v>103</v>
      </c>
      <c r="I1408" s="115" t="n">
        <v>327.73</v>
      </c>
      <c r="J1408" s="115" t="s">
        <v>80</v>
      </c>
      <c r="K1408" s="115" t="s">
        <v>81</v>
      </c>
      <c r="L1408" s="115" t="n">
        <v>322.73</v>
      </c>
      <c r="M1408" s="115" t="n">
        <v>3.0</v>
      </c>
      <c r="N1408" s="115"/>
      <c r="O1408" s="115"/>
      <c r="P1408" s="115"/>
      <c r="Q1408" s="115"/>
      <c r="R1408" s="115"/>
      <c r="S1408" s="115"/>
      <c r="T1408" s="115"/>
      <c r="U1408" s="115"/>
      <c r="V1408" s="115" t="s">
        <v>82</v>
      </c>
      <c r="W1408" s="115" t="s">
        <v>92</v>
      </c>
      <c r="X1408" s="113">
        <f>IF(INDIRECT("W1408")="Clássico","12%",IF(INDIRECT("W1408")="Premium","17%","-"))</f>
      </c>
      <c r="Y1408" s="113" t="s">
        <v>3838</v>
      </c>
    </row>
    <row r="1409" ht="50.0" customHeight="true">
      <c r="A1409" s="113" t="s">
        <v>3531</v>
      </c>
      <c r="B1409" s="113" t="s">
        <v>5008</v>
      </c>
      <c r="C1409" s="113" t="s">
        <v>5009</v>
      </c>
      <c r="D1409" s="113"/>
      <c r="E1409" s="114" t="s">
        <v>3534</v>
      </c>
      <c r="F1409" s="114" t="s">
        <v>3535</v>
      </c>
      <c r="G1409" s="113" t="s">
        <v>3535</v>
      </c>
      <c r="H1409" s="113" t="s">
        <v>103</v>
      </c>
      <c r="I1409" s="115" t="n">
        <v>255.69</v>
      </c>
      <c r="J1409" s="115" t="s">
        <v>80</v>
      </c>
      <c r="K1409" s="115" t="s">
        <v>81</v>
      </c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 t="s">
        <v>82</v>
      </c>
      <c r="W1409" s="115" t="s">
        <v>92</v>
      </c>
      <c r="X1409" s="113">
        <f>IF(INDIRECT("W1409")="Clássico","12%",IF(INDIRECT("W1409")="Premium","17%","-"))</f>
      </c>
      <c r="Y1409" s="113" t="s">
        <v>1674</v>
      </c>
    </row>
    <row r="1410" ht="50.0" customHeight="true">
      <c r="A1410" s="113" t="s">
        <v>5010</v>
      </c>
      <c r="B1410" s="113" t="s">
        <v>5011</v>
      </c>
      <c r="C1410" s="113" t="s">
        <v>5012</v>
      </c>
      <c r="D1410" s="113"/>
      <c r="E1410" s="114" t="s">
        <v>3562</v>
      </c>
      <c r="F1410" s="114" t="s">
        <v>3563</v>
      </c>
      <c r="G1410" s="113" t="s">
        <v>3563</v>
      </c>
      <c r="H1410" s="113" t="s">
        <v>103</v>
      </c>
      <c r="I1410" s="115" t="n">
        <v>498.7</v>
      </c>
      <c r="J1410" s="115" t="s">
        <v>80</v>
      </c>
      <c r="K1410" s="115" t="s">
        <v>81</v>
      </c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 t="s">
        <v>82</v>
      </c>
      <c r="W1410" s="115" t="s">
        <v>83</v>
      </c>
      <c r="X1410" s="113">
        <f>IF(INDIRECT("W1410")="Clássico","12%",IF(INDIRECT("W1410")="Premium","17%","-"))</f>
      </c>
      <c r="Y1410" s="113" t="s">
        <v>3564</v>
      </c>
    </row>
    <row r="1411" ht="50.0" customHeight="true">
      <c r="A1411" s="113" t="s">
        <v>5013</v>
      </c>
      <c r="B1411" s="113" t="s">
        <v>5014</v>
      </c>
      <c r="C1411" s="113" t="s">
        <v>5015</v>
      </c>
      <c r="D1411" s="113"/>
      <c r="E1411" s="114" t="s">
        <v>5016</v>
      </c>
      <c r="F1411" s="114" t="s">
        <v>5017</v>
      </c>
      <c r="G1411" s="113" t="s">
        <v>5017</v>
      </c>
      <c r="H1411" s="113" t="s">
        <v>103</v>
      </c>
      <c r="I1411" s="115" t="n">
        <v>184.9</v>
      </c>
      <c r="J1411" s="115" t="s">
        <v>80</v>
      </c>
      <c r="K1411" s="113" t="s">
        <v>81</v>
      </c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 t="s">
        <v>82</v>
      </c>
      <c r="W1411" s="115" t="s">
        <v>92</v>
      </c>
      <c r="X1411" s="113">
        <f>IF(INDIRECT("W1411")="Clássico","12%",IF(INDIRECT("W1411")="Premium","17%","-"))</f>
      </c>
      <c r="Y1411" s="113" t="s">
        <v>1774</v>
      </c>
    </row>
    <row r="1412" ht="50.0" customHeight="true">
      <c r="A1412" s="113" t="s">
        <v>5018</v>
      </c>
      <c r="B1412" s="113" t="s">
        <v>5019</v>
      </c>
      <c r="C1412" s="113" t="s">
        <v>5020</v>
      </c>
      <c r="D1412" s="113"/>
      <c r="E1412" s="114" t="s">
        <v>5021</v>
      </c>
      <c r="F1412" s="114" t="s">
        <v>5022</v>
      </c>
      <c r="G1412" s="113" t="s">
        <v>5022</v>
      </c>
      <c r="H1412" s="113" t="s">
        <v>103</v>
      </c>
      <c r="I1412" s="115" t="n">
        <v>305.9</v>
      </c>
      <c r="J1412" s="115" t="s">
        <v>80</v>
      </c>
      <c r="K1412" s="113" t="s">
        <v>81</v>
      </c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 t="s">
        <v>82</v>
      </c>
      <c r="W1412" s="115" t="s">
        <v>83</v>
      </c>
      <c r="X1412" s="113">
        <f>IF(INDIRECT("W1412")="Clássico","12%",IF(INDIRECT("W1412")="Premium","17%","-"))</f>
      </c>
      <c r="Y1412" s="113" t="s">
        <v>1774</v>
      </c>
    </row>
    <row r="1413" ht="50.0" customHeight="true">
      <c r="A1413" s="113" t="s">
        <v>5023</v>
      </c>
      <c r="B1413" s="113" t="s">
        <v>5024</v>
      </c>
      <c r="C1413" s="113" t="s">
        <v>5025</v>
      </c>
      <c r="D1413" s="113"/>
      <c r="E1413" s="114" t="s">
        <v>4938</v>
      </c>
      <c r="F1413" s="114" t="s">
        <v>5026</v>
      </c>
      <c r="G1413" s="113" t="s">
        <v>5026</v>
      </c>
      <c r="H1413" s="113" t="s">
        <v>103</v>
      </c>
      <c r="I1413" s="115" t="n">
        <v>59.37</v>
      </c>
      <c r="J1413" s="115" t="s">
        <v>80</v>
      </c>
      <c r="K1413" s="113" t="s">
        <v>81</v>
      </c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 t="s">
        <v>91</v>
      </c>
      <c r="W1413" s="115" t="s">
        <v>92</v>
      </c>
      <c r="X1413" s="113">
        <f>IF(INDIRECT("W1413")="Clássico","12%",IF(INDIRECT("W1413")="Premium","17%","-"))</f>
      </c>
      <c r="Y1413" s="113" t="s">
        <v>4940</v>
      </c>
    </row>
    <row r="1414" ht="50.0" customHeight="true">
      <c r="A1414" s="113" t="s">
        <v>5027</v>
      </c>
      <c r="B1414" s="113" t="s">
        <v>5028</v>
      </c>
      <c r="C1414" s="113" t="s">
        <v>5029</v>
      </c>
      <c r="D1414" s="113"/>
      <c r="E1414" s="114" t="s">
        <v>4938</v>
      </c>
      <c r="F1414" s="114" t="s">
        <v>5030</v>
      </c>
      <c r="G1414" s="113" t="s">
        <v>5030</v>
      </c>
      <c r="H1414" s="113" t="s">
        <v>103</v>
      </c>
      <c r="I1414" s="115" t="n">
        <v>39.11</v>
      </c>
      <c r="J1414" s="115" t="s">
        <v>80</v>
      </c>
      <c r="K1414" s="113" t="s">
        <v>81</v>
      </c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 t="s">
        <v>91</v>
      </c>
      <c r="W1414" s="115" t="s">
        <v>92</v>
      </c>
      <c r="X1414" s="113">
        <f>IF(INDIRECT("W1414")="Clássico","12%",IF(INDIRECT("W1414")="Premium","17%","-"))</f>
      </c>
      <c r="Y1414" s="113" t="s">
        <v>4940</v>
      </c>
    </row>
    <row r="1415" ht="50.0" customHeight="true">
      <c r="A1415" s="113" t="s">
        <v>5031</v>
      </c>
      <c r="B1415" s="113" t="s">
        <v>5032</v>
      </c>
      <c r="C1415" s="113" t="s">
        <v>5033</v>
      </c>
      <c r="D1415" s="113"/>
      <c r="E1415" s="114" t="s">
        <v>4061</v>
      </c>
      <c r="F1415" s="114" t="s">
        <v>5034</v>
      </c>
      <c r="G1415" s="113" t="s">
        <v>5034</v>
      </c>
      <c r="H1415" s="113" t="s">
        <v>103</v>
      </c>
      <c r="I1415" s="115" t="n">
        <v>431.52</v>
      </c>
      <c r="J1415" s="115" t="s">
        <v>80</v>
      </c>
      <c r="K1415" s="115" t="s">
        <v>81</v>
      </c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 t="s">
        <v>82</v>
      </c>
      <c r="W1415" s="115" t="s">
        <v>83</v>
      </c>
      <c r="X1415" s="113">
        <f>IF(INDIRECT("W1415")="Clássico","12%",IF(INDIRECT("W1415")="Premium","17%","-"))</f>
      </c>
      <c r="Y1415" s="113" t="s">
        <v>4063</v>
      </c>
    </row>
    <row r="1416" ht="50.0" customHeight="true">
      <c r="A1416" s="113" t="s">
        <v>5035</v>
      </c>
      <c r="B1416" s="113" t="s">
        <v>5036</v>
      </c>
      <c r="C1416" s="113" t="s">
        <v>5037</v>
      </c>
      <c r="D1416" s="113"/>
      <c r="E1416" s="114" t="s">
        <v>3562</v>
      </c>
      <c r="F1416" s="114" t="s">
        <v>4045</v>
      </c>
      <c r="G1416" s="113" t="s">
        <v>4045</v>
      </c>
      <c r="H1416" s="113" t="s">
        <v>103</v>
      </c>
      <c r="I1416" s="115" t="n">
        <v>498.7</v>
      </c>
      <c r="J1416" s="115" t="s">
        <v>80</v>
      </c>
      <c r="K1416" s="115" t="s">
        <v>81</v>
      </c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 t="s">
        <v>82</v>
      </c>
      <c r="W1416" s="115" t="s">
        <v>83</v>
      </c>
      <c r="X1416" s="113">
        <f>IF(INDIRECT("W1416")="Clássico","12%",IF(INDIRECT("W1416")="Premium","17%","-"))</f>
      </c>
      <c r="Y1416" s="113" t="s">
        <v>3564</v>
      </c>
    </row>
    <row r="1417" ht="50.0" customHeight="true">
      <c r="A1417" s="113" t="s">
        <v>5038</v>
      </c>
      <c r="B1417" s="113" t="s">
        <v>5039</v>
      </c>
      <c r="C1417" s="113" t="s">
        <v>5040</v>
      </c>
      <c r="D1417" s="113"/>
      <c r="E1417" s="114" t="s">
        <v>3562</v>
      </c>
      <c r="F1417" s="114" t="s">
        <v>3606</v>
      </c>
      <c r="G1417" s="113" t="s">
        <v>3606</v>
      </c>
      <c r="H1417" s="113" t="s">
        <v>103</v>
      </c>
      <c r="I1417" s="115" t="n">
        <v>498.7</v>
      </c>
      <c r="J1417" s="115" t="s">
        <v>80</v>
      </c>
      <c r="K1417" s="115" t="s">
        <v>81</v>
      </c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 t="s">
        <v>82</v>
      </c>
      <c r="W1417" s="115" t="s">
        <v>83</v>
      </c>
      <c r="X1417" s="113">
        <f>IF(INDIRECT("W1417")="Clássico","12%",IF(INDIRECT("W1417")="Premium","17%","-"))</f>
      </c>
      <c r="Y1417" s="113" t="s">
        <v>3564</v>
      </c>
    </row>
    <row r="1418" ht="50.0" customHeight="true">
      <c r="A1418" s="113" t="s">
        <v>5041</v>
      </c>
      <c r="B1418" s="113" t="s">
        <v>5042</v>
      </c>
      <c r="C1418" s="113" t="s">
        <v>5043</v>
      </c>
      <c r="D1418" s="113"/>
      <c r="E1418" s="114" t="s">
        <v>3562</v>
      </c>
      <c r="F1418" s="114" t="s">
        <v>4238</v>
      </c>
      <c r="G1418" s="113" t="s">
        <v>4238</v>
      </c>
      <c r="H1418" s="113" t="s">
        <v>103</v>
      </c>
      <c r="I1418" s="115" t="n">
        <v>422.52</v>
      </c>
      <c r="J1418" s="115" t="s">
        <v>80</v>
      </c>
      <c r="K1418" s="115" t="s">
        <v>81</v>
      </c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 t="s">
        <v>82</v>
      </c>
      <c r="W1418" s="115" t="s">
        <v>83</v>
      </c>
      <c r="X1418" s="113">
        <f>IF(INDIRECT("W1418")="Clássico","12%",IF(INDIRECT("W1418")="Premium","17%","-"))</f>
      </c>
      <c r="Y1418" s="113" t="s">
        <v>3564</v>
      </c>
    </row>
    <row r="1419" ht="50.0" customHeight="true">
      <c r="A1419" s="113" t="s">
        <v>5044</v>
      </c>
      <c r="B1419" s="113" t="s">
        <v>5045</v>
      </c>
      <c r="C1419" s="113" t="s">
        <v>5046</v>
      </c>
      <c r="D1419" s="113"/>
      <c r="E1419" s="114" t="s">
        <v>3741</v>
      </c>
      <c r="F1419" s="114" t="s">
        <v>5047</v>
      </c>
      <c r="G1419" s="113" t="s">
        <v>5047</v>
      </c>
      <c r="H1419" s="113" t="s">
        <v>103</v>
      </c>
      <c r="I1419" s="115" t="n">
        <v>256.84</v>
      </c>
      <c r="J1419" s="115" t="s">
        <v>80</v>
      </c>
      <c r="K1419" s="115" t="s">
        <v>81</v>
      </c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 t="s">
        <v>82</v>
      </c>
      <c r="W1419" s="115" t="s">
        <v>83</v>
      </c>
      <c r="X1419" s="113">
        <f>IF(INDIRECT("W1419")="Clássico","12%",IF(INDIRECT("W1419")="Premium","17%","-"))</f>
      </c>
      <c r="Y1419" s="113" t="s">
        <v>1774</v>
      </c>
    </row>
    <row r="1420" ht="50.0" customHeight="true">
      <c r="A1420" s="113" t="s">
        <v>4971</v>
      </c>
      <c r="B1420" s="113" t="s">
        <v>5048</v>
      </c>
      <c r="C1420" s="113" t="s">
        <v>4973</v>
      </c>
      <c r="D1420" s="113"/>
      <c r="E1420" s="114" t="s">
        <v>4138</v>
      </c>
      <c r="F1420" s="114" t="s">
        <v>4974</v>
      </c>
      <c r="G1420" s="113" t="s">
        <v>4974</v>
      </c>
      <c r="H1420" s="113" t="s">
        <v>103</v>
      </c>
      <c r="I1420" s="115" t="n">
        <v>816.9</v>
      </c>
      <c r="J1420" s="115" t="s">
        <v>80</v>
      </c>
      <c r="K1420" s="115" t="s">
        <v>81</v>
      </c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 t="s">
        <v>82</v>
      </c>
      <c r="W1420" s="115" t="s">
        <v>83</v>
      </c>
      <c r="X1420" s="113">
        <f>IF(INDIRECT("W1420")="Clássico","12%",IF(INDIRECT("W1420")="Premium","17%","-"))</f>
      </c>
      <c r="Y1420" s="113" t="s">
        <v>4754</v>
      </c>
    </row>
    <row r="1421" ht="50.0" customHeight="true">
      <c r="A1421" s="113" t="s">
        <v>5049</v>
      </c>
      <c r="B1421" s="113" t="s">
        <v>5050</v>
      </c>
      <c r="C1421" s="113" t="s">
        <v>5051</v>
      </c>
      <c r="D1421" s="113"/>
      <c r="E1421" s="113" t="s">
        <v>2149</v>
      </c>
      <c r="F1421" s="113" t="s">
        <v>5052</v>
      </c>
      <c r="G1421" s="113" t="s">
        <v>2151</v>
      </c>
      <c r="H1421" s="113" t="s">
        <v>103</v>
      </c>
      <c r="I1421" s="113" t="s">
        <v>5053</v>
      </c>
      <c r="J1421" s="113" t="s">
        <v>80</v>
      </c>
      <c r="K1421" s="113" t="s">
        <v>22</v>
      </c>
      <c r="L1421" s="113" t="s">
        <v>22</v>
      </c>
      <c r="M1421" s="113" t="s">
        <v>22</v>
      </c>
      <c r="N1421" s="113" t="s">
        <v>22</v>
      </c>
      <c r="O1421" s="113" t="s">
        <v>22</v>
      </c>
      <c r="P1421" s="113" t="s">
        <v>22</v>
      </c>
      <c r="Q1421" s="113" t="s">
        <v>22</v>
      </c>
      <c r="R1421" s="113" t="s">
        <v>22</v>
      </c>
      <c r="S1421" s="113" t="s">
        <v>22</v>
      </c>
      <c r="T1421" s="113" t="s">
        <v>22</v>
      </c>
      <c r="U1421" s="113" t="s">
        <v>22</v>
      </c>
      <c r="V1421" s="113" t="s">
        <v>82</v>
      </c>
      <c r="W1421" s="113" t="s">
        <v>83</v>
      </c>
      <c r="X1421" s="113">
        <f>IF(INDIRECT("W1421")="Clássico","12%",IF(INDIRECT("W1421")="Premium","17%","-"))</f>
      </c>
      <c r="Y1421" s="113" t="s">
        <v>2152</v>
      </c>
    </row>
    <row r="1422" ht="50.0" customHeight="true">
      <c r="A1422" s="113" t="s">
        <v>2317</v>
      </c>
      <c r="B1422" s="113" t="s">
        <v>5054</v>
      </c>
      <c r="C1422" s="113" t="s">
        <v>2319</v>
      </c>
      <c r="D1422" s="113"/>
      <c r="E1422" s="113" t="s">
        <v>2320</v>
      </c>
      <c r="F1422" s="113" t="s">
        <v>2321</v>
      </c>
      <c r="G1422" s="113" t="s">
        <v>2321</v>
      </c>
      <c r="H1422" s="113" t="s">
        <v>103</v>
      </c>
      <c r="I1422" s="113" t="s">
        <v>5055</v>
      </c>
      <c r="J1422" s="113" t="s">
        <v>80</v>
      </c>
      <c r="K1422" s="113" t="s">
        <v>22</v>
      </c>
      <c r="L1422" s="113" t="s">
        <v>22</v>
      </c>
      <c r="M1422" s="113" t="s">
        <v>22</v>
      </c>
      <c r="N1422" s="113" t="s">
        <v>22</v>
      </c>
      <c r="O1422" s="113" t="s">
        <v>22</v>
      </c>
      <c r="P1422" s="113" t="s">
        <v>22</v>
      </c>
      <c r="Q1422" s="113" t="s">
        <v>22</v>
      </c>
      <c r="R1422" s="113" t="s">
        <v>22</v>
      </c>
      <c r="S1422" s="113" t="s">
        <v>22</v>
      </c>
      <c r="T1422" s="113" t="s">
        <v>22</v>
      </c>
      <c r="U1422" s="113" t="s">
        <v>22</v>
      </c>
      <c r="V1422" s="113" t="s">
        <v>82</v>
      </c>
      <c r="W1422" s="113" t="s">
        <v>92</v>
      </c>
      <c r="X1422" s="113">
        <f>IF(INDIRECT("W1422")="Clássico","12%",IF(INDIRECT("W1422")="Premium","17%","-"))</f>
      </c>
      <c r="Y1422" s="113" t="s">
        <v>712</v>
      </c>
    </row>
  </sheetData>
  <mergeCells count="23">
    <mergeCell ref="A2:G2"/>
    <mergeCell ref="T3:U3"/>
    <mergeCell ref="R3:S3"/>
    <mergeCell ref="P3:Q3"/>
    <mergeCell ref="N3:O3"/>
    <mergeCell ref="L3:M3"/>
    <mergeCell ref="I2:U2"/>
    <mergeCell ref="W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V3:V4"/>
    <mergeCell ref="W3:W4"/>
    <mergeCell ref="X3:X4"/>
    <mergeCell ref="Y3:Y4"/>
  </mergeCells>
  <conditionalFormatting sqref="J6">
    <cfRule type="cellIs" operator="equal" dxfId="1" priority="1">
      <formula>"R$"</formula>
    </cfRule>
  </conditionalFormatting>
  <conditionalFormatting sqref="K6">
    <cfRule type="cellIs" operator="equal" dxfId="2" priority="2">
      <formula>"Com impostos"</formula>
    </cfRule>
  </conditionalFormatting>
  <conditionalFormatting sqref="V6">
    <cfRule type="cellIs" operator="equal" dxfId="3" priority="3">
      <formula>"Mercado Envios grátis"</formula>
    </cfRule>
  </conditionalFormatting>
  <conditionalFormatting sqref="W6">
    <cfRule type="cellIs" operator="equal" dxfId="4" priority="4">
      <formula>"Premium"</formula>
    </cfRule>
  </conditionalFormatting>
  <conditionalFormatting sqref="J7">
    <cfRule type="cellIs" operator="equal" dxfId="5" priority="5">
      <formula>"R$"</formula>
    </cfRule>
  </conditionalFormatting>
  <conditionalFormatting sqref="K7">
    <cfRule type="cellIs" operator="equal" dxfId="6" priority="6">
      <formula>"Com impostos"</formula>
    </cfRule>
  </conditionalFormatting>
  <conditionalFormatting sqref="V7">
    <cfRule type="cellIs" operator="equal" dxfId="7" priority="7">
      <formula>"Mercado Envios por conta do comprador"</formula>
    </cfRule>
  </conditionalFormatting>
  <conditionalFormatting sqref="W7">
    <cfRule type="cellIs" operator="equal" dxfId="8" priority="8">
      <formula>"Clássico"</formula>
    </cfRule>
  </conditionalFormatting>
  <conditionalFormatting sqref="J8">
    <cfRule type="cellIs" operator="equal" dxfId="9" priority="9">
      <formula>"R$"</formula>
    </cfRule>
  </conditionalFormatting>
  <conditionalFormatting sqref="K8">
    <cfRule type="cellIs" operator="equal" dxfId="10" priority="10">
      <formula>"Com impostos"</formula>
    </cfRule>
  </conditionalFormatting>
  <conditionalFormatting sqref="V8">
    <cfRule type="cellIs" operator="equal" dxfId="11" priority="11">
      <formula>"Mercado Envios por conta do comprador"</formula>
    </cfRule>
  </conditionalFormatting>
  <conditionalFormatting sqref="W8">
    <cfRule type="cellIs" operator="equal" dxfId="12" priority="12">
      <formula>"Clássico"</formula>
    </cfRule>
  </conditionalFormatting>
  <conditionalFormatting sqref="J9">
    <cfRule type="cellIs" operator="equal" dxfId="13" priority="13">
      <formula>"R$"</formula>
    </cfRule>
  </conditionalFormatting>
  <conditionalFormatting sqref="V9">
    <cfRule type="cellIs" operator="equal" dxfId="14" priority="14">
      <formula>"Mercado Envios grátis"</formula>
    </cfRule>
  </conditionalFormatting>
  <conditionalFormatting sqref="W9">
    <cfRule type="cellIs" operator="equal" dxfId="15" priority="15">
      <formula>"Clássico"</formula>
    </cfRule>
  </conditionalFormatting>
  <conditionalFormatting sqref="J12">
    <cfRule type="cellIs" operator="equal" dxfId="16" priority="16">
      <formula>"R$"</formula>
    </cfRule>
  </conditionalFormatting>
  <conditionalFormatting sqref="K12">
    <cfRule type="cellIs" operator="equal" dxfId="17" priority="17">
      <formula>"Com impostos"</formula>
    </cfRule>
  </conditionalFormatting>
  <conditionalFormatting sqref="V12">
    <cfRule type="cellIs" operator="equal" dxfId="18" priority="18">
      <formula>"Mercado Envios grátis"</formula>
    </cfRule>
  </conditionalFormatting>
  <conditionalFormatting sqref="W12">
    <cfRule type="cellIs" operator="equal" dxfId="19" priority="19">
      <formula>"Clássico"</formula>
    </cfRule>
  </conditionalFormatting>
  <conditionalFormatting sqref="J13">
    <cfRule type="cellIs" operator="equal" dxfId="20" priority="20">
      <formula>"R$"</formula>
    </cfRule>
  </conditionalFormatting>
  <conditionalFormatting sqref="K13">
    <cfRule type="cellIs" operator="equal" dxfId="21" priority="21">
      <formula>"Com impostos"</formula>
    </cfRule>
  </conditionalFormatting>
  <conditionalFormatting sqref="V13">
    <cfRule type="cellIs" operator="equal" dxfId="22" priority="22">
      <formula>"Mercado Envios grátis"</formula>
    </cfRule>
  </conditionalFormatting>
  <conditionalFormatting sqref="W13">
    <cfRule type="cellIs" operator="equal" dxfId="23" priority="23">
      <formula>"Clássico"</formula>
    </cfRule>
  </conditionalFormatting>
  <conditionalFormatting sqref="J14">
    <cfRule type="cellIs" operator="equal" dxfId="24" priority="24">
      <formula>"R$"</formula>
    </cfRule>
  </conditionalFormatting>
  <conditionalFormatting sqref="K14">
    <cfRule type="cellIs" operator="equal" dxfId="25" priority="25">
      <formula>"Com impostos"</formula>
    </cfRule>
  </conditionalFormatting>
  <conditionalFormatting sqref="V14">
    <cfRule type="cellIs" operator="equal" dxfId="26" priority="26">
      <formula>"Mercado Envios por conta do comprador"</formula>
    </cfRule>
  </conditionalFormatting>
  <conditionalFormatting sqref="W14">
    <cfRule type="cellIs" operator="equal" dxfId="27" priority="27">
      <formula>"Clássico"</formula>
    </cfRule>
  </conditionalFormatting>
  <conditionalFormatting sqref="J15">
    <cfRule type="cellIs" operator="equal" dxfId="28" priority="28">
      <formula>"R$"</formula>
    </cfRule>
  </conditionalFormatting>
  <conditionalFormatting sqref="V15">
    <cfRule type="cellIs" operator="equal" dxfId="29" priority="29">
      <formula>"Mercado Envios grátis"</formula>
    </cfRule>
  </conditionalFormatting>
  <conditionalFormatting sqref="W15">
    <cfRule type="cellIs" operator="equal" dxfId="30" priority="30">
      <formula>"Premium"</formula>
    </cfRule>
  </conditionalFormatting>
  <conditionalFormatting sqref="J18">
    <cfRule type="cellIs" operator="equal" dxfId="31" priority="31">
      <formula>"R$"</formula>
    </cfRule>
  </conditionalFormatting>
  <conditionalFormatting sqref="K18">
    <cfRule type="cellIs" operator="equal" dxfId="32" priority="32">
      <formula>"Com impostos"</formula>
    </cfRule>
  </conditionalFormatting>
  <conditionalFormatting sqref="V18">
    <cfRule type="cellIs" operator="equal" dxfId="33" priority="33">
      <formula>"Mercado Envios por conta do comprador"</formula>
    </cfRule>
  </conditionalFormatting>
  <conditionalFormatting sqref="W18">
    <cfRule type="cellIs" operator="equal" dxfId="34" priority="34">
      <formula>"Clássico"</formula>
    </cfRule>
  </conditionalFormatting>
  <conditionalFormatting sqref="J19">
    <cfRule type="cellIs" operator="equal" dxfId="35" priority="35">
      <formula>"R$"</formula>
    </cfRule>
  </conditionalFormatting>
  <conditionalFormatting sqref="K19">
    <cfRule type="cellIs" operator="equal" dxfId="36" priority="36">
      <formula>"Com impostos"</formula>
    </cfRule>
  </conditionalFormatting>
  <conditionalFormatting sqref="V19">
    <cfRule type="cellIs" operator="equal" dxfId="37" priority="37">
      <formula>"Mercado Envios grátis"</formula>
    </cfRule>
  </conditionalFormatting>
  <conditionalFormatting sqref="W19">
    <cfRule type="cellIs" operator="equal" dxfId="38" priority="38">
      <formula>"Premium"</formula>
    </cfRule>
  </conditionalFormatting>
  <conditionalFormatting sqref="J20">
    <cfRule type="cellIs" operator="equal" dxfId="39" priority="39">
      <formula>"R$"</formula>
    </cfRule>
  </conditionalFormatting>
  <conditionalFormatting sqref="K20">
    <cfRule type="cellIs" operator="equal" dxfId="40" priority="40">
      <formula>"Com impostos"</formula>
    </cfRule>
  </conditionalFormatting>
  <conditionalFormatting sqref="V20">
    <cfRule type="cellIs" operator="equal" dxfId="41" priority="41">
      <formula>"Mercado Envios grátis"</formula>
    </cfRule>
  </conditionalFormatting>
  <conditionalFormatting sqref="W20">
    <cfRule type="cellIs" operator="equal" dxfId="42" priority="42">
      <formula>"Premium"</formula>
    </cfRule>
  </conditionalFormatting>
  <conditionalFormatting sqref="J21">
    <cfRule type="cellIs" operator="equal" dxfId="43" priority="43">
      <formula>"R$"</formula>
    </cfRule>
  </conditionalFormatting>
  <conditionalFormatting sqref="K21">
    <cfRule type="cellIs" operator="equal" dxfId="44" priority="44">
      <formula>"Com impostos"</formula>
    </cfRule>
  </conditionalFormatting>
  <conditionalFormatting sqref="V21">
    <cfRule type="cellIs" operator="equal" dxfId="45" priority="45">
      <formula>"Mercado Envios grátis"</formula>
    </cfRule>
  </conditionalFormatting>
  <conditionalFormatting sqref="W21">
    <cfRule type="cellIs" operator="equal" dxfId="46" priority="46">
      <formula>"Premium"</formula>
    </cfRule>
  </conditionalFormatting>
  <conditionalFormatting sqref="J22">
    <cfRule type="cellIs" operator="equal" dxfId="47" priority="47">
      <formula>"R$"</formula>
    </cfRule>
  </conditionalFormatting>
  <conditionalFormatting sqref="K22">
    <cfRule type="cellIs" operator="equal" dxfId="48" priority="48">
      <formula>"Com impostos"</formula>
    </cfRule>
  </conditionalFormatting>
  <conditionalFormatting sqref="V22">
    <cfRule type="cellIs" operator="equal" dxfId="49" priority="49">
      <formula>"Mercado Envios por conta do comprador"</formula>
    </cfRule>
  </conditionalFormatting>
  <conditionalFormatting sqref="W22">
    <cfRule type="cellIs" operator="equal" dxfId="50" priority="50">
      <formula>"Clássico"</formula>
    </cfRule>
  </conditionalFormatting>
  <conditionalFormatting sqref="J23">
    <cfRule type="cellIs" operator="equal" dxfId="51" priority="51">
      <formula>"R$"</formula>
    </cfRule>
  </conditionalFormatting>
  <conditionalFormatting sqref="K23">
    <cfRule type="cellIs" operator="equal" dxfId="52" priority="52">
      <formula>"Com impostos"</formula>
    </cfRule>
  </conditionalFormatting>
  <conditionalFormatting sqref="V23">
    <cfRule type="cellIs" operator="equal" dxfId="53" priority="53">
      <formula>"Mercado Envios grátis"</formula>
    </cfRule>
  </conditionalFormatting>
  <conditionalFormatting sqref="W23">
    <cfRule type="cellIs" operator="equal" dxfId="54" priority="54">
      <formula>"Clássico"</formula>
    </cfRule>
  </conditionalFormatting>
  <conditionalFormatting sqref="J24">
    <cfRule type="cellIs" operator="equal" dxfId="55" priority="55">
      <formula>"R$"</formula>
    </cfRule>
  </conditionalFormatting>
  <conditionalFormatting sqref="K24">
    <cfRule type="cellIs" operator="equal" dxfId="56" priority="56">
      <formula>"Com impostos"</formula>
    </cfRule>
  </conditionalFormatting>
  <conditionalFormatting sqref="V24">
    <cfRule type="cellIs" operator="equal" dxfId="57" priority="57">
      <formula>"Mercado Envios por conta do comprador"</formula>
    </cfRule>
  </conditionalFormatting>
  <conditionalFormatting sqref="W24">
    <cfRule type="cellIs" operator="equal" dxfId="58" priority="58">
      <formula>"Clássico"</formula>
    </cfRule>
  </conditionalFormatting>
  <conditionalFormatting sqref="J25">
    <cfRule type="cellIs" operator="equal" dxfId="59" priority="59">
      <formula>"R$"</formula>
    </cfRule>
  </conditionalFormatting>
  <conditionalFormatting sqref="V25">
    <cfRule type="cellIs" operator="equal" dxfId="60" priority="60">
      <formula>"Mercado Envios grátis"</formula>
    </cfRule>
  </conditionalFormatting>
  <conditionalFormatting sqref="W25">
    <cfRule type="cellIs" operator="equal" dxfId="61" priority="61">
      <formula>"Clássico"</formula>
    </cfRule>
  </conditionalFormatting>
  <conditionalFormatting sqref="J29">
    <cfRule type="cellIs" operator="equal" dxfId="62" priority="62">
      <formula>"R$"</formula>
    </cfRule>
  </conditionalFormatting>
  <conditionalFormatting sqref="K29">
    <cfRule type="cellIs" operator="equal" dxfId="63" priority="63">
      <formula>"Com impostos"</formula>
    </cfRule>
  </conditionalFormatting>
  <conditionalFormatting sqref="V29">
    <cfRule type="cellIs" operator="equal" dxfId="64" priority="64">
      <formula>"Mercado Envios grátis"</formula>
    </cfRule>
  </conditionalFormatting>
  <conditionalFormatting sqref="W29">
    <cfRule type="cellIs" operator="equal" dxfId="65" priority="65">
      <formula>"Premium"</formula>
    </cfRule>
  </conditionalFormatting>
  <conditionalFormatting sqref="J30">
    <cfRule type="cellIs" operator="equal" dxfId="66" priority="66">
      <formula>"R$"</formula>
    </cfRule>
  </conditionalFormatting>
  <conditionalFormatting sqref="K30">
    <cfRule type="cellIs" operator="equal" dxfId="67" priority="67">
      <formula>"Com impostos"</formula>
    </cfRule>
  </conditionalFormatting>
  <conditionalFormatting sqref="V30">
    <cfRule type="cellIs" operator="equal" dxfId="68" priority="68">
      <formula>"Mercado Envios grátis"</formula>
    </cfRule>
  </conditionalFormatting>
  <conditionalFormatting sqref="W30">
    <cfRule type="cellIs" operator="equal" dxfId="69" priority="69">
      <formula>"Clássico"</formula>
    </cfRule>
  </conditionalFormatting>
  <conditionalFormatting sqref="J31">
    <cfRule type="cellIs" operator="equal" dxfId="70" priority="70">
      <formula>"R$"</formula>
    </cfRule>
  </conditionalFormatting>
  <conditionalFormatting sqref="K31">
    <cfRule type="cellIs" operator="equal" dxfId="71" priority="71">
      <formula>"Com impostos"</formula>
    </cfRule>
  </conditionalFormatting>
  <conditionalFormatting sqref="V31">
    <cfRule type="cellIs" operator="equal" dxfId="72" priority="72">
      <formula>"Mercado Envios grátis"</formula>
    </cfRule>
  </conditionalFormatting>
  <conditionalFormatting sqref="W31">
    <cfRule type="cellIs" operator="equal" dxfId="73" priority="73">
      <formula>"Clássico"</formula>
    </cfRule>
  </conditionalFormatting>
  <conditionalFormatting sqref="J32">
    <cfRule type="cellIs" operator="equal" dxfId="74" priority="74">
      <formula>"R$"</formula>
    </cfRule>
  </conditionalFormatting>
  <conditionalFormatting sqref="K32">
    <cfRule type="cellIs" operator="equal" dxfId="75" priority="75">
      <formula>"Com impostos"</formula>
    </cfRule>
  </conditionalFormatting>
  <conditionalFormatting sqref="V32">
    <cfRule type="cellIs" operator="equal" dxfId="76" priority="76">
      <formula>"Mercado Envios por conta do comprador"</formula>
    </cfRule>
  </conditionalFormatting>
  <conditionalFormatting sqref="W32">
    <cfRule type="cellIs" operator="equal" dxfId="77" priority="77">
      <formula>"Clássico"</formula>
    </cfRule>
  </conditionalFormatting>
  <conditionalFormatting sqref="J33">
    <cfRule type="cellIs" operator="equal" dxfId="78" priority="78">
      <formula>"R$"</formula>
    </cfRule>
  </conditionalFormatting>
  <conditionalFormatting sqref="K33">
    <cfRule type="cellIs" operator="equal" dxfId="79" priority="79">
      <formula>"Com impostos"</formula>
    </cfRule>
  </conditionalFormatting>
  <conditionalFormatting sqref="V33">
    <cfRule type="cellIs" operator="equal" dxfId="80" priority="80">
      <formula>"Mercado Envios grátis"</formula>
    </cfRule>
  </conditionalFormatting>
  <conditionalFormatting sqref="W33">
    <cfRule type="cellIs" operator="equal" dxfId="81" priority="81">
      <formula>"Premium"</formula>
    </cfRule>
  </conditionalFormatting>
  <conditionalFormatting sqref="J34">
    <cfRule type="cellIs" operator="equal" dxfId="82" priority="82">
      <formula>"R$"</formula>
    </cfRule>
  </conditionalFormatting>
  <conditionalFormatting sqref="K34">
    <cfRule type="cellIs" operator="equal" dxfId="83" priority="83">
      <formula>"Com impostos"</formula>
    </cfRule>
  </conditionalFormatting>
  <conditionalFormatting sqref="V34">
    <cfRule type="cellIs" operator="equal" dxfId="84" priority="84">
      <formula>"Mercado Envios grátis"</formula>
    </cfRule>
  </conditionalFormatting>
  <conditionalFormatting sqref="W34">
    <cfRule type="cellIs" operator="equal" dxfId="85" priority="85">
      <formula>"Clássico"</formula>
    </cfRule>
  </conditionalFormatting>
  <conditionalFormatting sqref="J35">
    <cfRule type="cellIs" operator="equal" dxfId="86" priority="86">
      <formula>"R$"</formula>
    </cfRule>
  </conditionalFormatting>
  <conditionalFormatting sqref="K35">
    <cfRule type="cellIs" operator="equal" dxfId="87" priority="87">
      <formula>"Com impostos"</formula>
    </cfRule>
  </conditionalFormatting>
  <conditionalFormatting sqref="V35">
    <cfRule type="cellIs" operator="equal" dxfId="88" priority="88">
      <formula>"Mercado Envios grátis"</formula>
    </cfRule>
  </conditionalFormatting>
  <conditionalFormatting sqref="W35">
    <cfRule type="cellIs" operator="equal" dxfId="89" priority="89">
      <formula>"Premium"</formula>
    </cfRule>
  </conditionalFormatting>
  <conditionalFormatting sqref="J36">
    <cfRule type="cellIs" operator="equal" dxfId="90" priority="90">
      <formula>"R$"</formula>
    </cfRule>
  </conditionalFormatting>
  <conditionalFormatting sqref="K36">
    <cfRule type="cellIs" operator="equal" dxfId="91" priority="91">
      <formula>"Com impostos"</formula>
    </cfRule>
  </conditionalFormatting>
  <conditionalFormatting sqref="V36">
    <cfRule type="cellIs" operator="equal" dxfId="92" priority="92">
      <formula>"Mercado Envios grátis"</formula>
    </cfRule>
  </conditionalFormatting>
  <conditionalFormatting sqref="W36">
    <cfRule type="cellIs" operator="equal" dxfId="93" priority="93">
      <formula>"Clássico"</formula>
    </cfRule>
  </conditionalFormatting>
  <conditionalFormatting sqref="J37">
    <cfRule type="cellIs" operator="equal" dxfId="94" priority="94">
      <formula>"R$"</formula>
    </cfRule>
  </conditionalFormatting>
  <conditionalFormatting sqref="K37">
    <cfRule type="cellIs" operator="equal" dxfId="95" priority="95">
      <formula>"Com impostos"</formula>
    </cfRule>
  </conditionalFormatting>
  <conditionalFormatting sqref="V37">
    <cfRule type="cellIs" operator="equal" dxfId="96" priority="96">
      <formula>"Mercado Envios por conta do comprador"</formula>
    </cfRule>
  </conditionalFormatting>
  <conditionalFormatting sqref="W37">
    <cfRule type="cellIs" operator="equal" dxfId="97" priority="97">
      <formula>"Clássico"</formula>
    </cfRule>
  </conditionalFormatting>
  <conditionalFormatting sqref="J38">
    <cfRule type="cellIs" operator="equal" dxfId="98" priority="98">
      <formula>"R$"</formula>
    </cfRule>
  </conditionalFormatting>
  <conditionalFormatting sqref="K38">
    <cfRule type="cellIs" operator="equal" dxfId="99" priority="99">
      <formula>"Com impostos"</formula>
    </cfRule>
  </conditionalFormatting>
  <conditionalFormatting sqref="V38">
    <cfRule type="cellIs" operator="equal" dxfId="100" priority="100">
      <formula>"Mercado Envios grátis"</formula>
    </cfRule>
  </conditionalFormatting>
  <conditionalFormatting sqref="W38">
    <cfRule type="cellIs" operator="equal" dxfId="101" priority="101">
      <formula>"Premium"</formula>
    </cfRule>
  </conditionalFormatting>
  <conditionalFormatting sqref="J39">
    <cfRule type="cellIs" operator="equal" dxfId="102" priority="102">
      <formula>"R$"</formula>
    </cfRule>
  </conditionalFormatting>
  <conditionalFormatting sqref="K39">
    <cfRule type="cellIs" operator="equal" dxfId="103" priority="103">
      <formula>"Com impostos"</formula>
    </cfRule>
  </conditionalFormatting>
  <conditionalFormatting sqref="V39">
    <cfRule type="cellIs" operator="equal" dxfId="104" priority="104">
      <formula>"Mercado Envios grátis"</formula>
    </cfRule>
  </conditionalFormatting>
  <conditionalFormatting sqref="W39">
    <cfRule type="cellIs" operator="equal" dxfId="105" priority="105">
      <formula>"Clássico"</formula>
    </cfRule>
  </conditionalFormatting>
  <conditionalFormatting sqref="J40">
    <cfRule type="cellIs" operator="equal" dxfId="106" priority="106">
      <formula>"R$"</formula>
    </cfRule>
  </conditionalFormatting>
  <conditionalFormatting sqref="K40">
    <cfRule type="cellIs" operator="equal" dxfId="107" priority="107">
      <formula>"Com impostos"</formula>
    </cfRule>
  </conditionalFormatting>
  <conditionalFormatting sqref="V40">
    <cfRule type="cellIs" operator="equal" dxfId="108" priority="108">
      <formula>"Mercado Envios grátis"</formula>
    </cfRule>
  </conditionalFormatting>
  <conditionalFormatting sqref="W40">
    <cfRule type="cellIs" operator="equal" dxfId="109" priority="109">
      <formula>"Clássico"</formula>
    </cfRule>
  </conditionalFormatting>
  <conditionalFormatting sqref="J41">
    <cfRule type="cellIs" operator="equal" dxfId="110" priority="110">
      <formula>"R$"</formula>
    </cfRule>
  </conditionalFormatting>
  <conditionalFormatting sqref="K41">
    <cfRule type="cellIs" operator="equal" dxfId="111" priority="111">
      <formula>"Com impostos"</formula>
    </cfRule>
  </conditionalFormatting>
  <conditionalFormatting sqref="V41">
    <cfRule type="cellIs" operator="equal" dxfId="112" priority="112">
      <formula>"Mercado Envios por conta do comprador"</formula>
    </cfRule>
  </conditionalFormatting>
  <conditionalFormatting sqref="W41">
    <cfRule type="cellIs" operator="equal" dxfId="113" priority="113">
      <formula>"Clássico"</formula>
    </cfRule>
  </conditionalFormatting>
  <conditionalFormatting sqref="J42">
    <cfRule type="cellIs" operator="equal" dxfId="114" priority="114">
      <formula>"R$"</formula>
    </cfRule>
  </conditionalFormatting>
  <conditionalFormatting sqref="K42">
    <cfRule type="cellIs" operator="equal" dxfId="115" priority="115">
      <formula>"Com impostos"</formula>
    </cfRule>
  </conditionalFormatting>
  <conditionalFormatting sqref="V42">
    <cfRule type="cellIs" operator="equal" dxfId="116" priority="116">
      <formula>"Mercado Envios grátis"</formula>
    </cfRule>
  </conditionalFormatting>
  <conditionalFormatting sqref="W42">
    <cfRule type="cellIs" operator="equal" dxfId="117" priority="117">
      <formula>"Premium"</formula>
    </cfRule>
  </conditionalFormatting>
  <conditionalFormatting sqref="J43">
    <cfRule type="cellIs" operator="equal" dxfId="118" priority="118">
      <formula>"R$"</formula>
    </cfRule>
  </conditionalFormatting>
  <conditionalFormatting sqref="K43">
    <cfRule type="cellIs" operator="equal" dxfId="119" priority="119">
      <formula>"Com impostos"</formula>
    </cfRule>
  </conditionalFormatting>
  <conditionalFormatting sqref="V43">
    <cfRule type="cellIs" operator="equal" dxfId="120" priority="120">
      <formula>"Mercado Envios grátis"</formula>
    </cfRule>
  </conditionalFormatting>
  <conditionalFormatting sqref="W43">
    <cfRule type="cellIs" operator="equal" dxfId="121" priority="121">
      <formula>"Premium"</formula>
    </cfRule>
  </conditionalFormatting>
  <conditionalFormatting sqref="J44">
    <cfRule type="cellIs" operator="equal" dxfId="122" priority="122">
      <formula>"R$"</formula>
    </cfRule>
  </conditionalFormatting>
  <conditionalFormatting sqref="K44">
    <cfRule type="cellIs" operator="equal" dxfId="123" priority="123">
      <formula>"Com impostos"</formula>
    </cfRule>
  </conditionalFormatting>
  <conditionalFormatting sqref="V44">
    <cfRule type="cellIs" operator="equal" dxfId="124" priority="124">
      <formula>"Mercado Envios grátis"</formula>
    </cfRule>
  </conditionalFormatting>
  <conditionalFormatting sqref="W44">
    <cfRule type="cellIs" operator="equal" dxfId="125" priority="125">
      <formula>"Clássico"</formula>
    </cfRule>
  </conditionalFormatting>
  <conditionalFormatting sqref="J45">
    <cfRule type="cellIs" operator="equal" dxfId="126" priority="126">
      <formula>"R$"</formula>
    </cfRule>
  </conditionalFormatting>
  <conditionalFormatting sqref="K45">
    <cfRule type="cellIs" operator="equal" dxfId="127" priority="127">
      <formula>"Com impostos"</formula>
    </cfRule>
  </conditionalFormatting>
  <conditionalFormatting sqref="V45">
    <cfRule type="cellIs" operator="equal" dxfId="128" priority="128">
      <formula>"Mercado Envios grátis"</formula>
    </cfRule>
  </conditionalFormatting>
  <conditionalFormatting sqref="W45">
    <cfRule type="cellIs" operator="equal" dxfId="129" priority="129">
      <formula>"Clássico"</formula>
    </cfRule>
  </conditionalFormatting>
  <conditionalFormatting sqref="J46">
    <cfRule type="cellIs" operator="equal" dxfId="130" priority="130">
      <formula>"R$"</formula>
    </cfRule>
  </conditionalFormatting>
  <conditionalFormatting sqref="K46">
    <cfRule type="cellIs" operator="equal" dxfId="131" priority="131">
      <formula>"Com impostos"</formula>
    </cfRule>
  </conditionalFormatting>
  <conditionalFormatting sqref="V46">
    <cfRule type="cellIs" operator="equal" dxfId="132" priority="132">
      <formula>"Mercado Envios grátis"</formula>
    </cfRule>
  </conditionalFormatting>
  <conditionalFormatting sqref="W46">
    <cfRule type="cellIs" operator="equal" dxfId="133" priority="133">
      <formula>"Premium"</formula>
    </cfRule>
  </conditionalFormatting>
  <conditionalFormatting sqref="J47">
    <cfRule type="cellIs" operator="equal" dxfId="134" priority="134">
      <formula>"R$"</formula>
    </cfRule>
  </conditionalFormatting>
  <conditionalFormatting sqref="K47">
    <cfRule type="cellIs" operator="equal" dxfId="135" priority="135">
      <formula>"Com impostos"</formula>
    </cfRule>
  </conditionalFormatting>
  <conditionalFormatting sqref="V47">
    <cfRule type="cellIs" operator="equal" dxfId="136" priority="136">
      <formula>"Mercado Envios grátis"</formula>
    </cfRule>
  </conditionalFormatting>
  <conditionalFormatting sqref="W47">
    <cfRule type="cellIs" operator="equal" dxfId="137" priority="137">
      <formula>"Premium"</formula>
    </cfRule>
  </conditionalFormatting>
  <conditionalFormatting sqref="J48">
    <cfRule type="cellIs" operator="equal" dxfId="138" priority="138">
      <formula>"R$"</formula>
    </cfRule>
  </conditionalFormatting>
  <conditionalFormatting sqref="K48">
    <cfRule type="cellIs" operator="equal" dxfId="139" priority="139">
      <formula>"Com impostos"</formula>
    </cfRule>
  </conditionalFormatting>
  <conditionalFormatting sqref="V48">
    <cfRule type="cellIs" operator="equal" dxfId="140" priority="140">
      <formula>"Mercado Envios grátis"</formula>
    </cfRule>
  </conditionalFormatting>
  <conditionalFormatting sqref="W48">
    <cfRule type="cellIs" operator="equal" dxfId="141" priority="141">
      <formula>"Clássico"</formula>
    </cfRule>
  </conditionalFormatting>
  <conditionalFormatting sqref="J49">
    <cfRule type="cellIs" operator="equal" dxfId="142" priority="142">
      <formula>"R$"</formula>
    </cfRule>
  </conditionalFormatting>
  <conditionalFormatting sqref="K49">
    <cfRule type="cellIs" operator="equal" dxfId="143" priority="143">
      <formula>"Com impostos"</formula>
    </cfRule>
  </conditionalFormatting>
  <conditionalFormatting sqref="V49">
    <cfRule type="cellIs" operator="equal" dxfId="144" priority="144">
      <formula>"Mercado Envios por conta do comprador"</formula>
    </cfRule>
  </conditionalFormatting>
  <conditionalFormatting sqref="W49">
    <cfRule type="cellIs" operator="equal" dxfId="145" priority="145">
      <formula>"Clássico"</formula>
    </cfRule>
  </conditionalFormatting>
  <conditionalFormatting sqref="J50">
    <cfRule type="cellIs" operator="equal" dxfId="146" priority="146">
      <formula>"R$"</formula>
    </cfRule>
  </conditionalFormatting>
  <conditionalFormatting sqref="V50">
    <cfRule type="cellIs" operator="equal" dxfId="147" priority="147">
      <formula>"Mercado Envios grátis"</formula>
    </cfRule>
  </conditionalFormatting>
  <conditionalFormatting sqref="W50">
    <cfRule type="cellIs" operator="equal" dxfId="148" priority="148">
      <formula>"Clássico"</formula>
    </cfRule>
  </conditionalFormatting>
  <conditionalFormatting sqref="J63">
    <cfRule type="cellIs" operator="equal" dxfId="149" priority="149">
      <formula>"R$"</formula>
    </cfRule>
  </conditionalFormatting>
  <conditionalFormatting sqref="K63">
    <cfRule type="cellIs" operator="equal" dxfId="150" priority="150">
      <formula>"Com impostos"</formula>
    </cfRule>
  </conditionalFormatting>
  <conditionalFormatting sqref="V63">
    <cfRule type="cellIs" operator="equal" dxfId="151" priority="151">
      <formula>"Mercado Envios por conta do comprador"</formula>
    </cfRule>
  </conditionalFormatting>
  <conditionalFormatting sqref="W63">
    <cfRule type="cellIs" operator="equal" dxfId="152" priority="152">
      <formula>"Clássico"</formula>
    </cfRule>
  </conditionalFormatting>
  <conditionalFormatting sqref="J64">
    <cfRule type="cellIs" operator="equal" dxfId="153" priority="153">
      <formula>"R$"</formula>
    </cfRule>
  </conditionalFormatting>
  <conditionalFormatting sqref="K64">
    <cfRule type="cellIs" operator="equal" dxfId="154" priority="154">
      <formula>"Com impostos"</formula>
    </cfRule>
  </conditionalFormatting>
  <conditionalFormatting sqref="V64">
    <cfRule type="cellIs" operator="equal" dxfId="155" priority="155">
      <formula>"Mercado Envios por conta do comprador"</formula>
    </cfRule>
  </conditionalFormatting>
  <conditionalFormatting sqref="W64">
    <cfRule type="cellIs" operator="equal" dxfId="156" priority="156">
      <formula>"Clássico"</formula>
    </cfRule>
  </conditionalFormatting>
  <conditionalFormatting sqref="J65">
    <cfRule type="cellIs" operator="equal" dxfId="157" priority="157">
      <formula>"R$"</formula>
    </cfRule>
  </conditionalFormatting>
  <conditionalFormatting sqref="K65">
    <cfRule type="cellIs" operator="equal" dxfId="158" priority="158">
      <formula>"Com impostos"</formula>
    </cfRule>
  </conditionalFormatting>
  <conditionalFormatting sqref="V65">
    <cfRule type="cellIs" operator="equal" dxfId="159" priority="159">
      <formula>"Mercado Envios por conta do comprador"</formula>
    </cfRule>
  </conditionalFormatting>
  <conditionalFormatting sqref="W65">
    <cfRule type="cellIs" operator="equal" dxfId="160" priority="160">
      <formula>"Clássico"</formula>
    </cfRule>
  </conditionalFormatting>
  <conditionalFormatting sqref="J66">
    <cfRule type="cellIs" operator="equal" dxfId="161" priority="161">
      <formula>"R$"</formula>
    </cfRule>
  </conditionalFormatting>
  <conditionalFormatting sqref="K66">
    <cfRule type="cellIs" operator="equal" dxfId="162" priority="162">
      <formula>"Com impostos"</formula>
    </cfRule>
  </conditionalFormatting>
  <conditionalFormatting sqref="V66">
    <cfRule type="cellIs" operator="equal" dxfId="163" priority="163">
      <formula>"Mercado Envios grátis"</formula>
    </cfRule>
  </conditionalFormatting>
  <conditionalFormatting sqref="W66">
    <cfRule type="cellIs" operator="equal" dxfId="164" priority="164">
      <formula>"Clássico"</formula>
    </cfRule>
  </conditionalFormatting>
  <conditionalFormatting sqref="J67">
    <cfRule type="cellIs" operator="equal" dxfId="165" priority="165">
      <formula>"R$"</formula>
    </cfRule>
  </conditionalFormatting>
  <conditionalFormatting sqref="K67">
    <cfRule type="cellIs" operator="equal" dxfId="166" priority="166">
      <formula>"Com impostos"</formula>
    </cfRule>
  </conditionalFormatting>
  <conditionalFormatting sqref="V67">
    <cfRule type="cellIs" operator="equal" dxfId="167" priority="167">
      <formula>"Mercado Envios por conta do comprador"</formula>
    </cfRule>
  </conditionalFormatting>
  <conditionalFormatting sqref="W67">
    <cfRule type="cellIs" operator="equal" dxfId="168" priority="168">
      <formula>"Premium"</formula>
    </cfRule>
  </conditionalFormatting>
  <conditionalFormatting sqref="J68">
    <cfRule type="cellIs" operator="equal" dxfId="169" priority="169">
      <formula>"R$"</formula>
    </cfRule>
  </conditionalFormatting>
  <conditionalFormatting sqref="K68">
    <cfRule type="cellIs" operator="equal" dxfId="170" priority="170">
      <formula>"Com impostos"</formula>
    </cfRule>
  </conditionalFormatting>
  <conditionalFormatting sqref="V68">
    <cfRule type="cellIs" operator="equal" dxfId="171" priority="171">
      <formula>"Mercado Envios grátis"</formula>
    </cfRule>
  </conditionalFormatting>
  <conditionalFormatting sqref="W68">
    <cfRule type="cellIs" operator="equal" dxfId="172" priority="172">
      <formula>"Premium"</formula>
    </cfRule>
  </conditionalFormatting>
  <conditionalFormatting sqref="J69">
    <cfRule type="cellIs" operator="equal" dxfId="173" priority="173">
      <formula>"R$"</formula>
    </cfRule>
  </conditionalFormatting>
  <conditionalFormatting sqref="V69">
    <cfRule type="cellIs" operator="equal" dxfId="174" priority="174">
      <formula>"Mercado Envios grátis"</formula>
    </cfRule>
  </conditionalFormatting>
  <conditionalFormatting sqref="W69">
    <cfRule type="cellIs" operator="equal" dxfId="175" priority="175">
      <formula>"Clássico"</formula>
    </cfRule>
  </conditionalFormatting>
  <conditionalFormatting sqref="J82">
    <cfRule type="cellIs" operator="equal" dxfId="176" priority="176">
      <formula>"R$"</formula>
    </cfRule>
  </conditionalFormatting>
  <conditionalFormatting sqref="K82">
    <cfRule type="cellIs" operator="equal" dxfId="177" priority="177">
      <formula>"Com impostos"</formula>
    </cfRule>
  </conditionalFormatting>
  <conditionalFormatting sqref="V82">
    <cfRule type="cellIs" operator="equal" dxfId="178" priority="178">
      <formula>"Mercado Envios grátis"</formula>
    </cfRule>
  </conditionalFormatting>
  <conditionalFormatting sqref="W82">
    <cfRule type="cellIs" operator="equal" dxfId="179" priority="179">
      <formula>"Clássico"</formula>
    </cfRule>
  </conditionalFormatting>
  <conditionalFormatting sqref="J83">
    <cfRule type="cellIs" operator="equal" dxfId="180" priority="180">
      <formula>"R$"</formula>
    </cfRule>
  </conditionalFormatting>
  <conditionalFormatting sqref="K83">
    <cfRule type="cellIs" operator="equal" dxfId="181" priority="181">
      <formula>"Com impostos"</formula>
    </cfRule>
  </conditionalFormatting>
  <conditionalFormatting sqref="V83">
    <cfRule type="cellIs" operator="equal" dxfId="182" priority="182">
      <formula>"Mercado Envios grátis"</formula>
    </cfRule>
  </conditionalFormatting>
  <conditionalFormatting sqref="W83">
    <cfRule type="cellIs" operator="equal" dxfId="183" priority="183">
      <formula>"Clássico"</formula>
    </cfRule>
  </conditionalFormatting>
  <conditionalFormatting sqref="J84">
    <cfRule type="cellIs" operator="equal" dxfId="184" priority="184">
      <formula>"R$"</formula>
    </cfRule>
  </conditionalFormatting>
  <conditionalFormatting sqref="K84">
    <cfRule type="cellIs" operator="equal" dxfId="185" priority="185">
      <formula>"Com impostos"</formula>
    </cfRule>
  </conditionalFormatting>
  <conditionalFormatting sqref="V84">
    <cfRule type="cellIs" operator="equal" dxfId="186" priority="186">
      <formula>"Mercado Envios grátis"</formula>
    </cfRule>
  </conditionalFormatting>
  <conditionalFormatting sqref="W84">
    <cfRule type="cellIs" operator="equal" dxfId="187" priority="187">
      <formula>"Clássico"</formula>
    </cfRule>
  </conditionalFormatting>
  <conditionalFormatting sqref="J85">
    <cfRule type="cellIs" operator="equal" dxfId="188" priority="188">
      <formula>"R$"</formula>
    </cfRule>
  </conditionalFormatting>
  <conditionalFormatting sqref="K85">
    <cfRule type="cellIs" operator="equal" dxfId="189" priority="189">
      <formula>"Com impostos"</formula>
    </cfRule>
  </conditionalFormatting>
  <conditionalFormatting sqref="V85">
    <cfRule type="cellIs" operator="equal" dxfId="190" priority="190">
      <formula>"Mercado Envios por conta do comprador"</formula>
    </cfRule>
  </conditionalFormatting>
  <conditionalFormatting sqref="W85">
    <cfRule type="cellIs" operator="equal" dxfId="191" priority="191">
      <formula>"Clássico"</formula>
    </cfRule>
  </conditionalFormatting>
  <conditionalFormatting sqref="J86">
    <cfRule type="cellIs" operator="equal" dxfId="192" priority="192">
      <formula>"R$"</formula>
    </cfRule>
  </conditionalFormatting>
  <conditionalFormatting sqref="V86">
    <cfRule type="cellIs" operator="equal" dxfId="193" priority="193">
      <formula>"Mercado Envios grátis"</formula>
    </cfRule>
  </conditionalFormatting>
  <conditionalFormatting sqref="W86">
    <cfRule type="cellIs" operator="equal" dxfId="194" priority="194">
      <formula>"Premium"</formula>
    </cfRule>
  </conditionalFormatting>
  <conditionalFormatting sqref="J89">
    <cfRule type="cellIs" operator="equal" dxfId="195" priority="195">
      <formula>"R$"</formula>
    </cfRule>
  </conditionalFormatting>
  <conditionalFormatting sqref="V89">
    <cfRule type="cellIs" operator="equal" dxfId="196" priority="196">
      <formula>"Mercado Envios grátis"</formula>
    </cfRule>
  </conditionalFormatting>
  <conditionalFormatting sqref="W89">
    <cfRule type="cellIs" operator="equal" dxfId="197" priority="197">
      <formula>"Clássico"</formula>
    </cfRule>
  </conditionalFormatting>
  <conditionalFormatting sqref="J92">
    <cfRule type="cellIs" operator="equal" dxfId="198" priority="198">
      <formula>"R$"</formula>
    </cfRule>
  </conditionalFormatting>
  <conditionalFormatting sqref="K92">
    <cfRule type="cellIs" operator="equal" dxfId="199" priority="199">
      <formula>"Com impostos"</formula>
    </cfRule>
  </conditionalFormatting>
  <conditionalFormatting sqref="V92">
    <cfRule type="cellIs" operator="equal" dxfId="200" priority="200">
      <formula>"Mercado Envios grátis"</formula>
    </cfRule>
  </conditionalFormatting>
  <conditionalFormatting sqref="W92">
    <cfRule type="cellIs" operator="equal" dxfId="201" priority="201">
      <formula>"Clássico"</formula>
    </cfRule>
  </conditionalFormatting>
  <conditionalFormatting sqref="J93">
    <cfRule type="cellIs" operator="equal" dxfId="202" priority="202">
      <formula>"R$"</formula>
    </cfRule>
  </conditionalFormatting>
  <conditionalFormatting sqref="K93">
    <cfRule type="cellIs" operator="equal" dxfId="203" priority="203">
      <formula>"Com impostos"</formula>
    </cfRule>
  </conditionalFormatting>
  <conditionalFormatting sqref="V93">
    <cfRule type="cellIs" operator="equal" dxfId="204" priority="204">
      <formula>"Mercado Envios grátis"</formula>
    </cfRule>
  </conditionalFormatting>
  <conditionalFormatting sqref="W93">
    <cfRule type="cellIs" operator="equal" dxfId="205" priority="205">
      <formula>"Premium"</formula>
    </cfRule>
  </conditionalFormatting>
  <conditionalFormatting sqref="J94">
    <cfRule type="cellIs" operator="equal" dxfId="206" priority="206">
      <formula>"R$"</formula>
    </cfRule>
  </conditionalFormatting>
  <conditionalFormatting sqref="K94">
    <cfRule type="cellIs" operator="equal" dxfId="207" priority="207">
      <formula>"Com impostos"</formula>
    </cfRule>
  </conditionalFormatting>
  <conditionalFormatting sqref="V94">
    <cfRule type="cellIs" operator="equal" dxfId="208" priority="208">
      <formula>"Mercado Envios grátis"</formula>
    </cfRule>
  </conditionalFormatting>
  <conditionalFormatting sqref="W94">
    <cfRule type="cellIs" operator="equal" dxfId="209" priority="209">
      <formula>"Premium"</formula>
    </cfRule>
  </conditionalFormatting>
  <conditionalFormatting sqref="J95">
    <cfRule type="cellIs" operator="equal" dxfId="210" priority="210">
      <formula>"R$"</formula>
    </cfRule>
  </conditionalFormatting>
  <conditionalFormatting sqref="K95">
    <cfRule type="cellIs" operator="equal" dxfId="211" priority="211">
      <formula>"Com impostos"</formula>
    </cfRule>
  </conditionalFormatting>
  <conditionalFormatting sqref="V95">
    <cfRule type="cellIs" operator="equal" dxfId="212" priority="212">
      <formula>"Mercado Envios por conta do comprador"</formula>
    </cfRule>
  </conditionalFormatting>
  <conditionalFormatting sqref="W95">
    <cfRule type="cellIs" operator="equal" dxfId="213" priority="213">
      <formula>"Premium"</formula>
    </cfRule>
  </conditionalFormatting>
  <conditionalFormatting sqref="J96">
    <cfRule type="cellIs" operator="equal" dxfId="214" priority="214">
      <formula>"R$"</formula>
    </cfRule>
  </conditionalFormatting>
  <conditionalFormatting sqref="K96">
    <cfRule type="cellIs" operator="equal" dxfId="215" priority="215">
      <formula>"Com impostos"</formula>
    </cfRule>
  </conditionalFormatting>
  <conditionalFormatting sqref="V96">
    <cfRule type="cellIs" operator="equal" dxfId="216" priority="216">
      <formula>"Mercado Envios grátis"</formula>
    </cfRule>
  </conditionalFormatting>
  <conditionalFormatting sqref="W96">
    <cfRule type="cellIs" operator="equal" dxfId="217" priority="217">
      <formula>"Premium"</formula>
    </cfRule>
  </conditionalFormatting>
  <conditionalFormatting sqref="J97">
    <cfRule type="cellIs" operator="equal" dxfId="218" priority="218">
      <formula>"R$"</formula>
    </cfRule>
  </conditionalFormatting>
  <conditionalFormatting sqref="K97">
    <cfRule type="cellIs" operator="equal" dxfId="219" priority="219">
      <formula>"Com impostos"</formula>
    </cfRule>
  </conditionalFormatting>
  <conditionalFormatting sqref="V97">
    <cfRule type="cellIs" operator="equal" dxfId="220" priority="220">
      <formula>"Mercado Envios grátis"</formula>
    </cfRule>
  </conditionalFormatting>
  <conditionalFormatting sqref="W97">
    <cfRule type="cellIs" operator="equal" dxfId="221" priority="221">
      <formula>"Clássico"</formula>
    </cfRule>
  </conditionalFormatting>
  <conditionalFormatting sqref="J98">
    <cfRule type="cellIs" operator="equal" dxfId="222" priority="222">
      <formula>"R$"</formula>
    </cfRule>
  </conditionalFormatting>
  <conditionalFormatting sqref="V98">
    <cfRule type="cellIs" operator="equal" dxfId="223" priority="223">
      <formula>"Mercado Envios grátis"</formula>
    </cfRule>
  </conditionalFormatting>
  <conditionalFormatting sqref="W98">
    <cfRule type="cellIs" operator="equal" dxfId="224" priority="224">
      <formula>"Premium"</formula>
    </cfRule>
  </conditionalFormatting>
  <conditionalFormatting sqref="J101">
    <cfRule type="cellIs" operator="equal" dxfId="225" priority="225">
      <formula>"R$"</formula>
    </cfRule>
  </conditionalFormatting>
  <conditionalFormatting sqref="K101">
    <cfRule type="cellIs" operator="equal" dxfId="226" priority="226">
      <formula>"Com impostos"</formula>
    </cfRule>
  </conditionalFormatting>
  <conditionalFormatting sqref="V101">
    <cfRule type="cellIs" operator="equal" dxfId="227" priority="227">
      <formula>"Mercado Envios por conta do comprador"</formula>
    </cfRule>
  </conditionalFormatting>
  <conditionalFormatting sqref="W101">
    <cfRule type="cellIs" operator="equal" dxfId="228" priority="228">
      <formula>"Clássico"</formula>
    </cfRule>
  </conditionalFormatting>
  <conditionalFormatting sqref="J102">
    <cfRule type="cellIs" operator="equal" dxfId="229" priority="229">
      <formula>"R$"</formula>
    </cfRule>
  </conditionalFormatting>
  <conditionalFormatting sqref="V102">
    <cfRule type="cellIs" operator="equal" dxfId="230" priority="230">
      <formula>"Mercado Envios grátis"</formula>
    </cfRule>
  </conditionalFormatting>
  <conditionalFormatting sqref="W102">
    <cfRule type="cellIs" operator="equal" dxfId="231" priority="231">
      <formula>"Premium"</formula>
    </cfRule>
  </conditionalFormatting>
  <conditionalFormatting sqref="J105">
    <cfRule type="cellIs" operator="equal" dxfId="232" priority="232">
      <formula>"R$"</formula>
    </cfRule>
  </conditionalFormatting>
  <conditionalFormatting sqref="K105">
    <cfRule type="cellIs" operator="equal" dxfId="233" priority="233">
      <formula>"Com impostos"</formula>
    </cfRule>
  </conditionalFormatting>
  <conditionalFormatting sqref="V105">
    <cfRule type="cellIs" operator="equal" dxfId="234" priority="234">
      <formula>"Mercado Envios grátis"</formula>
    </cfRule>
  </conditionalFormatting>
  <conditionalFormatting sqref="W105">
    <cfRule type="cellIs" operator="equal" dxfId="235" priority="235">
      <formula>"Premium"</formula>
    </cfRule>
  </conditionalFormatting>
  <conditionalFormatting sqref="J106">
    <cfRule type="cellIs" operator="equal" dxfId="236" priority="236">
      <formula>"R$"</formula>
    </cfRule>
  </conditionalFormatting>
  <conditionalFormatting sqref="V106">
    <cfRule type="cellIs" operator="equal" dxfId="237" priority="237">
      <formula>"Mercado Envios grátis"</formula>
    </cfRule>
  </conditionalFormatting>
  <conditionalFormatting sqref="W106">
    <cfRule type="cellIs" operator="equal" dxfId="238" priority="238">
      <formula>"Clássico"</formula>
    </cfRule>
  </conditionalFormatting>
  <conditionalFormatting sqref="J109">
    <cfRule type="cellIs" operator="equal" dxfId="239" priority="239">
      <formula>"R$"</formula>
    </cfRule>
  </conditionalFormatting>
  <conditionalFormatting sqref="K109">
    <cfRule type="cellIs" operator="equal" dxfId="240" priority="240">
      <formula>"Com impostos"</formula>
    </cfRule>
  </conditionalFormatting>
  <conditionalFormatting sqref="V109">
    <cfRule type="cellIs" operator="equal" dxfId="241" priority="241">
      <formula>"Mercado Envios grátis"</formula>
    </cfRule>
  </conditionalFormatting>
  <conditionalFormatting sqref="W109">
    <cfRule type="cellIs" operator="equal" dxfId="242" priority="242">
      <formula>"Clássico"</formula>
    </cfRule>
  </conditionalFormatting>
  <conditionalFormatting sqref="J110">
    <cfRule type="cellIs" operator="equal" dxfId="243" priority="243">
      <formula>"R$"</formula>
    </cfRule>
  </conditionalFormatting>
  <conditionalFormatting sqref="K110">
    <cfRule type="cellIs" operator="equal" dxfId="244" priority="244">
      <formula>"Com impostos"</formula>
    </cfRule>
  </conditionalFormatting>
  <conditionalFormatting sqref="V110">
    <cfRule type="cellIs" operator="equal" dxfId="245" priority="245">
      <formula>"Mercado Envios grátis"</formula>
    </cfRule>
  </conditionalFormatting>
  <conditionalFormatting sqref="W110">
    <cfRule type="cellIs" operator="equal" dxfId="246" priority="246">
      <formula>"Premium"</formula>
    </cfRule>
  </conditionalFormatting>
  <conditionalFormatting sqref="J111">
    <cfRule type="cellIs" operator="equal" dxfId="247" priority="247">
      <formula>"R$"</formula>
    </cfRule>
  </conditionalFormatting>
  <conditionalFormatting sqref="K111">
    <cfRule type="cellIs" operator="equal" dxfId="248" priority="248">
      <formula>"Com impostos"</formula>
    </cfRule>
  </conditionalFormatting>
  <conditionalFormatting sqref="V111">
    <cfRule type="cellIs" operator="equal" dxfId="249" priority="249">
      <formula>"Mercado Envios grátis"</formula>
    </cfRule>
  </conditionalFormatting>
  <conditionalFormatting sqref="W111">
    <cfRule type="cellIs" operator="equal" dxfId="250" priority="250">
      <formula>"Clássico"</formula>
    </cfRule>
  </conditionalFormatting>
  <conditionalFormatting sqref="J112">
    <cfRule type="cellIs" operator="equal" dxfId="251" priority="251">
      <formula>"R$"</formula>
    </cfRule>
  </conditionalFormatting>
  <conditionalFormatting sqref="K112">
    <cfRule type="cellIs" operator="equal" dxfId="252" priority="252">
      <formula>"Com impostos"</formula>
    </cfRule>
  </conditionalFormatting>
  <conditionalFormatting sqref="V112">
    <cfRule type="cellIs" operator="equal" dxfId="253" priority="253">
      <formula>"Mercado Envios grátis"</formula>
    </cfRule>
  </conditionalFormatting>
  <conditionalFormatting sqref="W112">
    <cfRule type="cellIs" operator="equal" dxfId="254" priority="254">
      <formula>"Clássico"</formula>
    </cfRule>
  </conditionalFormatting>
  <conditionalFormatting sqref="J113">
    <cfRule type="cellIs" operator="equal" dxfId="255" priority="255">
      <formula>"R$"</formula>
    </cfRule>
  </conditionalFormatting>
  <conditionalFormatting sqref="K113">
    <cfRule type="cellIs" operator="equal" dxfId="256" priority="256">
      <formula>"Com impostos"</formula>
    </cfRule>
  </conditionalFormatting>
  <conditionalFormatting sqref="V113">
    <cfRule type="cellIs" operator="equal" dxfId="257" priority="257">
      <formula>"Mercado Envios grátis"</formula>
    </cfRule>
  </conditionalFormatting>
  <conditionalFormatting sqref="W113">
    <cfRule type="cellIs" operator="equal" dxfId="258" priority="258">
      <formula>"Premium"</formula>
    </cfRule>
  </conditionalFormatting>
  <conditionalFormatting sqref="J114">
    <cfRule type="cellIs" operator="equal" dxfId="259" priority="259">
      <formula>"R$"</formula>
    </cfRule>
  </conditionalFormatting>
  <conditionalFormatting sqref="V114">
    <cfRule type="cellIs" operator="equal" dxfId="260" priority="260">
      <formula>"Mercado Envios grátis"</formula>
    </cfRule>
  </conditionalFormatting>
  <conditionalFormatting sqref="W114">
    <cfRule type="cellIs" operator="equal" dxfId="261" priority="261">
      <formula>"Clássico"</formula>
    </cfRule>
  </conditionalFormatting>
  <conditionalFormatting sqref="J117">
    <cfRule type="cellIs" operator="equal" dxfId="262" priority="262">
      <formula>"R$"</formula>
    </cfRule>
  </conditionalFormatting>
  <conditionalFormatting sqref="K117">
    <cfRule type="cellIs" operator="equal" dxfId="263" priority="263">
      <formula>"Com impostos"</formula>
    </cfRule>
  </conditionalFormatting>
  <conditionalFormatting sqref="V117">
    <cfRule type="cellIs" operator="equal" dxfId="264" priority="264">
      <formula>"Mercado Envios grátis"</formula>
    </cfRule>
  </conditionalFormatting>
  <conditionalFormatting sqref="W117">
    <cfRule type="cellIs" operator="equal" dxfId="265" priority="265">
      <formula>"Premium"</formula>
    </cfRule>
  </conditionalFormatting>
  <conditionalFormatting sqref="J118">
    <cfRule type="cellIs" operator="equal" dxfId="266" priority="266">
      <formula>"R$"</formula>
    </cfRule>
  </conditionalFormatting>
  <conditionalFormatting sqref="K118">
    <cfRule type="cellIs" operator="equal" dxfId="267" priority="267">
      <formula>"Com impostos"</formula>
    </cfRule>
  </conditionalFormatting>
  <conditionalFormatting sqref="V118">
    <cfRule type="cellIs" operator="equal" dxfId="268" priority="268">
      <formula>"Mercado Envios grátis"</formula>
    </cfRule>
  </conditionalFormatting>
  <conditionalFormatting sqref="W118">
    <cfRule type="cellIs" operator="equal" dxfId="269" priority="269">
      <formula>"Clássico"</formula>
    </cfRule>
  </conditionalFormatting>
  <conditionalFormatting sqref="J119">
    <cfRule type="cellIs" operator="equal" dxfId="270" priority="270">
      <formula>"R$"</formula>
    </cfRule>
  </conditionalFormatting>
  <conditionalFormatting sqref="K119">
    <cfRule type="cellIs" operator="equal" dxfId="271" priority="271">
      <formula>"Com impostos"</formula>
    </cfRule>
  </conditionalFormatting>
  <conditionalFormatting sqref="V119">
    <cfRule type="cellIs" operator="equal" dxfId="272" priority="272">
      <formula>"Mercado Envios grátis"</formula>
    </cfRule>
  </conditionalFormatting>
  <conditionalFormatting sqref="W119">
    <cfRule type="cellIs" operator="equal" dxfId="273" priority="273">
      <formula>"Premium"</formula>
    </cfRule>
  </conditionalFormatting>
  <conditionalFormatting sqref="J120">
    <cfRule type="cellIs" operator="equal" dxfId="274" priority="274">
      <formula>"R$"</formula>
    </cfRule>
  </conditionalFormatting>
  <conditionalFormatting sqref="K120">
    <cfRule type="cellIs" operator="equal" dxfId="275" priority="275">
      <formula>"Com impostos"</formula>
    </cfRule>
  </conditionalFormatting>
  <conditionalFormatting sqref="V120">
    <cfRule type="cellIs" operator="equal" dxfId="276" priority="276">
      <formula>"Mercado Envios por conta do comprador"</formula>
    </cfRule>
  </conditionalFormatting>
  <conditionalFormatting sqref="W120">
    <cfRule type="cellIs" operator="equal" dxfId="277" priority="277">
      <formula>"Clássico"</formula>
    </cfRule>
  </conditionalFormatting>
  <conditionalFormatting sqref="J121">
    <cfRule type="cellIs" operator="equal" dxfId="278" priority="278">
      <formula>"R$"</formula>
    </cfRule>
  </conditionalFormatting>
  <conditionalFormatting sqref="K121">
    <cfRule type="cellIs" operator="equal" dxfId="279" priority="279">
      <formula>"Com impostos"</formula>
    </cfRule>
  </conditionalFormatting>
  <conditionalFormatting sqref="V121">
    <cfRule type="cellIs" operator="equal" dxfId="280" priority="280">
      <formula>"Mercado Envios por conta do comprador"</formula>
    </cfRule>
  </conditionalFormatting>
  <conditionalFormatting sqref="W121">
    <cfRule type="cellIs" operator="equal" dxfId="281" priority="281">
      <formula>"Clássico"</formula>
    </cfRule>
  </conditionalFormatting>
  <conditionalFormatting sqref="J122">
    <cfRule type="cellIs" operator="equal" dxfId="282" priority="282">
      <formula>"R$"</formula>
    </cfRule>
  </conditionalFormatting>
  <conditionalFormatting sqref="K122">
    <cfRule type="cellIs" operator="equal" dxfId="283" priority="283">
      <formula>"Com impostos"</formula>
    </cfRule>
  </conditionalFormatting>
  <conditionalFormatting sqref="V122">
    <cfRule type="cellIs" operator="equal" dxfId="284" priority="284">
      <formula>"Mercado Envios grátis"</formula>
    </cfRule>
  </conditionalFormatting>
  <conditionalFormatting sqref="W122">
    <cfRule type="cellIs" operator="equal" dxfId="285" priority="285">
      <formula>"Premium"</formula>
    </cfRule>
  </conditionalFormatting>
  <conditionalFormatting sqref="J123">
    <cfRule type="cellIs" operator="equal" dxfId="286" priority="286">
      <formula>"R$"</formula>
    </cfRule>
  </conditionalFormatting>
  <conditionalFormatting sqref="K123">
    <cfRule type="cellIs" operator="equal" dxfId="287" priority="287">
      <formula>"Com impostos"</formula>
    </cfRule>
  </conditionalFormatting>
  <conditionalFormatting sqref="V123">
    <cfRule type="cellIs" operator="equal" dxfId="288" priority="288">
      <formula>"Mercado Envios grátis"</formula>
    </cfRule>
  </conditionalFormatting>
  <conditionalFormatting sqref="W123">
    <cfRule type="cellIs" operator="equal" dxfId="289" priority="289">
      <formula>"Premium"</formula>
    </cfRule>
  </conditionalFormatting>
  <conditionalFormatting sqref="J124">
    <cfRule type="cellIs" operator="equal" dxfId="290" priority="290">
      <formula>"R$"</formula>
    </cfRule>
  </conditionalFormatting>
  <conditionalFormatting sqref="K124">
    <cfRule type="cellIs" operator="equal" dxfId="291" priority="291">
      <formula>"Com impostos"</formula>
    </cfRule>
  </conditionalFormatting>
  <conditionalFormatting sqref="V124">
    <cfRule type="cellIs" operator="equal" dxfId="292" priority="292">
      <formula>"Mercado Envios por conta do comprador"</formula>
    </cfRule>
  </conditionalFormatting>
  <conditionalFormatting sqref="W124">
    <cfRule type="cellIs" operator="equal" dxfId="293" priority="293">
      <formula>"Clássico"</formula>
    </cfRule>
  </conditionalFormatting>
  <conditionalFormatting sqref="J125">
    <cfRule type="cellIs" operator="equal" dxfId="294" priority="294">
      <formula>"R$"</formula>
    </cfRule>
  </conditionalFormatting>
  <conditionalFormatting sqref="K125">
    <cfRule type="cellIs" operator="equal" dxfId="295" priority="295">
      <formula>"Com impostos"</formula>
    </cfRule>
  </conditionalFormatting>
  <conditionalFormatting sqref="V125">
    <cfRule type="cellIs" operator="equal" dxfId="296" priority="296">
      <formula>"Mercado Envios por conta do comprador"</formula>
    </cfRule>
  </conditionalFormatting>
  <conditionalFormatting sqref="W125">
    <cfRule type="cellIs" operator="equal" dxfId="297" priority="297">
      <formula>"Clássico"</formula>
    </cfRule>
  </conditionalFormatting>
  <conditionalFormatting sqref="J126">
    <cfRule type="cellIs" operator="equal" dxfId="298" priority="298">
      <formula>"R$"</formula>
    </cfRule>
  </conditionalFormatting>
  <conditionalFormatting sqref="K126">
    <cfRule type="cellIs" operator="equal" dxfId="299" priority="299">
      <formula>"Com impostos"</formula>
    </cfRule>
  </conditionalFormatting>
  <conditionalFormatting sqref="V126">
    <cfRule type="cellIs" operator="equal" dxfId="300" priority="300">
      <formula>"Mercado Envios grátis"</formula>
    </cfRule>
  </conditionalFormatting>
  <conditionalFormatting sqref="W126">
    <cfRule type="cellIs" operator="equal" dxfId="301" priority="301">
      <formula>"Premium"</formula>
    </cfRule>
  </conditionalFormatting>
  <conditionalFormatting sqref="J127">
    <cfRule type="cellIs" operator="equal" dxfId="302" priority="302">
      <formula>"R$"</formula>
    </cfRule>
  </conditionalFormatting>
  <conditionalFormatting sqref="K127">
    <cfRule type="cellIs" operator="equal" dxfId="303" priority="303">
      <formula>"Com impostos"</formula>
    </cfRule>
  </conditionalFormatting>
  <conditionalFormatting sqref="V127">
    <cfRule type="cellIs" operator="equal" dxfId="304" priority="304">
      <formula>"Mercado Envios grátis"</formula>
    </cfRule>
  </conditionalFormatting>
  <conditionalFormatting sqref="W127">
    <cfRule type="cellIs" operator="equal" dxfId="305" priority="305">
      <formula>"Clássico"</formula>
    </cfRule>
  </conditionalFormatting>
  <conditionalFormatting sqref="J128">
    <cfRule type="cellIs" operator="equal" dxfId="306" priority="306">
      <formula>"R$"</formula>
    </cfRule>
  </conditionalFormatting>
  <conditionalFormatting sqref="V128">
    <cfRule type="cellIs" operator="equal" dxfId="307" priority="307">
      <formula>"Mercado Envios grátis"</formula>
    </cfRule>
  </conditionalFormatting>
  <conditionalFormatting sqref="W128">
    <cfRule type="cellIs" operator="equal" dxfId="308" priority="308">
      <formula>"Premium"</formula>
    </cfRule>
  </conditionalFormatting>
  <conditionalFormatting sqref="J131">
    <cfRule type="cellIs" operator="equal" dxfId="309" priority="309">
      <formula>"R$"</formula>
    </cfRule>
  </conditionalFormatting>
  <conditionalFormatting sqref="K131">
    <cfRule type="cellIs" operator="equal" dxfId="310" priority="310">
      <formula>"Com impostos"</formula>
    </cfRule>
  </conditionalFormatting>
  <conditionalFormatting sqref="V131">
    <cfRule type="cellIs" operator="equal" dxfId="311" priority="311">
      <formula>"Mercado Envios grátis"</formula>
    </cfRule>
  </conditionalFormatting>
  <conditionalFormatting sqref="W131">
    <cfRule type="cellIs" operator="equal" dxfId="312" priority="312">
      <formula>"Clássico"</formula>
    </cfRule>
  </conditionalFormatting>
  <conditionalFormatting sqref="J132">
    <cfRule type="cellIs" operator="equal" dxfId="313" priority="313">
      <formula>"R$"</formula>
    </cfRule>
  </conditionalFormatting>
  <conditionalFormatting sqref="K132">
    <cfRule type="cellIs" operator="equal" dxfId="314" priority="314">
      <formula>"Com impostos"</formula>
    </cfRule>
  </conditionalFormatting>
  <conditionalFormatting sqref="V132">
    <cfRule type="cellIs" operator="equal" dxfId="315" priority="315">
      <formula>"Mercado Envios grátis"</formula>
    </cfRule>
  </conditionalFormatting>
  <conditionalFormatting sqref="W132">
    <cfRule type="cellIs" operator="equal" dxfId="316" priority="316">
      <formula>"Premium"</formula>
    </cfRule>
  </conditionalFormatting>
  <conditionalFormatting sqref="J133">
    <cfRule type="cellIs" operator="equal" dxfId="317" priority="317">
      <formula>"R$"</formula>
    </cfRule>
  </conditionalFormatting>
  <conditionalFormatting sqref="K133">
    <cfRule type="cellIs" operator="equal" dxfId="318" priority="318">
      <formula>"Com impostos"</formula>
    </cfRule>
  </conditionalFormatting>
  <conditionalFormatting sqref="V133">
    <cfRule type="cellIs" operator="equal" dxfId="319" priority="319">
      <formula>"Mercado Envios grátis"</formula>
    </cfRule>
  </conditionalFormatting>
  <conditionalFormatting sqref="W133">
    <cfRule type="cellIs" operator="equal" dxfId="320" priority="320">
      <formula>"Clássico"</formula>
    </cfRule>
  </conditionalFormatting>
  <conditionalFormatting sqref="J134">
    <cfRule type="cellIs" operator="equal" dxfId="321" priority="321">
      <formula>"R$"</formula>
    </cfRule>
  </conditionalFormatting>
  <conditionalFormatting sqref="K134">
    <cfRule type="cellIs" operator="equal" dxfId="322" priority="322">
      <formula>"Com impostos"</formula>
    </cfRule>
  </conditionalFormatting>
  <conditionalFormatting sqref="V134">
    <cfRule type="cellIs" operator="equal" dxfId="323" priority="323">
      <formula>"Mercado Envios grátis"</formula>
    </cfRule>
  </conditionalFormatting>
  <conditionalFormatting sqref="W134">
    <cfRule type="cellIs" operator="equal" dxfId="324" priority="324">
      <formula>"Premium"</formula>
    </cfRule>
  </conditionalFormatting>
  <conditionalFormatting sqref="J135">
    <cfRule type="cellIs" operator="equal" dxfId="325" priority="325">
      <formula>"R$"</formula>
    </cfRule>
  </conditionalFormatting>
  <conditionalFormatting sqref="K135">
    <cfRule type="cellIs" operator="equal" dxfId="326" priority="326">
      <formula>"Com impostos"</formula>
    </cfRule>
  </conditionalFormatting>
  <conditionalFormatting sqref="V135">
    <cfRule type="cellIs" operator="equal" dxfId="327" priority="327">
      <formula>"Mercado Envios grátis"</formula>
    </cfRule>
  </conditionalFormatting>
  <conditionalFormatting sqref="W135">
    <cfRule type="cellIs" operator="equal" dxfId="328" priority="328">
      <formula>"Premium"</formula>
    </cfRule>
  </conditionalFormatting>
  <conditionalFormatting sqref="J136">
    <cfRule type="cellIs" operator="equal" dxfId="329" priority="329">
      <formula>"R$"</formula>
    </cfRule>
  </conditionalFormatting>
  <conditionalFormatting sqref="K136">
    <cfRule type="cellIs" operator="equal" dxfId="330" priority="330">
      <formula>"Com impostos"</formula>
    </cfRule>
  </conditionalFormatting>
  <conditionalFormatting sqref="V136">
    <cfRule type="cellIs" operator="equal" dxfId="331" priority="331">
      <formula>"Mercado Envios grátis"</formula>
    </cfRule>
  </conditionalFormatting>
  <conditionalFormatting sqref="W136">
    <cfRule type="cellIs" operator="equal" dxfId="332" priority="332">
      <formula>"Premium"</formula>
    </cfRule>
  </conditionalFormatting>
  <conditionalFormatting sqref="J137">
    <cfRule type="cellIs" operator="equal" dxfId="333" priority="333">
      <formula>"R$"</formula>
    </cfRule>
  </conditionalFormatting>
  <conditionalFormatting sqref="K137">
    <cfRule type="cellIs" operator="equal" dxfId="334" priority="334">
      <formula>"Com impostos"</formula>
    </cfRule>
  </conditionalFormatting>
  <conditionalFormatting sqref="V137">
    <cfRule type="cellIs" operator="equal" dxfId="335" priority="335">
      <formula>"Mercado Envios por conta do comprador"</formula>
    </cfRule>
  </conditionalFormatting>
  <conditionalFormatting sqref="W137">
    <cfRule type="cellIs" operator="equal" dxfId="336" priority="336">
      <formula>"Clássico"</formula>
    </cfRule>
  </conditionalFormatting>
  <conditionalFormatting sqref="J138">
    <cfRule type="cellIs" operator="equal" dxfId="337" priority="337">
      <formula>"R$"</formula>
    </cfRule>
  </conditionalFormatting>
  <conditionalFormatting sqref="K138">
    <cfRule type="cellIs" operator="equal" dxfId="338" priority="338">
      <formula>"Com impostos"</formula>
    </cfRule>
  </conditionalFormatting>
  <conditionalFormatting sqref="V138">
    <cfRule type="cellIs" operator="equal" dxfId="339" priority="339">
      <formula>"Mercado Envios grátis"</formula>
    </cfRule>
  </conditionalFormatting>
  <conditionalFormatting sqref="W138">
    <cfRule type="cellIs" operator="equal" dxfId="340" priority="340">
      <formula>"Premium"</formula>
    </cfRule>
  </conditionalFormatting>
  <conditionalFormatting sqref="J139">
    <cfRule type="cellIs" operator="equal" dxfId="341" priority="341">
      <formula>"R$"</formula>
    </cfRule>
  </conditionalFormatting>
  <conditionalFormatting sqref="K139">
    <cfRule type="cellIs" operator="equal" dxfId="342" priority="342">
      <formula>"Com impostos"</formula>
    </cfRule>
  </conditionalFormatting>
  <conditionalFormatting sqref="V139">
    <cfRule type="cellIs" operator="equal" dxfId="343" priority="343">
      <formula>"Mercado Envios grátis"</formula>
    </cfRule>
  </conditionalFormatting>
  <conditionalFormatting sqref="W139">
    <cfRule type="cellIs" operator="equal" dxfId="344" priority="344">
      <formula>"Premium"</formula>
    </cfRule>
  </conditionalFormatting>
  <conditionalFormatting sqref="J140">
    <cfRule type="cellIs" operator="equal" dxfId="345" priority="345">
      <formula>"R$"</formula>
    </cfRule>
  </conditionalFormatting>
  <conditionalFormatting sqref="V140">
    <cfRule type="cellIs" operator="equal" dxfId="346" priority="346">
      <formula>"Mercado Envios grátis"</formula>
    </cfRule>
  </conditionalFormatting>
  <conditionalFormatting sqref="W140">
    <cfRule type="cellIs" operator="equal" dxfId="347" priority="347">
      <formula>"Clássico"</formula>
    </cfRule>
  </conditionalFormatting>
  <conditionalFormatting sqref="J143">
    <cfRule type="cellIs" operator="equal" dxfId="348" priority="348">
      <formula>"R$"</formula>
    </cfRule>
  </conditionalFormatting>
  <conditionalFormatting sqref="K143">
    <cfRule type="cellIs" operator="equal" dxfId="349" priority="349">
      <formula>"Com impostos"</formula>
    </cfRule>
  </conditionalFormatting>
  <conditionalFormatting sqref="V143">
    <cfRule type="cellIs" operator="equal" dxfId="350" priority="350">
      <formula>"Mercado Envios grátis"</formula>
    </cfRule>
  </conditionalFormatting>
  <conditionalFormatting sqref="W143">
    <cfRule type="cellIs" operator="equal" dxfId="351" priority="351">
      <formula>"Premium"</formula>
    </cfRule>
  </conditionalFormatting>
  <conditionalFormatting sqref="J144">
    <cfRule type="cellIs" operator="equal" dxfId="352" priority="352">
      <formula>"R$"</formula>
    </cfRule>
  </conditionalFormatting>
  <conditionalFormatting sqref="K144">
    <cfRule type="cellIs" operator="equal" dxfId="353" priority="353">
      <formula>"Com impostos"</formula>
    </cfRule>
  </conditionalFormatting>
  <conditionalFormatting sqref="V144">
    <cfRule type="cellIs" operator="equal" dxfId="354" priority="354">
      <formula>"Mercado Envios grátis"</formula>
    </cfRule>
  </conditionalFormatting>
  <conditionalFormatting sqref="W144">
    <cfRule type="cellIs" operator="equal" dxfId="355" priority="355">
      <formula>"Clássico"</formula>
    </cfRule>
  </conditionalFormatting>
  <conditionalFormatting sqref="J145">
    <cfRule type="cellIs" operator="equal" dxfId="356" priority="356">
      <formula>"R$"</formula>
    </cfRule>
  </conditionalFormatting>
  <conditionalFormatting sqref="K145">
    <cfRule type="cellIs" operator="equal" dxfId="357" priority="357">
      <formula>"Com impostos"</formula>
    </cfRule>
  </conditionalFormatting>
  <conditionalFormatting sqref="V145">
    <cfRule type="cellIs" operator="equal" dxfId="358" priority="358">
      <formula>"Mercado Envios grátis"</formula>
    </cfRule>
  </conditionalFormatting>
  <conditionalFormatting sqref="W145">
    <cfRule type="cellIs" operator="equal" dxfId="359" priority="359">
      <formula>"Clássico"</formula>
    </cfRule>
  </conditionalFormatting>
  <conditionalFormatting sqref="J146">
    <cfRule type="cellIs" operator="equal" dxfId="360" priority="360">
      <formula>"R$"</formula>
    </cfRule>
  </conditionalFormatting>
  <conditionalFormatting sqref="K146">
    <cfRule type="cellIs" operator="equal" dxfId="361" priority="361">
      <formula>"Com impostos"</formula>
    </cfRule>
  </conditionalFormatting>
  <conditionalFormatting sqref="V146">
    <cfRule type="cellIs" operator="equal" dxfId="362" priority="362">
      <formula>"Mercado Envios grátis"</formula>
    </cfRule>
  </conditionalFormatting>
  <conditionalFormatting sqref="W146">
    <cfRule type="cellIs" operator="equal" dxfId="363" priority="363">
      <formula>"Clássico"</formula>
    </cfRule>
  </conditionalFormatting>
  <conditionalFormatting sqref="J147">
    <cfRule type="cellIs" operator="equal" dxfId="364" priority="364">
      <formula>"R$"</formula>
    </cfRule>
  </conditionalFormatting>
  <conditionalFormatting sqref="K147">
    <cfRule type="cellIs" operator="equal" dxfId="365" priority="365">
      <formula>"Com impostos"</formula>
    </cfRule>
  </conditionalFormatting>
  <conditionalFormatting sqref="V147">
    <cfRule type="cellIs" operator="equal" dxfId="366" priority="366">
      <formula>"Mercado Envios por conta do comprador"</formula>
    </cfRule>
  </conditionalFormatting>
  <conditionalFormatting sqref="W147">
    <cfRule type="cellIs" operator="equal" dxfId="367" priority="367">
      <formula>"Premium"</formula>
    </cfRule>
  </conditionalFormatting>
  <conditionalFormatting sqref="J148">
    <cfRule type="cellIs" operator="equal" dxfId="368" priority="368">
      <formula>"R$"</formula>
    </cfRule>
  </conditionalFormatting>
  <conditionalFormatting sqref="K148">
    <cfRule type="cellIs" operator="equal" dxfId="369" priority="369">
      <formula>"Com impostos"</formula>
    </cfRule>
  </conditionalFormatting>
  <conditionalFormatting sqref="V148">
    <cfRule type="cellIs" operator="equal" dxfId="370" priority="370">
      <formula>"Mercado Envios grátis"</formula>
    </cfRule>
  </conditionalFormatting>
  <conditionalFormatting sqref="W148">
    <cfRule type="cellIs" operator="equal" dxfId="371" priority="371">
      <formula>"Clássico"</formula>
    </cfRule>
  </conditionalFormatting>
  <conditionalFormatting sqref="J149">
    <cfRule type="cellIs" operator="equal" dxfId="372" priority="372">
      <formula>"R$"</formula>
    </cfRule>
  </conditionalFormatting>
  <conditionalFormatting sqref="K149">
    <cfRule type="cellIs" operator="equal" dxfId="373" priority="373">
      <formula>"Com impostos"</formula>
    </cfRule>
  </conditionalFormatting>
  <conditionalFormatting sqref="V149">
    <cfRule type="cellIs" operator="equal" dxfId="374" priority="374">
      <formula>"Mercado Envios grátis"</formula>
    </cfRule>
  </conditionalFormatting>
  <conditionalFormatting sqref="W149">
    <cfRule type="cellIs" operator="equal" dxfId="375" priority="375">
      <formula>"Premium"</formula>
    </cfRule>
  </conditionalFormatting>
  <conditionalFormatting sqref="J150">
    <cfRule type="cellIs" operator="equal" dxfId="376" priority="376">
      <formula>"R$"</formula>
    </cfRule>
  </conditionalFormatting>
  <conditionalFormatting sqref="V150">
    <cfRule type="cellIs" operator="equal" dxfId="377" priority="377">
      <formula>"Mercado Envios grátis"</formula>
    </cfRule>
  </conditionalFormatting>
  <conditionalFormatting sqref="W150">
    <cfRule type="cellIs" operator="equal" dxfId="378" priority="378">
      <formula>"Clássico"</formula>
    </cfRule>
  </conditionalFormatting>
  <conditionalFormatting sqref="J153">
    <cfRule type="cellIs" operator="equal" dxfId="379" priority="379">
      <formula>"R$"</formula>
    </cfRule>
  </conditionalFormatting>
  <conditionalFormatting sqref="K153">
    <cfRule type="cellIs" operator="equal" dxfId="380" priority="380">
      <formula>"Com impostos"</formula>
    </cfRule>
  </conditionalFormatting>
  <conditionalFormatting sqref="V153">
    <cfRule type="cellIs" operator="equal" dxfId="381" priority="381">
      <formula>"Mercado Envios grátis"</formula>
    </cfRule>
  </conditionalFormatting>
  <conditionalFormatting sqref="W153">
    <cfRule type="cellIs" operator="equal" dxfId="382" priority="382">
      <formula>"Clássico"</formula>
    </cfRule>
  </conditionalFormatting>
  <conditionalFormatting sqref="J154">
    <cfRule type="cellIs" operator="equal" dxfId="383" priority="383">
      <formula>"R$"</formula>
    </cfRule>
  </conditionalFormatting>
  <conditionalFormatting sqref="K154">
    <cfRule type="cellIs" operator="equal" dxfId="384" priority="384">
      <formula>"Com impostos"</formula>
    </cfRule>
  </conditionalFormatting>
  <conditionalFormatting sqref="V154">
    <cfRule type="cellIs" operator="equal" dxfId="385" priority="385">
      <formula>"Mercado Envios grátis"</formula>
    </cfRule>
  </conditionalFormatting>
  <conditionalFormatting sqref="W154">
    <cfRule type="cellIs" operator="equal" dxfId="386" priority="386">
      <formula>"Premium"</formula>
    </cfRule>
  </conditionalFormatting>
  <conditionalFormatting sqref="J155">
    <cfRule type="cellIs" operator="equal" dxfId="387" priority="387">
      <formula>"R$"</formula>
    </cfRule>
  </conditionalFormatting>
  <conditionalFormatting sqref="K155">
    <cfRule type="cellIs" operator="equal" dxfId="388" priority="388">
      <formula>"Com impostos"</formula>
    </cfRule>
  </conditionalFormatting>
  <conditionalFormatting sqref="V155">
    <cfRule type="cellIs" operator="equal" dxfId="389" priority="389">
      <formula>"Mercado Envios grátis"</formula>
    </cfRule>
  </conditionalFormatting>
  <conditionalFormatting sqref="W155">
    <cfRule type="cellIs" operator="equal" dxfId="390" priority="390">
      <formula>"Clássico"</formula>
    </cfRule>
  </conditionalFormatting>
  <conditionalFormatting sqref="J156">
    <cfRule type="cellIs" operator="equal" dxfId="391" priority="391">
      <formula>"R$"</formula>
    </cfRule>
  </conditionalFormatting>
  <conditionalFormatting sqref="K156">
    <cfRule type="cellIs" operator="equal" dxfId="392" priority="392">
      <formula>"Com impostos"</formula>
    </cfRule>
  </conditionalFormatting>
  <conditionalFormatting sqref="V156">
    <cfRule type="cellIs" operator="equal" dxfId="393" priority="393">
      <formula>"Mercado Envios grátis"</formula>
    </cfRule>
  </conditionalFormatting>
  <conditionalFormatting sqref="W156">
    <cfRule type="cellIs" operator="equal" dxfId="394" priority="394">
      <formula>"Clássico"</formula>
    </cfRule>
  </conditionalFormatting>
  <conditionalFormatting sqref="J157">
    <cfRule type="cellIs" operator="equal" dxfId="395" priority="395">
      <formula>"R$"</formula>
    </cfRule>
  </conditionalFormatting>
  <conditionalFormatting sqref="K157">
    <cfRule type="cellIs" operator="equal" dxfId="396" priority="396">
      <formula>"Com impostos"</formula>
    </cfRule>
  </conditionalFormatting>
  <conditionalFormatting sqref="V157">
    <cfRule type="cellIs" operator="equal" dxfId="397" priority="397">
      <formula>"Mercado Envios por conta do comprador"</formula>
    </cfRule>
  </conditionalFormatting>
  <conditionalFormatting sqref="W157">
    <cfRule type="cellIs" operator="equal" dxfId="398" priority="398">
      <formula>"Clássico"</formula>
    </cfRule>
  </conditionalFormatting>
  <conditionalFormatting sqref="J158">
    <cfRule type="cellIs" operator="equal" dxfId="399" priority="399">
      <formula>"R$"</formula>
    </cfRule>
  </conditionalFormatting>
  <conditionalFormatting sqref="V158">
    <cfRule type="cellIs" operator="equal" dxfId="400" priority="400">
      <formula>"Mercado Envios grátis"</formula>
    </cfRule>
  </conditionalFormatting>
  <conditionalFormatting sqref="W158">
    <cfRule type="cellIs" operator="equal" dxfId="401" priority="401">
      <formula>"Clássico"</formula>
    </cfRule>
  </conditionalFormatting>
  <conditionalFormatting sqref="J165">
    <cfRule type="cellIs" operator="equal" dxfId="402" priority="402">
      <formula>"R$"</formula>
    </cfRule>
  </conditionalFormatting>
  <conditionalFormatting sqref="V165">
    <cfRule type="cellIs" operator="equal" dxfId="403" priority="403">
      <formula>"Mercado Envios grátis"</formula>
    </cfRule>
  </conditionalFormatting>
  <conditionalFormatting sqref="W165">
    <cfRule type="cellIs" operator="equal" dxfId="404" priority="404">
      <formula>"Clássico"</formula>
    </cfRule>
  </conditionalFormatting>
  <conditionalFormatting sqref="J168">
    <cfRule type="cellIs" operator="equal" dxfId="405" priority="405">
      <formula>"R$"</formula>
    </cfRule>
  </conditionalFormatting>
  <conditionalFormatting sqref="K168">
    <cfRule type="cellIs" operator="equal" dxfId="406" priority="406">
      <formula>"Com impostos"</formula>
    </cfRule>
  </conditionalFormatting>
  <conditionalFormatting sqref="V168">
    <cfRule type="cellIs" operator="equal" dxfId="407" priority="407">
      <formula>"Mercado Envios por conta do comprador"</formula>
    </cfRule>
  </conditionalFormatting>
  <conditionalFormatting sqref="W168">
    <cfRule type="cellIs" operator="equal" dxfId="408" priority="408">
      <formula>"Clássico"</formula>
    </cfRule>
  </conditionalFormatting>
  <conditionalFormatting sqref="J169">
    <cfRule type="cellIs" operator="equal" dxfId="409" priority="409">
      <formula>"R$"</formula>
    </cfRule>
  </conditionalFormatting>
  <conditionalFormatting sqref="K169">
    <cfRule type="cellIs" operator="equal" dxfId="410" priority="410">
      <formula>"Com impostos"</formula>
    </cfRule>
  </conditionalFormatting>
  <conditionalFormatting sqref="V169">
    <cfRule type="cellIs" operator="equal" dxfId="411" priority="411">
      <formula>"Mercado Envios por conta do comprador"</formula>
    </cfRule>
  </conditionalFormatting>
  <conditionalFormatting sqref="W169">
    <cfRule type="cellIs" operator="equal" dxfId="412" priority="412">
      <formula>"Premium"</formula>
    </cfRule>
  </conditionalFormatting>
  <conditionalFormatting sqref="J170">
    <cfRule type="cellIs" operator="equal" dxfId="413" priority="413">
      <formula>"R$"</formula>
    </cfRule>
  </conditionalFormatting>
  <conditionalFormatting sqref="K170">
    <cfRule type="cellIs" operator="equal" dxfId="414" priority="414">
      <formula>"Com impostos"</formula>
    </cfRule>
  </conditionalFormatting>
  <conditionalFormatting sqref="V170">
    <cfRule type="cellIs" operator="equal" dxfId="415" priority="415">
      <formula>"Mercado Envios grátis"</formula>
    </cfRule>
  </conditionalFormatting>
  <conditionalFormatting sqref="W170">
    <cfRule type="cellIs" operator="equal" dxfId="416" priority="416">
      <formula>"Premium"</formula>
    </cfRule>
  </conditionalFormatting>
  <conditionalFormatting sqref="J171">
    <cfRule type="cellIs" operator="equal" dxfId="417" priority="417">
      <formula>"R$"</formula>
    </cfRule>
  </conditionalFormatting>
  <conditionalFormatting sqref="K171">
    <cfRule type="cellIs" operator="equal" dxfId="418" priority="418">
      <formula>"Com impostos"</formula>
    </cfRule>
  </conditionalFormatting>
  <conditionalFormatting sqref="V171">
    <cfRule type="cellIs" operator="equal" dxfId="419" priority="419">
      <formula>"Mercado Envios grátis"</formula>
    </cfRule>
  </conditionalFormatting>
  <conditionalFormatting sqref="W171">
    <cfRule type="cellIs" operator="equal" dxfId="420" priority="420">
      <formula>"Premium"</formula>
    </cfRule>
  </conditionalFormatting>
  <conditionalFormatting sqref="J172">
    <cfRule type="cellIs" operator="equal" dxfId="421" priority="421">
      <formula>"R$"</formula>
    </cfRule>
  </conditionalFormatting>
  <conditionalFormatting sqref="K172">
    <cfRule type="cellIs" operator="equal" dxfId="422" priority="422">
      <formula>"Com impostos"</formula>
    </cfRule>
  </conditionalFormatting>
  <conditionalFormatting sqref="V172">
    <cfRule type="cellIs" operator="equal" dxfId="423" priority="423">
      <formula>"Mercado Envios grátis"</formula>
    </cfRule>
  </conditionalFormatting>
  <conditionalFormatting sqref="W172">
    <cfRule type="cellIs" operator="equal" dxfId="424" priority="424">
      <formula>"Premium"</formula>
    </cfRule>
  </conditionalFormatting>
  <conditionalFormatting sqref="J173">
    <cfRule type="cellIs" operator="equal" dxfId="425" priority="425">
      <formula>"R$"</formula>
    </cfRule>
  </conditionalFormatting>
  <conditionalFormatting sqref="K173">
    <cfRule type="cellIs" operator="equal" dxfId="426" priority="426">
      <formula>"Com impostos"</formula>
    </cfRule>
  </conditionalFormatting>
  <conditionalFormatting sqref="V173">
    <cfRule type="cellIs" operator="equal" dxfId="427" priority="427">
      <formula>"Mercado Envios por conta do comprador"</formula>
    </cfRule>
  </conditionalFormatting>
  <conditionalFormatting sqref="W173">
    <cfRule type="cellIs" operator="equal" dxfId="428" priority="428">
      <formula>"Premium"</formula>
    </cfRule>
  </conditionalFormatting>
  <conditionalFormatting sqref="J174">
    <cfRule type="cellIs" operator="equal" dxfId="429" priority="429">
      <formula>"R$"</formula>
    </cfRule>
  </conditionalFormatting>
  <conditionalFormatting sqref="K174">
    <cfRule type="cellIs" operator="equal" dxfId="430" priority="430">
      <formula>"Com impostos"</formula>
    </cfRule>
  </conditionalFormatting>
  <conditionalFormatting sqref="V174">
    <cfRule type="cellIs" operator="equal" dxfId="431" priority="431">
      <formula>"Mercado Envios grátis"</formula>
    </cfRule>
  </conditionalFormatting>
  <conditionalFormatting sqref="W174">
    <cfRule type="cellIs" operator="equal" dxfId="432" priority="432">
      <formula>"Premium"</formula>
    </cfRule>
  </conditionalFormatting>
  <conditionalFormatting sqref="J175">
    <cfRule type="cellIs" operator="equal" dxfId="433" priority="433">
      <formula>"R$"</formula>
    </cfRule>
  </conditionalFormatting>
  <conditionalFormatting sqref="K175">
    <cfRule type="cellIs" operator="equal" dxfId="434" priority="434">
      <formula>"Com impostos"</formula>
    </cfRule>
  </conditionalFormatting>
  <conditionalFormatting sqref="V175">
    <cfRule type="cellIs" operator="equal" dxfId="435" priority="435">
      <formula>"Mercado Envios grátis"</formula>
    </cfRule>
  </conditionalFormatting>
  <conditionalFormatting sqref="W175">
    <cfRule type="cellIs" operator="equal" dxfId="436" priority="436">
      <formula>"Premium"</formula>
    </cfRule>
  </conditionalFormatting>
  <conditionalFormatting sqref="J176">
    <cfRule type="cellIs" operator="equal" dxfId="437" priority="437">
      <formula>"R$"</formula>
    </cfRule>
  </conditionalFormatting>
  <conditionalFormatting sqref="K176">
    <cfRule type="cellIs" operator="equal" dxfId="438" priority="438">
      <formula>"Com impostos"</formula>
    </cfRule>
  </conditionalFormatting>
  <conditionalFormatting sqref="V176">
    <cfRule type="cellIs" operator="equal" dxfId="439" priority="439">
      <formula>"Mercado Envios por conta do comprador"</formula>
    </cfRule>
  </conditionalFormatting>
  <conditionalFormatting sqref="W176">
    <cfRule type="cellIs" operator="equal" dxfId="440" priority="440">
      <formula>"Clássico"</formula>
    </cfRule>
  </conditionalFormatting>
  <conditionalFormatting sqref="J177">
    <cfRule type="cellIs" operator="equal" dxfId="441" priority="441">
      <formula>"R$"</formula>
    </cfRule>
  </conditionalFormatting>
  <conditionalFormatting sqref="K177">
    <cfRule type="cellIs" operator="equal" dxfId="442" priority="442">
      <formula>"Com impostos"</formula>
    </cfRule>
  </conditionalFormatting>
  <conditionalFormatting sqref="V177">
    <cfRule type="cellIs" operator="equal" dxfId="443" priority="443">
      <formula>"Mercado Envios grátis"</formula>
    </cfRule>
  </conditionalFormatting>
  <conditionalFormatting sqref="W177">
    <cfRule type="cellIs" operator="equal" dxfId="444" priority="444">
      <formula>"Clássico"</formula>
    </cfRule>
  </conditionalFormatting>
  <conditionalFormatting sqref="J178">
    <cfRule type="cellIs" operator="equal" dxfId="445" priority="445">
      <formula>"R$"</formula>
    </cfRule>
  </conditionalFormatting>
  <conditionalFormatting sqref="K178">
    <cfRule type="cellIs" operator="equal" dxfId="446" priority="446">
      <formula>"Com impostos"</formula>
    </cfRule>
  </conditionalFormatting>
  <conditionalFormatting sqref="V178">
    <cfRule type="cellIs" operator="equal" dxfId="447" priority="447">
      <formula>"Mercado Envios por conta do comprador"</formula>
    </cfRule>
  </conditionalFormatting>
  <conditionalFormatting sqref="W178">
    <cfRule type="cellIs" operator="equal" dxfId="448" priority="448">
      <formula>"Clássico"</formula>
    </cfRule>
  </conditionalFormatting>
  <conditionalFormatting sqref="J179">
    <cfRule type="cellIs" operator="equal" dxfId="449" priority="449">
      <formula>"R$"</formula>
    </cfRule>
  </conditionalFormatting>
  <conditionalFormatting sqref="K179">
    <cfRule type="cellIs" operator="equal" dxfId="450" priority="450">
      <formula>"Com impostos"</formula>
    </cfRule>
  </conditionalFormatting>
  <conditionalFormatting sqref="V179">
    <cfRule type="cellIs" operator="equal" dxfId="451" priority="451">
      <formula>"Mercado Envios grátis"</formula>
    </cfRule>
  </conditionalFormatting>
  <conditionalFormatting sqref="W179">
    <cfRule type="cellIs" operator="equal" dxfId="452" priority="452">
      <formula>"Premium"</formula>
    </cfRule>
  </conditionalFormatting>
  <conditionalFormatting sqref="J180">
    <cfRule type="cellIs" operator="equal" dxfId="453" priority="453">
      <formula>"R$"</formula>
    </cfRule>
  </conditionalFormatting>
  <conditionalFormatting sqref="K180">
    <cfRule type="cellIs" operator="equal" dxfId="454" priority="454">
      <formula>"Com impostos"</formula>
    </cfRule>
  </conditionalFormatting>
  <conditionalFormatting sqref="V180">
    <cfRule type="cellIs" operator="equal" dxfId="455" priority="455">
      <formula>"Mercado Envios grátis"</formula>
    </cfRule>
  </conditionalFormatting>
  <conditionalFormatting sqref="W180">
    <cfRule type="cellIs" operator="equal" dxfId="456" priority="456">
      <formula>"Clássico"</formula>
    </cfRule>
  </conditionalFormatting>
  <conditionalFormatting sqref="J181">
    <cfRule type="cellIs" operator="equal" dxfId="457" priority="457">
      <formula>"R$"</formula>
    </cfRule>
  </conditionalFormatting>
  <conditionalFormatting sqref="V181">
    <cfRule type="cellIs" operator="equal" dxfId="458" priority="458">
      <formula>"Mercado Envios grátis"</formula>
    </cfRule>
  </conditionalFormatting>
  <conditionalFormatting sqref="W181">
    <cfRule type="cellIs" operator="equal" dxfId="459" priority="459">
      <formula>"Clássico"</formula>
    </cfRule>
  </conditionalFormatting>
  <conditionalFormatting sqref="J194">
    <cfRule type="cellIs" operator="equal" dxfId="460" priority="460">
      <formula>"R$"</formula>
    </cfRule>
  </conditionalFormatting>
  <conditionalFormatting sqref="K194">
    <cfRule type="cellIs" operator="equal" dxfId="461" priority="461">
      <formula>"Com impostos"</formula>
    </cfRule>
  </conditionalFormatting>
  <conditionalFormatting sqref="V194">
    <cfRule type="cellIs" operator="equal" dxfId="462" priority="462">
      <formula>"Mercado Envios por conta do comprador"</formula>
    </cfRule>
  </conditionalFormatting>
  <conditionalFormatting sqref="W194">
    <cfRule type="cellIs" operator="equal" dxfId="463" priority="463">
      <formula>"Clássico"</formula>
    </cfRule>
  </conditionalFormatting>
  <conditionalFormatting sqref="J195">
    <cfRule type="cellIs" operator="equal" dxfId="464" priority="464">
      <formula>"R$"</formula>
    </cfRule>
  </conditionalFormatting>
  <conditionalFormatting sqref="K195">
    <cfRule type="cellIs" operator="equal" dxfId="465" priority="465">
      <formula>"Com impostos"</formula>
    </cfRule>
  </conditionalFormatting>
  <conditionalFormatting sqref="V195">
    <cfRule type="cellIs" operator="equal" dxfId="466" priority="466">
      <formula>"Mercado Envios por conta do comprador"</formula>
    </cfRule>
  </conditionalFormatting>
  <conditionalFormatting sqref="W195">
    <cfRule type="cellIs" operator="equal" dxfId="467" priority="467">
      <formula>"Clássico"</formula>
    </cfRule>
  </conditionalFormatting>
  <conditionalFormatting sqref="J196">
    <cfRule type="cellIs" operator="equal" dxfId="468" priority="468">
      <formula>"R$"</formula>
    </cfRule>
  </conditionalFormatting>
  <conditionalFormatting sqref="K196">
    <cfRule type="cellIs" operator="equal" dxfId="469" priority="469">
      <formula>"Com impostos"</formula>
    </cfRule>
  </conditionalFormatting>
  <conditionalFormatting sqref="V196">
    <cfRule type="cellIs" operator="equal" dxfId="470" priority="470">
      <formula>"Mercado Envios grátis"</formula>
    </cfRule>
  </conditionalFormatting>
  <conditionalFormatting sqref="W196">
    <cfRule type="cellIs" operator="equal" dxfId="471" priority="471">
      <formula>"Premium"</formula>
    </cfRule>
  </conditionalFormatting>
  <conditionalFormatting sqref="J197">
    <cfRule type="cellIs" operator="equal" dxfId="472" priority="472">
      <formula>"R$"</formula>
    </cfRule>
  </conditionalFormatting>
  <conditionalFormatting sqref="K197">
    <cfRule type="cellIs" operator="equal" dxfId="473" priority="473">
      <formula>"Com impostos"</formula>
    </cfRule>
  </conditionalFormatting>
  <conditionalFormatting sqref="V197">
    <cfRule type="cellIs" operator="equal" dxfId="474" priority="474">
      <formula>"Mercado Envios grátis"</formula>
    </cfRule>
  </conditionalFormatting>
  <conditionalFormatting sqref="W197">
    <cfRule type="cellIs" operator="equal" dxfId="475" priority="475">
      <formula>"Clássico"</formula>
    </cfRule>
  </conditionalFormatting>
  <conditionalFormatting sqref="J198">
    <cfRule type="cellIs" operator="equal" dxfId="476" priority="476">
      <formula>"R$"</formula>
    </cfRule>
  </conditionalFormatting>
  <conditionalFormatting sqref="K198">
    <cfRule type="cellIs" operator="equal" dxfId="477" priority="477">
      <formula>"Com impostos"</formula>
    </cfRule>
  </conditionalFormatting>
  <conditionalFormatting sqref="V198">
    <cfRule type="cellIs" operator="equal" dxfId="478" priority="478">
      <formula>"Mercado Envios grátis"</formula>
    </cfRule>
  </conditionalFormatting>
  <conditionalFormatting sqref="W198">
    <cfRule type="cellIs" operator="equal" dxfId="479" priority="479">
      <formula>"Premium"</formula>
    </cfRule>
  </conditionalFormatting>
  <conditionalFormatting sqref="J199">
    <cfRule type="cellIs" operator="equal" dxfId="480" priority="480">
      <formula>"R$"</formula>
    </cfRule>
  </conditionalFormatting>
  <conditionalFormatting sqref="K199">
    <cfRule type="cellIs" operator="equal" dxfId="481" priority="481">
      <formula>"Com impostos"</formula>
    </cfRule>
  </conditionalFormatting>
  <conditionalFormatting sqref="V199">
    <cfRule type="cellIs" operator="equal" dxfId="482" priority="482">
      <formula>"Mercado Envios grátis"</formula>
    </cfRule>
  </conditionalFormatting>
  <conditionalFormatting sqref="W199">
    <cfRule type="cellIs" operator="equal" dxfId="483" priority="483">
      <formula>"Clássico"</formula>
    </cfRule>
  </conditionalFormatting>
  <conditionalFormatting sqref="J200">
    <cfRule type="cellIs" operator="equal" dxfId="484" priority="484">
      <formula>"R$"</formula>
    </cfRule>
  </conditionalFormatting>
  <conditionalFormatting sqref="K200">
    <cfRule type="cellIs" operator="equal" dxfId="485" priority="485">
      <formula>"Com impostos"</formula>
    </cfRule>
  </conditionalFormatting>
  <conditionalFormatting sqref="V200">
    <cfRule type="cellIs" operator="equal" dxfId="486" priority="486">
      <formula>"Mercado Envios grátis"</formula>
    </cfRule>
  </conditionalFormatting>
  <conditionalFormatting sqref="W200">
    <cfRule type="cellIs" operator="equal" dxfId="487" priority="487">
      <formula>"Premium"</formula>
    </cfRule>
  </conditionalFormatting>
  <conditionalFormatting sqref="J201">
    <cfRule type="cellIs" operator="equal" dxfId="488" priority="488">
      <formula>"R$"</formula>
    </cfRule>
  </conditionalFormatting>
  <conditionalFormatting sqref="K201">
    <cfRule type="cellIs" operator="equal" dxfId="489" priority="489">
      <formula>"Com impostos"</formula>
    </cfRule>
  </conditionalFormatting>
  <conditionalFormatting sqref="V201">
    <cfRule type="cellIs" operator="equal" dxfId="490" priority="490">
      <formula>"Mercado Envios grátis"</formula>
    </cfRule>
  </conditionalFormatting>
  <conditionalFormatting sqref="W201">
    <cfRule type="cellIs" operator="equal" dxfId="491" priority="491">
      <formula>"Clássico"</formula>
    </cfRule>
  </conditionalFormatting>
  <conditionalFormatting sqref="J202">
    <cfRule type="cellIs" operator="equal" dxfId="492" priority="492">
      <formula>"R$"</formula>
    </cfRule>
  </conditionalFormatting>
  <conditionalFormatting sqref="K202">
    <cfRule type="cellIs" operator="equal" dxfId="493" priority="493">
      <formula>"Com impostos"</formula>
    </cfRule>
  </conditionalFormatting>
  <conditionalFormatting sqref="V202">
    <cfRule type="cellIs" operator="equal" dxfId="494" priority="494">
      <formula>"Mercado Envios grátis"</formula>
    </cfRule>
  </conditionalFormatting>
  <conditionalFormatting sqref="W202">
    <cfRule type="cellIs" operator="equal" dxfId="495" priority="495">
      <formula>"Premium"</formula>
    </cfRule>
  </conditionalFormatting>
  <conditionalFormatting sqref="J203">
    <cfRule type="cellIs" operator="equal" dxfId="496" priority="496">
      <formula>"R$"</formula>
    </cfRule>
  </conditionalFormatting>
  <conditionalFormatting sqref="K203">
    <cfRule type="cellIs" operator="equal" dxfId="497" priority="497">
      <formula>"Com impostos"</formula>
    </cfRule>
  </conditionalFormatting>
  <conditionalFormatting sqref="V203">
    <cfRule type="cellIs" operator="equal" dxfId="498" priority="498">
      <formula>"Mercado Envios grátis"</formula>
    </cfRule>
  </conditionalFormatting>
  <conditionalFormatting sqref="W203">
    <cfRule type="cellIs" operator="equal" dxfId="499" priority="499">
      <formula>"Premium"</formula>
    </cfRule>
  </conditionalFormatting>
  <conditionalFormatting sqref="J204">
    <cfRule type="cellIs" operator="equal" dxfId="500" priority="500">
      <formula>"R$"</formula>
    </cfRule>
  </conditionalFormatting>
  <conditionalFormatting sqref="K204">
    <cfRule type="cellIs" operator="equal" dxfId="501" priority="501">
      <formula>"Com impostos"</formula>
    </cfRule>
  </conditionalFormatting>
  <conditionalFormatting sqref="V204">
    <cfRule type="cellIs" operator="equal" dxfId="502" priority="502">
      <formula>"Mercado Envios por conta do comprador"</formula>
    </cfRule>
  </conditionalFormatting>
  <conditionalFormatting sqref="W204">
    <cfRule type="cellIs" operator="equal" dxfId="503" priority="503">
      <formula>"Premium"</formula>
    </cfRule>
  </conditionalFormatting>
  <conditionalFormatting sqref="J205">
    <cfRule type="cellIs" operator="equal" dxfId="504" priority="504">
      <formula>"R$"</formula>
    </cfRule>
  </conditionalFormatting>
  <conditionalFormatting sqref="K205">
    <cfRule type="cellIs" operator="equal" dxfId="505" priority="505">
      <formula>"Com impostos"</formula>
    </cfRule>
  </conditionalFormatting>
  <conditionalFormatting sqref="V205">
    <cfRule type="cellIs" operator="equal" dxfId="506" priority="506">
      <formula>"Mercado Envios grátis"</formula>
    </cfRule>
  </conditionalFormatting>
  <conditionalFormatting sqref="W205">
    <cfRule type="cellIs" operator="equal" dxfId="507" priority="507">
      <formula>"Premium"</formula>
    </cfRule>
  </conditionalFormatting>
  <conditionalFormatting sqref="J206">
    <cfRule type="cellIs" operator="equal" dxfId="508" priority="508">
      <formula>"R$"</formula>
    </cfRule>
  </conditionalFormatting>
  <conditionalFormatting sqref="K206">
    <cfRule type="cellIs" operator="equal" dxfId="509" priority="509">
      <formula>"Com impostos"</formula>
    </cfRule>
  </conditionalFormatting>
  <conditionalFormatting sqref="V206">
    <cfRule type="cellIs" operator="equal" dxfId="510" priority="510">
      <formula>"Mercado Envios grátis"</formula>
    </cfRule>
  </conditionalFormatting>
  <conditionalFormatting sqref="W206">
    <cfRule type="cellIs" operator="equal" dxfId="511" priority="511">
      <formula>"Clássico"</formula>
    </cfRule>
  </conditionalFormatting>
  <conditionalFormatting sqref="J207">
    <cfRule type="cellIs" operator="equal" dxfId="512" priority="512">
      <formula>"R$"</formula>
    </cfRule>
  </conditionalFormatting>
  <conditionalFormatting sqref="K207">
    <cfRule type="cellIs" operator="equal" dxfId="513" priority="513">
      <formula>"Com impostos"</formula>
    </cfRule>
  </conditionalFormatting>
  <conditionalFormatting sqref="V207">
    <cfRule type="cellIs" operator="equal" dxfId="514" priority="514">
      <formula>"Mercado Envios grátis"</formula>
    </cfRule>
  </conditionalFormatting>
  <conditionalFormatting sqref="W207">
    <cfRule type="cellIs" operator="equal" dxfId="515" priority="515">
      <formula>"Premium"</formula>
    </cfRule>
  </conditionalFormatting>
  <conditionalFormatting sqref="J208">
    <cfRule type="cellIs" operator="equal" dxfId="516" priority="516">
      <formula>"R$"</formula>
    </cfRule>
  </conditionalFormatting>
  <conditionalFormatting sqref="K208">
    <cfRule type="cellIs" operator="equal" dxfId="517" priority="517">
      <formula>"Com impostos"</formula>
    </cfRule>
  </conditionalFormatting>
  <conditionalFormatting sqref="V208">
    <cfRule type="cellIs" operator="equal" dxfId="518" priority="518">
      <formula>"Mercado Envios por conta do comprador"</formula>
    </cfRule>
  </conditionalFormatting>
  <conditionalFormatting sqref="W208">
    <cfRule type="cellIs" operator="equal" dxfId="519" priority="519">
      <formula>"Clássico"</formula>
    </cfRule>
  </conditionalFormatting>
  <conditionalFormatting sqref="J209">
    <cfRule type="cellIs" operator="equal" dxfId="520" priority="520">
      <formula>"R$"</formula>
    </cfRule>
  </conditionalFormatting>
  <conditionalFormatting sqref="K209">
    <cfRule type="cellIs" operator="equal" dxfId="521" priority="521">
      <formula>"Com impostos"</formula>
    </cfRule>
  </conditionalFormatting>
  <conditionalFormatting sqref="V209">
    <cfRule type="cellIs" operator="equal" dxfId="522" priority="522">
      <formula>"Mercado Envios grátis"</formula>
    </cfRule>
  </conditionalFormatting>
  <conditionalFormatting sqref="W209">
    <cfRule type="cellIs" operator="equal" dxfId="523" priority="523">
      <formula>"Premium"</formula>
    </cfRule>
  </conditionalFormatting>
  <conditionalFormatting sqref="J210">
    <cfRule type="cellIs" operator="equal" dxfId="524" priority="524">
      <formula>"R$"</formula>
    </cfRule>
  </conditionalFormatting>
  <conditionalFormatting sqref="K210">
    <cfRule type="cellIs" operator="equal" dxfId="525" priority="525">
      <formula>"Com impostos"</formula>
    </cfRule>
  </conditionalFormatting>
  <conditionalFormatting sqref="V210">
    <cfRule type="cellIs" operator="equal" dxfId="526" priority="526">
      <formula>"Mercado Envios grátis"</formula>
    </cfRule>
  </conditionalFormatting>
  <conditionalFormatting sqref="W210">
    <cfRule type="cellIs" operator="equal" dxfId="527" priority="527">
      <formula>"Premium"</formula>
    </cfRule>
  </conditionalFormatting>
  <conditionalFormatting sqref="J211">
    <cfRule type="cellIs" operator="equal" dxfId="528" priority="528">
      <formula>"R$"</formula>
    </cfRule>
  </conditionalFormatting>
  <conditionalFormatting sqref="K211">
    <cfRule type="cellIs" operator="equal" dxfId="529" priority="529">
      <formula>"Com impostos"</formula>
    </cfRule>
  </conditionalFormatting>
  <conditionalFormatting sqref="V211">
    <cfRule type="cellIs" operator="equal" dxfId="530" priority="530">
      <formula>"Mercado Envios grátis"</formula>
    </cfRule>
  </conditionalFormatting>
  <conditionalFormatting sqref="W211">
    <cfRule type="cellIs" operator="equal" dxfId="531" priority="531">
      <formula>"Clássico"</formula>
    </cfRule>
  </conditionalFormatting>
  <conditionalFormatting sqref="J212">
    <cfRule type="cellIs" operator="equal" dxfId="532" priority="532">
      <formula>"R$"</formula>
    </cfRule>
  </conditionalFormatting>
  <conditionalFormatting sqref="K212">
    <cfRule type="cellIs" operator="equal" dxfId="533" priority="533">
      <formula>"Com impostos"</formula>
    </cfRule>
  </conditionalFormatting>
  <conditionalFormatting sqref="V212">
    <cfRule type="cellIs" operator="equal" dxfId="534" priority="534">
      <formula>"Mercado Envios grátis"</formula>
    </cfRule>
  </conditionalFormatting>
  <conditionalFormatting sqref="W212">
    <cfRule type="cellIs" operator="equal" dxfId="535" priority="535">
      <formula>"Premium"</formula>
    </cfRule>
  </conditionalFormatting>
  <conditionalFormatting sqref="J213">
    <cfRule type="cellIs" operator="equal" dxfId="536" priority="536">
      <formula>"R$"</formula>
    </cfRule>
  </conditionalFormatting>
  <conditionalFormatting sqref="K213">
    <cfRule type="cellIs" operator="equal" dxfId="537" priority="537">
      <formula>"Com impostos"</formula>
    </cfRule>
  </conditionalFormatting>
  <conditionalFormatting sqref="V213">
    <cfRule type="cellIs" operator="equal" dxfId="538" priority="538">
      <formula>"Mercado Envios grátis"</formula>
    </cfRule>
  </conditionalFormatting>
  <conditionalFormatting sqref="W213">
    <cfRule type="cellIs" operator="equal" dxfId="539" priority="539">
      <formula>"Premium"</formula>
    </cfRule>
  </conditionalFormatting>
  <conditionalFormatting sqref="J214">
    <cfRule type="cellIs" operator="equal" dxfId="540" priority="540">
      <formula>"R$"</formula>
    </cfRule>
  </conditionalFormatting>
  <conditionalFormatting sqref="K214">
    <cfRule type="cellIs" operator="equal" dxfId="541" priority="541">
      <formula>"Com impostos"</formula>
    </cfRule>
  </conditionalFormatting>
  <conditionalFormatting sqref="V214">
    <cfRule type="cellIs" operator="equal" dxfId="542" priority="542">
      <formula>"Mercado Envios grátis"</formula>
    </cfRule>
  </conditionalFormatting>
  <conditionalFormatting sqref="W214">
    <cfRule type="cellIs" operator="equal" dxfId="543" priority="543">
      <formula>"Clássico"</formula>
    </cfRule>
  </conditionalFormatting>
  <conditionalFormatting sqref="J215">
    <cfRule type="cellIs" operator="equal" dxfId="544" priority="544">
      <formula>"R$"</formula>
    </cfRule>
  </conditionalFormatting>
  <conditionalFormatting sqref="V215">
    <cfRule type="cellIs" operator="equal" dxfId="545" priority="545">
      <formula>"Mercado Envios grátis"</formula>
    </cfRule>
  </conditionalFormatting>
  <conditionalFormatting sqref="W215">
    <cfRule type="cellIs" operator="equal" dxfId="546" priority="546">
      <formula>"Premium"</formula>
    </cfRule>
  </conditionalFormatting>
  <conditionalFormatting sqref="J218">
    <cfRule type="cellIs" operator="equal" dxfId="547" priority="547">
      <formula>"R$"</formula>
    </cfRule>
  </conditionalFormatting>
  <conditionalFormatting sqref="K218">
    <cfRule type="cellIs" operator="equal" dxfId="548" priority="548">
      <formula>"Com impostos"</formula>
    </cfRule>
  </conditionalFormatting>
  <conditionalFormatting sqref="V218">
    <cfRule type="cellIs" operator="equal" dxfId="549" priority="549">
      <formula>"Mercado Envios grátis"</formula>
    </cfRule>
  </conditionalFormatting>
  <conditionalFormatting sqref="W218">
    <cfRule type="cellIs" operator="equal" dxfId="550" priority="550">
      <formula>"Clássico"</formula>
    </cfRule>
  </conditionalFormatting>
  <conditionalFormatting sqref="J219">
    <cfRule type="cellIs" operator="equal" dxfId="551" priority="551">
      <formula>"R$"</formula>
    </cfRule>
  </conditionalFormatting>
  <conditionalFormatting sqref="K219">
    <cfRule type="cellIs" operator="equal" dxfId="552" priority="552">
      <formula>"Com impostos"</formula>
    </cfRule>
  </conditionalFormatting>
  <conditionalFormatting sqref="V219">
    <cfRule type="cellIs" operator="equal" dxfId="553" priority="553">
      <formula>"Mercado Envios grátis"</formula>
    </cfRule>
  </conditionalFormatting>
  <conditionalFormatting sqref="W219">
    <cfRule type="cellIs" operator="equal" dxfId="554" priority="554">
      <formula>"Premium"</formula>
    </cfRule>
  </conditionalFormatting>
  <conditionalFormatting sqref="J220">
    <cfRule type="cellIs" operator="equal" dxfId="555" priority="555">
      <formula>"R$"</formula>
    </cfRule>
  </conditionalFormatting>
  <conditionalFormatting sqref="K220">
    <cfRule type="cellIs" operator="equal" dxfId="556" priority="556">
      <formula>"Com impostos"</formula>
    </cfRule>
  </conditionalFormatting>
  <conditionalFormatting sqref="V220">
    <cfRule type="cellIs" operator="equal" dxfId="557" priority="557">
      <formula>"Mercado Envios por conta do comprador"</formula>
    </cfRule>
  </conditionalFormatting>
  <conditionalFormatting sqref="W220">
    <cfRule type="cellIs" operator="equal" dxfId="558" priority="558">
      <formula>"Clássico"</formula>
    </cfRule>
  </conditionalFormatting>
  <conditionalFormatting sqref="J221">
    <cfRule type="cellIs" operator="equal" dxfId="559" priority="559">
      <formula>"R$"</formula>
    </cfRule>
  </conditionalFormatting>
  <conditionalFormatting sqref="K221">
    <cfRule type="cellIs" operator="equal" dxfId="560" priority="560">
      <formula>"Com impostos"</formula>
    </cfRule>
  </conditionalFormatting>
  <conditionalFormatting sqref="V221">
    <cfRule type="cellIs" operator="equal" dxfId="561" priority="561">
      <formula>"Mercado Envios grátis"</formula>
    </cfRule>
  </conditionalFormatting>
  <conditionalFormatting sqref="W221">
    <cfRule type="cellIs" operator="equal" dxfId="562" priority="562">
      <formula>"Premium"</formula>
    </cfRule>
  </conditionalFormatting>
  <conditionalFormatting sqref="J222">
    <cfRule type="cellIs" operator="equal" dxfId="563" priority="563">
      <formula>"R$"</formula>
    </cfRule>
  </conditionalFormatting>
  <conditionalFormatting sqref="K222">
    <cfRule type="cellIs" operator="equal" dxfId="564" priority="564">
      <formula>"Com impostos"</formula>
    </cfRule>
  </conditionalFormatting>
  <conditionalFormatting sqref="V222">
    <cfRule type="cellIs" operator="equal" dxfId="565" priority="565">
      <formula>"Mercado Envios grátis"</formula>
    </cfRule>
  </conditionalFormatting>
  <conditionalFormatting sqref="W222">
    <cfRule type="cellIs" operator="equal" dxfId="566" priority="566">
      <formula>"Premium"</formula>
    </cfRule>
  </conditionalFormatting>
  <conditionalFormatting sqref="J223">
    <cfRule type="cellIs" operator="equal" dxfId="567" priority="567">
      <formula>"R$"</formula>
    </cfRule>
  </conditionalFormatting>
  <conditionalFormatting sqref="K223">
    <cfRule type="cellIs" operator="equal" dxfId="568" priority="568">
      <formula>"Com impostos"</formula>
    </cfRule>
  </conditionalFormatting>
  <conditionalFormatting sqref="V223">
    <cfRule type="cellIs" operator="equal" dxfId="569" priority="569">
      <formula>"Mercado Envios grátis"</formula>
    </cfRule>
  </conditionalFormatting>
  <conditionalFormatting sqref="W223">
    <cfRule type="cellIs" operator="equal" dxfId="570" priority="570">
      <formula>"Premium"</formula>
    </cfRule>
  </conditionalFormatting>
  <conditionalFormatting sqref="J224">
    <cfRule type="cellIs" operator="equal" dxfId="571" priority="571">
      <formula>"R$"</formula>
    </cfRule>
  </conditionalFormatting>
  <conditionalFormatting sqref="V224">
    <cfRule type="cellIs" operator="equal" dxfId="572" priority="572">
      <formula>"Mercado Envios grátis"</formula>
    </cfRule>
  </conditionalFormatting>
  <conditionalFormatting sqref="W224">
    <cfRule type="cellIs" operator="equal" dxfId="573" priority="573">
      <formula>"Premium"</formula>
    </cfRule>
  </conditionalFormatting>
  <conditionalFormatting sqref="J228">
    <cfRule type="cellIs" operator="equal" dxfId="574" priority="574">
      <formula>"R$"</formula>
    </cfRule>
  </conditionalFormatting>
  <conditionalFormatting sqref="K228">
    <cfRule type="cellIs" operator="equal" dxfId="575" priority="575">
      <formula>"Com impostos"</formula>
    </cfRule>
  </conditionalFormatting>
  <conditionalFormatting sqref="V228">
    <cfRule type="cellIs" operator="equal" dxfId="576" priority="576">
      <formula>"Mercado Envios grátis"</formula>
    </cfRule>
  </conditionalFormatting>
  <conditionalFormatting sqref="W228">
    <cfRule type="cellIs" operator="equal" dxfId="577" priority="577">
      <formula>"Clássico"</formula>
    </cfRule>
  </conditionalFormatting>
  <conditionalFormatting sqref="J229">
    <cfRule type="cellIs" operator="equal" dxfId="578" priority="578">
      <formula>"R$"</formula>
    </cfRule>
  </conditionalFormatting>
  <conditionalFormatting sqref="K229">
    <cfRule type="cellIs" operator="equal" dxfId="579" priority="579">
      <formula>"Com impostos"</formula>
    </cfRule>
  </conditionalFormatting>
  <conditionalFormatting sqref="V229">
    <cfRule type="cellIs" operator="equal" dxfId="580" priority="580">
      <formula>"Mercado Envios grátis"</formula>
    </cfRule>
  </conditionalFormatting>
  <conditionalFormatting sqref="W229">
    <cfRule type="cellIs" operator="equal" dxfId="581" priority="581">
      <formula>"Premium"</formula>
    </cfRule>
  </conditionalFormatting>
  <conditionalFormatting sqref="J230">
    <cfRule type="cellIs" operator="equal" dxfId="582" priority="582">
      <formula>"R$"</formula>
    </cfRule>
  </conditionalFormatting>
  <conditionalFormatting sqref="K230">
    <cfRule type="cellIs" operator="equal" dxfId="583" priority="583">
      <formula>"Com impostos"</formula>
    </cfRule>
  </conditionalFormatting>
  <conditionalFormatting sqref="V230">
    <cfRule type="cellIs" operator="equal" dxfId="584" priority="584">
      <formula>"Mercado Envios grátis"</formula>
    </cfRule>
  </conditionalFormatting>
  <conditionalFormatting sqref="W230">
    <cfRule type="cellIs" operator="equal" dxfId="585" priority="585">
      <formula>"Premium"</formula>
    </cfRule>
  </conditionalFormatting>
  <conditionalFormatting sqref="J231">
    <cfRule type="cellIs" operator="equal" dxfId="586" priority="586">
      <formula>"R$"</formula>
    </cfRule>
  </conditionalFormatting>
  <conditionalFormatting sqref="K231">
    <cfRule type="cellIs" operator="equal" dxfId="587" priority="587">
      <formula>"Com impostos"</formula>
    </cfRule>
  </conditionalFormatting>
  <conditionalFormatting sqref="V231">
    <cfRule type="cellIs" operator="equal" dxfId="588" priority="588">
      <formula>"Mercado Envios por conta do comprador"</formula>
    </cfRule>
  </conditionalFormatting>
  <conditionalFormatting sqref="W231">
    <cfRule type="cellIs" operator="equal" dxfId="589" priority="589">
      <formula>"Clássico"</formula>
    </cfRule>
  </conditionalFormatting>
  <conditionalFormatting sqref="J232">
    <cfRule type="cellIs" operator="equal" dxfId="590" priority="590">
      <formula>"R$"</formula>
    </cfRule>
  </conditionalFormatting>
  <conditionalFormatting sqref="K232">
    <cfRule type="cellIs" operator="equal" dxfId="591" priority="591">
      <formula>"Com impostos"</formula>
    </cfRule>
  </conditionalFormatting>
  <conditionalFormatting sqref="V232">
    <cfRule type="cellIs" operator="equal" dxfId="592" priority="592">
      <formula>"Mercado Envios grátis"</formula>
    </cfRule>
  </conditionalFormatting>
  <conditionalFormatting sqref="W232">
    <cfRule type="cellIs" operator="equal" dxfId="593" priority="593">
      <formula>"Clássico"</formula>
    </cfRule>
  </conditionalFormatting>
  <conditionalFormatting sqref="J233">
    <cfRule type="cellIs" operator="equal" dxfId="594" priority="594">
      <formula>"R$"</formula>
    </cfRule>
  </conditionalFormatting>
  <conditionalFormatting sqref="K233">
    <cfRule type="cellIs" operator="equal" dxfId="595" priority="595">
      <formula>"Com impostos"</formula>
    </cfRule>
  </conditionalFormatting>
  <conditionalFormatting sqref="V233">
    <cfRule type="cellIs" operator="equal" dxfId="596" priority="596">
      <formula>"Mercado Envios grátis"</formula>
    </cfRule>
  </conditionalFormatting>
  <conditionalFormatting sqref="W233">
    <cfRule type="cellIs" operator="equal" dxfId="597" priority="597">
      <formula>"Premium"</formula>
    </cfRule>
  </conditionalFormatting>
  <conditionalFormatting sqref="J234">
    <cfRule type="cellIs" operator="equal" dxfId="598" priority="598">
      <formula>"R$"</formula>
    </cfRule>
  </conditionalFormatting>
  <conditionalFormatting sqref="K234">
    <cfRule type="cellIs" operator="equal" dxfId="599" priority="599">
      <formula>"Com impostos"</formula>
    </cfRule>
  </conditionalFormatting>
  <conditionalFormatting sqref="V234">
    <cfRule type="cellIs" operator="equal" dxfId="600" priority="600">
      <formula>"Mercado Envios grátis"</formula>
    </cfRule>
  </conditionalFormatting>
  <conditionalFormatting sqref="W234">
    <cfRule type="cellIs" operator="equal" dxfId="601" priority="601">
      <formula>"Premium"</formula>
    </cfRule>
  </conditionalFormatting>
  <conditionalFormatting sqref="J235">
    <cfRule type="cellIs" operator="equal" dxfId="602" priority="602">
      <formula>"R$"</formula>
    </cfRule>
  </conditionalFormatting>
  <conditionalFormatting sqref="V235">
    <cfRule type="cellIs" operator="equal" dxfId="603" priority="603">
      <formula>"Mercado Envios grátis"</formula>
    </cfRule>
  </conditionalFormatting>
  <conditionalFormatting sqref="W235">
    <cfRule type="cellIs" operator="equal" dxfId="604" priority="604">
      <formula>"Clássico"</formula>
    </cfRule>
  </conditionalFormatting>
  <conditionalFormatting sqref="J238">
    <cfRule type="cellIs" operator="equal" dxfId="605" priority="605">
      <formula>"R$"</formula>
    </cfRule>
  </conditionalFormatting>
  <conditionalFormatting sqref="K238">
    <cfRule type="cellIs" operator="equal" dxfId="606" priority="606">
      <formula>"Com impostos"</formula>
    </cfRule>
  </conditionalFormatting>
  <conditionalFormatting sqref="V238">
    <cfRule type="cellIs" operator="equal" dxfId="607" priority="607">
      <formula>"Mercado Envios grátis"</formula>
    </cfRule>
  </conditionalFormatting>
  <conditionalFormatting sqref="W238">
    <cfRule type="cellIs" operator="equal" dxfId="608" priority="608">
      <formula>"Premium"</formula>
    </cfRule>
  </conditionalFormatting>
  <conditionalFormatting sqref="J239">
    <cfRule type="cellIs" operator="equal" dxfId="609" priority="609">
      <formula>"R$"</formula>
    </cfRule>
  </conditionalFormatting>
  <conditionalFormatting sqref="K239">
    <cfRule type="cellIs" operator="equal" dxfId="610" priority="610">
      <formula>"Com impostos"</formula>
    </cfRule>
  </conditionalFormatting>
  <conditionalFormatting sqref="V239">
    <cfRule type="cellIs" operator="equal" dxfId="611" priority="611">
      <formula>"Mercado Envios grátis"</formula>
    </cfRule>
  </conditionalFormatting>
  <conditionalFormatting sqref="W239">
    <cfRule type="cellIs" operator="equal" dxfId="612" priority="612">
      <formula>"Premium"</formula>
    </cfRule>
  </conditionalFormatting>
  <conditionalFormatting sqref="J240">
    <cfRule type="cellIs" operator="equal" dxfId="613" priority="613">
      <formula>"R$"</formula>
    </cfRule>
  </conditionalFormatting>
  <conditionalFormatting sqref="K240">
    <cfRule type="cellIs" operator="equal" dxfId="614" priority="614">
      <formula>"Com impostos"</formula>
    </cfRule>
  </conditionalFormatting>
  <conditionalFormatting sqref="V240">
    <cfRule type="cellIs" operator="equal" dxfId="615" priority="615">
      <formula>"Mercado Envios grátis"</formula>
    </cfRule>
  </conditionalFormatting>
  <conditionalFormatting sqref="W240">
    <cfRule type="cellIs" operator="equal" dxfId="616" priority="616">
      <formula>"Clássico"</formula>
    </cfRule>
  </conditionalFormatting>
  <conditionalFormatting sqref="J241">
    <cfRule type="cellIs" operator="equal" dxfId="617" priority="617">
      <formula>"R$"</formula>
    </cfRule>
  </conditionalFormatting>
  <conditionalFormatting sqref="K241">
    <cfRule type="cellIs" operator="equal" dxfId="618" priority="618">
      <formula>"Com impostos"</formula>
    </cfRule>
  </conditionalFormatting>
  <conditionalFormatting sqref="V241">
    <cfRule type="cellIs" operator="equal" dxfId="619" priority="619">
      <formula>"Mercado Envios por conta do comprador"</formula>
    </cfRule>
  </conditionalFormatting>
  <conditionalFormatting sqref="W241">
    <cfRule type="cellIs" operator="equal" dxfId="620" priority="620">
      <formula>"Clássico"</formula>
    </cfRule>
  </conditionalFormatting>
  <conditionalFormatting sqref="J242">
    <cfRule type="cellIs" operator="equal" dxfId="621" priority="621">
      <formula>"R$"</formula>
    </cfRule>
  </conditionalFormatting>
  <conditionalFormatting sqref="K242">
    <cfRule type="cellIs" operator="equal" dxfId="622" priority="622">
      <formula>"Com impostos"</formula>
    </cfRule>
  </conditionalFormatting>
  <conditionalFormatting sqref="V242">
    <cfRule type="cellIs" operator="equal" dxfId="623" priority="623">
      <formula>"Mercado Envios grátis"</formula>
    </cfRule>
  </conditionalFormatting>
  <conditionalFormatting sqref="W242">
    <cfRule type="cellIs" operator="equal" dxfId="624" priority="624">
      <formula>"Premium"</formula>
    </cfRule>
  </conditionalFormatting>
  <conditionalFormatting sqref="J243">
    <cfRule type="cellIs" operator="equal" dxfId="625" priority="625">
      <formula>"R$"</formula>
    </cfRule>
  </conditionalFormatting>
  <conditionalFormatting sqref="K243">
    <cfRule type="cellIs" operator="equal" dxfId="626" priority="626">
      <formula>"Com impostos"</formula>
    </cfRule>
  </conditionalFormatting>
  <conditionalFormatting sqref="V243">
    <cfRule type="cellIs" operator="equal" dxfId="627" priority="627">
      <formula>"Mercado Envios por conta do comprador"</formula>
    </cfRule>
  </conditionalFormatting>
  <conditionalFormatting sqref="W243">
    <cfRule type="cellIs" operator="equal" dxfId="628" priority="628">
      <formula>"Clássico"</formula>
    </cfRule>
  </conditionalFormatting>
  <conditionalFormatting sqref="J244">
    <cfRule type="cellIs" operator="equal" dxfId="629" priority="629">
      <formula>"R$"</formula>
    </cfRule>
  </conditionalFormatting>
  <conditionalFormatting sqref="K244">
    <cfRule type="cellIs" operator="equal" dxfId="630" priority="630">
      <formula>"Com impostos"</formula>
    </cfRule>
  </conditionalFormatting>
  <conditionalFormatting sqref="V244">
    <cfRule type="cellIs" operator="equal" dxfId="631" priority="631">
      <formula>"Mercado Envios grátis"</formula>
    </cfRule>
  </conditionalFormatting>
  <conditionalFormatting sqref="W244">
    <cfRule type="cellIs" operator="equal" dxfId="632" priority="632">
      <formula>"Premium"</formula>
    </cfRule>
  </conditionalFormatting>
  <conditionalFormatting sqref="J245">
    <cfRule type="cellIs" operator="equal" dxfId="633" priority="633">
      <formula>"R$"</formula>
    </cfRule>
  </conditionalFormatting>
  <conditionalFormatting sqref="K245">
    <cfRule type="cellIs" operator="equal" dxfId="634" priority="634">
      <formula>"Com impostos"</formula>
    </cfRule>
  </conditionalFormatting>
  <conditionalFormatting sqref="V245">
    <cfRule type="cellIs" operator="equal" dxfId="635" priority="635">
      <formula>"Mercado Envios grátis"</formula>
    </cfRule>
  </conditionalFormatting>
  <conditionalFormatting sqref="W245">
    <cfRule type="cellIs" operator="equal" dxfId="636" priority="636">
      <formula>"Clássico"</formula>
    </cfRule>
  </conditionalFormatting>
  <conditionalFormatting sqref="J246">
    <cfRule type="cellIs" operator="equal" dxfId="637" priority="637">
      <formula>"R$"</formula>
    </cfRule>
  </conditionalFormatting>
  <conditionalFormatting sqref="K246">
    <cfRule type="cellIs" operator="equal" dxfId="638" priority="638">
      <formula>"Com impostos"</formula>
    </cfRule>
  </conditionalFormatting>
  <conditionalFormatting sqref="V246">
    <cfRule type="cellIs" operator="equal" dxfId="639" priority="639">
      <formula>"Mercado Envios grátis"</formula>
    </cfRule>
  </conditionalFormatting>
  <conditionalFormatting sqref="W246">
    <cfRule type="cellIs" operator="equal" dxfId="640" priority="640">
      <formula>"Clássico"</formula>
    </cfRule>
  </conditionalFormatting>
  <conditionalFormatting sqref="J247">
    <cfRule type="cellIs" operator="equal" dxfId="641" priority="641">
      <formula>"R$"</formula>
    </cfRule>
  </conditionalFormatting>
  <conditionalFormatting sqref="V247">
    <cfRule type="cellIs" operator="equal" dxfId="642" priority="642">
      <formula>"Mercado Envios grátis"</formula>
    </cfRule>
  </conditionalFormatting>
  <conditionalFormatting sqref="W247">
    <cfRule type="cellIs" operator="equal" dxfId="643" priority="643">
      <formula>"Premium"</formula>
    </cfRule>
  </conditionalFormatting>
  <conditionalFormatting sqref="J250">
    <cfRule type="cellIs" operator="equal" dxfId="644" priority="644">
      <formula>"R$"</formula>
    </cfRule>
  </conditionalFormatting>
  <conditionalFormatting sqref="K250">
    <cfRule type="cellIs" operator="equal" dxfId="645" priority="645">
      <formula>"Com impostos"</formula>
    </cfRule>
  </conditionalFormatting>
  <conditionalFormatting sqref="V250">
    <cfRule type="cellIs" operator="equal" dxfId="646" priority="646">
      <formula>"Mercado Envios por conta do comprador"</formula>
    </cfRule>
  </conditionalFormatting>
  <conditionalFormatting sqref="W250">
    <cfRule type="cellIs" operator="equal" dxfId="647" priority="647">
      <formula>"Clássico"</formula>
    </cfRule>
  </conditionalFormatting>
  <conditionalFormatting sqref="J251">
    <cfRule type="cellIs" operator="equal" dxfId="648" priority="648">
      <formula>"R$"</formula>
    </cfRule>
  </conditionalFormatting>
  <conditionalFormatting sqref="K251">
    <cfRule type="cellIs" operator="equal" dxfId="649" priority="649">
      <formula>"Com impostos"</formula>
    </cfRule>
  </conditionalFormatting>
  <conditionalFormatting sqref="V251">
    <cfRule type="cellIs" operator="equal" dxfId="650" priority="650">
      <formula>"Mercado Envios grátis"</formula>
    </cfRule>
  </conditionalFormatting>
  <conditionalFormatting sqref="W251">
    <cfRule type="cellIs" operator="equal" dxfId="651" priority="651">
      <formula>"Clássico"</formula>
    </cfRule>
  </conditionalFormatting>
  <conditionalFormatting sqref="J252">
    <cfRule type="cellIs" operator="equal" dxfId="652" priority="652">
      <formula>"R$"</formula>
    </cfRule>
  </conditionalFormatting>
  <conditionalFormatting sqref="K252">
    <cfRule type="cellIs" operator="equal" dxfId="653" priority="653">
      <formula>"Com impostos"</formula>
    </cfRule>
  </conditionalFormatting>
  <conditionalFormatting sqref="V252">
    <cfRule type="cellIs" operator="equal" dxfId="654" priority="654">
      <formula>"Mercado Envios grátis"</formula>
    </cfRule>
  </conditionalFormatting>
  <conditionalFormatting sqref="W252">
    <cfRule type="cellIs" operator="equal" dxfId="655" priority="655">
      <formula>"Clássico"</formula>
    </cfRule>
  </conditionalFormatting>
  <conditionalFormatting sqref="J253">
    <cfRule type="cellIs" operator="equal" dxfId="656" priority="656">
      <formula>"R$"</formula>
    </cfRule>
  </conditionalFormatting>
  <conditionalFormatting sqref="K253">
    <cfRule type="cellIs" operator="equal" dxfId="657" priority="657">
      <formula>"Com impostos"</formula>
    </cfRule>
  </conditionalFormatting>
  <conditionalFormatting sqref="V253">
    <cfRule type="cellIs" operator="equal" dxfId="658" priority="658">
      <formula>"Mercado Envios grátis"</formula>
    </cfRule>
  </conditionalFormatting>
  <conditionalFormatting sqref="W253">
    <cfRule type="cellIs" operator="equal" dxfId="659" priority="659">
      <formula>"Premium"</formula>
    </cfRule>
  </conditionalFormatting>
  <conditionalFormatting sqref="J254">
    <cfRule type="cellIs" operator="equal" dxfId="660" priority="660">
      <formula>"R$"</formula>
    </cfRule>
  </conditionalFormatting>
  <conditionalFormatting sqref="V254">
    <cfRule type="cellIs" operator="equal" dxfId="661" priority="661">
      <formula>"Mercado Envios por conta do comprador"</formula>
    </cfRule>
  </conditionalFormatting>
  <conditionalFormatting sqref="W254">
    <cfRule type="cellIs" operator="equal" dxfId="662" priority="662">
      <formula>"Clássico"</formula>
    </cfRule>
  </conditionalFormatting>
  <conditionalFormatting sqref="J259">
    <cfRule type="cellIs" operator="equal" dxfId="663" priority="663">
      <formula>"R$"</formula>
    </cfRule>
  </conditionalFormatting>
  <conditionalFormatting sqref="K259">
    <cfRule type="cellIs" operator="equal" dxfId="664" priority="664">
      <formula>"Com impostos"</formula>
    </cfRule>
  </conditionalFormatting>
  <conditionalFormatting sqref="V259">
    <cfRule type="cellIs" operator="equal" dxfId="665" priority="665">
      <formula>"Mercado Envios por conta do comprador"</formula>
    </cfRule>
  </conditionalFormatting>
  <conditionalFormatting sqref="W259">
    <cfRule type="cellIs" operator="equal" dxfId="666" priority="666">
      <formula>"Clássico"</formula>
    </cfRule>
  </conditionalFormatting>
  <conditionalFormatting sqref="J260">
    <cfRule type="cellIs" operator="equal" dxfId="667" priority="667">
      <formula>"R$"</formula>
    </cfRule>
  </conditionalFormatting>
  <conditionalFormatting sqref="K260">
    <cfRule type="cellIs" operator="equal" dxfId="668" priority="668">
      <formula>"Com impostos"</formula>
    </cfRule>
  </conditionalFormatting>
  <conditionalFormatting sqref="V260">
    <cfRule type="cellIs" operator="equal" dxfId="669" priority="669">
      <formula>"Mercado Envios grátis"</formula>
    </cfRule>
  </conditionalFormatting>
  <conditionalFormatting sqref="W260">
    <cfRule type="cellIs" operator="equal" dxfId="670" priority="670">
      <formula>"Clássico"</formula>
    </cfRule>
  </conditionalFormatting>
  <conditionalFormatting sqref="J261">
    <cfRule type="cellIs" operator="equal" dxfId="671" priority="671">
      <formula>"R$"</formula>
    </cfRule>
  </conditionalFormatting>
  <conditionalFormatting sqref="K261">
    <cfRule type="cellIs" operator="equal" dxfId="672" priority="672">
      <formula>"Com impostos"</formula>
    </cfRule>
  </conditionalFormatting>
  <conditionalFormatting sqref="V261">
    <cfRule type="cellIs" operator="equal" dxfId="673" priority="673">
      <formula>"Mercado Envios grátis"</formula>
    </cfRule>
  </conditionalFormatting>
  <conditionalFormatting sqref="W261">
    <cfRule type="cellIs" operator="equal" dxfId="674" priority="674">
      <formula>"Clássico"</formula>
    </cfRule>
  </conditionalFormatting>
  <conditionalFormatting sqref="J262">
    <cfRule type="cellIs" operator="equal" dxfId="675" priority="675">
      <formula>"R$"</formula>
    </cfRule>
  </conditionalFormatting>
  <conditionalFormatting sqref="K262">
    <cfRule type="cellIs" operator="equal" dxfId="676" priority="676">
      <formula>"Com impostos"</formula>
    </cfRule>
  </conditionalFormatting>
  <conditionalFormatting sqref="V262">
    <cfRule type="cellIs" operator="equal" dxfId="677" priority="677">
      <formula>"Mercado Envios grátis"</formula>
    </cfRule>
  </conditionalFormatting>
  <conditionalFormatting sqref="W262">
    <cfRule type="cellIs" operator="equal" dxfId="678" priority="678">
      <formula>"Premium"</formula>
    </cfRule>
  </conditionalFormatting>
  <conditionalFormatting sqref="J263">
    <cfRule type="cellIs" operator="equal" dxfId="679" priority="679">
      <formula>"R$"</formula>
    </cfRule>
  </conditionalFormatting>
  <conditionalFormatting sqref="K263">
    <cfRule type="cellIs" operator="equal" dxfId="680" priority="680">
      <formula>"Com impostos"</formula>
    </cfRule>
  </conditionalFormatting>
  <conditionalFormatting sqref="V263">
    <cfRule type="cellIs" operator="equal" dxfId="681" priority="681">
      <formula>"Mercado Envios por conta do comprador"</formula>
    </cfRule>
  </conditionalFormatting>
  <conditionalFormatting sqref="W263">
    <cfRule type="cellIs" operator="equal" dxfId="682" priority="682">
      <formula>"Premium"</formula>
    </cfRule>
  </conditionalFormatting>
  <conditionalFormatting sqref="J264">
    <cfRule type="cellIs" operator="equal" dxfId="683" priority="683">
      <formula>"R$"</formula>
    </cfRule>
  </conditionalFormatting>
  <conditionalFormatting sqref="K264">
    <cfRule type="cellIs" operator="equal" dxfId="684" priority="684">
      <formula>"Com impostos"</formula>
    </cfRule>
  </conditionalFormatting>
  <conditionalFormatting sqref="V264">
    <cfRule type="cellIs" operator="equal" dxfId="685" priority="685">
      <formula>"Mercado Envios grátis"</formula>
    </cfRule>
  </conditionalFormatting>
  <conditionalFormatting sqref="W264">
    <cfRule type="cellIs" operator="equal" dxfId="686" priority="686">
      <formula>"Clássico"</formula>
    </cfRule>
  </conditionalFormatting>
  <conditionalFormatting sqref="J265">
    <cfRule type="cellIs" operator="equal" dxfId="687" priority="687">
      <formula>"R$"</formula>
    </cfRule>
  </conditionalFormatting>
  <conditionalFormatting sqref="K265">
    <cfRule type="cellIs" operator="equal" dxfId="688" priority="688">
      <formula>"Com impostos"</formula>
    </cfRule>
  </conditionalFormatting>
  <conditionalFormatting sqref="V265">
    <cfRule type="cellIs" operator="equal" dxfId="689" priority="689">
      <formula>"Mercado Envios grátis"</formula>
    </cfRule>
  </conditionalFormatting>
  <conditionalFormatting sqref="W265">
    <cfRule type="cellIs" operator="equal" dxfId="690" priority="690">
      <formula>"Premium"</formula>
    </cfRule>
  </conditionalFormatting>
  <conditionalFormatting sqref="J266">
    <cfRule type="cellIs" operator="equal" dxfId="691" priority="691">
      <formula>"R$"</formula>
    </cfRule>
  </conditionalFormatting>
  <conditionalFormatting sqref="K266">
    <cfRule type="cellIs" operator="equal" dxfId="692" priority="692">
      <formula>"Com impostos"</formula>
    </cfRule>
  </conditionalFormatting>
  <conditionalFormatting sqref="V266">
    <cfRule type="cellIs" operator="equal" dxfId="693" priority="693">
      <formula>"Mercado Envios grátis"</formula>
    </cfRule>
  </conditionalFormatting>
  <conditionalFormatting sqref="W266">
    <cfRule type="cellIs" operator="equal" dxfId="694" priority="694">
      <formula>"Premium"</formula>
    </cfRule>
  </conditionalFormatting>
  <conditionalFormatting sqref="J267">
    <cfRule type="cellIs" operator="equal" dxfId="695" priority="695">
      <formula>"R$"</formula>
    </cfRule>
  </conditionalFormatting>
  <conditionalFormatting sqref="K267">
    <cfRule type="cellIs" operator="equal" dxfId="696" priority="696">
      <formula>"Com impostos"</formula>
    </cfRule>
  </conditionalFormatting>
  <conditionalFormatting sqref="V267">
    <cfRule type="cellIs" operator="equal" dxfId="697" priority="697">
      <formula>"Mercado Envios grátis"</formula>
    </cfRule>
  </conditionalFormatting>
  <conditionalFormatting sqref="W267">
    <cfRule type="cellIs" operator="equal" dxfId="698" priority="698">
      <formula>"Premium"</formula>
    </cfRule>
  </conditionalFormatting>
  <conditionalFormatting sqref="J268">
    <cfRule type="cellIs" operator="equal" dxfId="699" priority="699">
      <formula>"R$"</formula>
    </cfRule>
  </conditionalFormatting>
  <conditionalFormatting sqref="K268">
    <cfRule type="cellIs" operator="equal" dxfId="700" priority="700">
      <formula>"Com impostos"</formula>
    </cfRule>
  </conditionalFormatting>
  <conditionalFormatting sqref="V268">
    <cfRule type="cellIs" operator="equal" dxfId="701" priority="701">
      <formula>"Mercado Envios por conta do comprador"</formula>
    </cfRule>
  </conditionalFormatting>
  <conditionalFormatting sqref="W268">
    <cfRule type="cellIs" operator="equal" dxfId="702" priority="702">
      <formula>"Clássico"</formula>
    </cfRule>
  </conditionalFormatting>
  <conditionalFormatting sqref="J269">
    <cfRule type="cellIs" operator="equal" dxfId="703" priority="703">
      <formula>"R$"</formula>
    </cfRule>
  </conditionalFormatting>
  <conditionalFormatting sqref="K269">
    <cfRule type="cellIs" operator="equal" dxfId="704" priority="704">
      <formula>"Com impostos"</formula>
    </cfRule>
  </conditionalFormatting>
  <conditionalFormatting sqref="V269">
    <cfRule type="cellIs" operator="equal" dxfId="705" priority="705">
      <formula>"Mercado Envios por conta do comprador"</formula>
    </cfRule>
  </conditionalFormatting>
  <conditionalFormatting sqref="W269">
    <cfRule type="cellIs" operator="equal" dxfId="706" priority="706">
      <formula>"Premium"</formula>
    </cfRule>
  </conditionalFormatting>
  <conditionalFormatting sqref="J270">
    <cfRule type="cellIs" operator="equal" dxfId="707" priority="707">
      <formula>"R$"</formula>
    </cfRule>
  </conditionalFormatting>
  <conditionalFormatting sqref="K270">
    <cfRule type="cellIs" operator="equal" dxfId="708" priority="708">
      <formula>"Com impostos"</formula>
    </cfRule>
  </conditionalFormatting>
  <conditionalFormatting sqref="V270">
    <cfRule type="cellIs" operator="equal" dxfId="709" priority="709">
      <formula>"Mercado Envios grátis"</formula>
    </cfRule>
  </conditionalFormatting>
  <conditionalFormatting sqref="W270">
    <cfRule type="cellIs" operator="equal" dxfId="710" priority="710">
      <formula>"Premium"</formula>
    </cfRule>
  </conditionalFormatting>
  <conditionalFormatting sqref="J271">
    <cfRule type="cellIs" operator="equal" dxfId="711" priority="711">
      <formula>"R$"</formula>
    </cfRule>
  </conditionalFormatting>
  <conditionalFormatting sqref="V271">
    <cfRule type="cellIs" operator="equal" dxfId="712" priority="712">
      <formula>"Mercado Envios por conta do comprador"</formula>
    </cfRule>
  </conditionalFormatting>
  <conditionalFormatting sqref="W271">
    <cfRule type="cellIs" operator="equal" dxfId="713" priority="713">
      <formula>"Clássico"</formula>
    </cfRule>
  </conditionalFormatting>
  <conditionalFormatting sqref="J276">
    <cfRule type="cellIs" operator="equal" dxfId="714" priority="714">
      <formula>"R$"</formula>
    </cfRule>
  </conditionalFormatting>
  <conditionalFormatting sqref="V276">
    <cfRule type="cellIs" operator="equal" dxfId="715" priority="715">
      <formula>"Mercado Envios grátis"</formula>
    </cfRule>
  </conditionalFormatting>
  <conditionalFormatting sqref="W276">
    <cfRule type="cellIs" operator="equal" dxfId="716" priority="716">
      <formula>"Premium"</formula>
    </cfRule>
  </conditionalFormatting>
  <conditionalFormatting sqref="J279">
    <cfRule type="cellIs" operator="equal" dxfId="717" priority="717">
      <formula>"R$"</formula>
    </cfRule>
  </conditionalFormatting>
  <conditionalFormatting sqref="V279">
    <cfRule type="cellIs" operator="equal" dxfId="718" priority="718">
      <formula>"Mercado Envios grátis"</formula>
    </cfRule>
  </conditionalFormatting>
  <conditionalFormatting sqref="W279">
    <cfRule type="cellIs" operator="equal" dxfId="719" priority="719">
      <formula>"Clássico"</formula>
    </cfRule>
  </conditionalFormatting>
  <conditionalFormatting sqref="J282">
    <cfRule type="cellIs" operator="equal" dxfId="720" priority="720">
      <formula>"R$"</formula>
    </cfRule>
  </conditionalFormatting>
  <conditionalFormatting sqref="K282">
    <cfRule type="cellIs" operator="equal" dxfId="721" priority="721">
      <formula>"Com impostos"</formula>
    </cfRule>
  </conditionalFormatting>
  <conditionalFormatting sqref="V282">
    <cfRule type="cellIs" operator="equal" dxfId="722" priority="722">
      <formula>"Mercado Envios por conta do comprador"</formula>
    </cfRule>
  </conditionalFormatting>
  <conditionalFormatting sqref="W282">
    <cfRule type="cellIs" operator="equal" dxfId="723" priority="723">
      <formula>"Clássico"</formula>
    </cfRule>
  </conditionalFormatting>
  <conditionalFormatting sqref="J283">
    <cfRule type="cellIs" operator="equal" dxfId="724" priority="724">
      <formula>"R$"</formula>
    </cfRule>
  </conditionalFormatting>
  <conditionalFormatting sqref="K283">
    <cfRule type="cellIs" operator="equal" dxfId="725" priority="725">
      <formula>"Com impostos"</formula>
    </cfRule>
  </conditionalFormatting>
  <conditionalFormatting sqref="V283">
    <cfRule type="cellIs" operator="equal" dxfId="726" priority="726">
      <formula>"Mercado Envios grátis"</formula>
    </cfRule>
  </conditionalFormatting>
  <conditionalFormatting sqref="W283">
    <cfRule type="cellIs" operator="equal" dxfId="727" priority="727">
      <formula>"Premium"</formula>
    </cfRule>
  </conditionalFormatting>
  <conditionalFormatting sqref="J284">
    <cfRule type="cellIs" operator="equal" dxfId="728" priority="728">
      <formula>"R$"</formula>
    </cfRule>
  </conditionalFormatting>
  <conditionalFormatting sqref="V284">
    <cfRule type="cellIs" operator="equal" dxfId="729" priority="729">
      <formula>"Mercado Envios por conta do comprador"</formula>
    </cfRule>
  </conditionalFormatting>
  <conditionalFormatting sqref="W284">
    <cfRule type="cellIs" operator="equal" dxfId="730" priority="730">
      <formula>"Clássico"</formula>
    </cfRule>
  </conditionalFormatting>
  <conditionalFormatting sqref="J289">
    <cfRule type="cellIs" operator="equal" dxfId="731" priority="731">
      <formula>"R$"</formula>
    </cfRule>
  </conditionalFormatting>
  <conditionalFormatting sqref="K289">
    <cfRule type="cellIs" operator="equal" dxfId="732" priority="732">
      <formula>"Com impostos"</formula>
    </cfRule>
  </conditionalFormatting>
  <conditionalFormatting sqref="V289">
    <cfRule type="cellIs" operator="equal" dxfId="733" priority="733">
      <formula>"Mercado Envios grátis"</formula>
    </cfRule>
  </conditionalFormatting>
  <conditionalFormatting sqref="W289">
    <cfRule type="cellIs" operator="equal" dxfId="734" priority="734">
      <formula>"Premium"</formula>
    </cfRule>
  </conditionalFormatting>
  <conditionalFormatting sqref="J290">
    <cfRule type="cellIs" operator="equal" dxfId="735" priority="735">
      <formula>"R$"</formula>
    </cfRule>
  </conditionalFormatting>
  <conditionalFormatting sqref="K290">
    <cfRule type="cellIs" operator="equal" dxfId="736" priority="736">
      <formula>"Com impostos"</formula>
    </cfRule>
  </conditionalFormatting>
  <conditionalFormatting sqref="V290">
    <cfRule type="cellIs" operator="equal" dxfId="737" priority="737">
      <formula>"Mercado Envios grátis"</formula>
    </cfRule>
  </conditionalFormatting>
  <conditionalFormatting sqref="W290">
    <cfRule type="cellIs" operator="equal" dxfId="738" priority="738">
      <formula>"Premium"</formula>
    </cfRule>
  </conditionalFormatting>
  <conditionalFormatting sqref="J291">
    <cfRule type="cellIs" operator="equal" dxfId="739" priority="739">
      <formula>"R$"</formula>
    </cfRule>
  </conditionalFormatting>
  <conditionalFormatting sqref="K291">
    <cfRule type="cellIs" operator="equal" dxfId="740" priority="740">
      <formula>"Com impostos"</formula>
    </cfRule>
  </conditionalFormatting>
  <conditionalFormatting sqref="V291">
    <cfRule type="cellIs" operator="equal" dxfId="741" priority="741">
      <formula>"Mercado Envios grátis"</formula>
    </cfRule>
  </conditionalFormatting>
  <conditionalFormatting sqref="W291">
    <cfRule type="cellIs" operator="equal" dxfId="742" priority="742">
      <formula>"Clássico"</formula>
    </cfRule>
  </conditionalFormatting>
  <conditionalFormatting sqref="J292">
    <cfRule type="cellIs" operator="equal" dxfId="743" priority="743">
      <formula>"R$"</formula>
    </cfRule>
  </conditionalFormatting>
  <conditionalFormatting sqref="K292">
    <cfRule type="cellIs" operator="equal" dxfId="744" priority="744">
      <formula>"Com impostos"</formula>
    </cfRule>
  </conditionalFormatting>
  <conditionalFormatting sqref="V292">
    <cfRule type="cellIs" operator="equal" dxfId="745" priority="745">
      <formula>"Mercado Envios grátis"</formula>
    </cfRule>
  </conditionalFormatting>
  <conditionalFormatting sqref="W292">
    <cfRule type="cellIs" operator="equal" dxfId="746" priority="746">
      <formula>"Premium"</formula>
    </cfRule>
  </conditionalFormatting>
  <conditionalFormatting sqref="J293">
    <cfRule type="cellIs" operator="equal" dxfId="747" priority="747">
      <formula>"R$"</formula>
    </cfRule>
  </conditionalFormatting>
  <conditionalFormatting sqref="K293">
    <cfRule type="cellIs" operator="equal" dxfId="748" priority="748">
      <formula>"Com impostos"</formula>
    </cfRule>
  </conditionalFormatting>
  <conditionalFormatting sqref="V293">
    <cfRule type="cellIs" operator="equal" dxfId="749" priority="749">
      <formula>"Mercado Envios grátis"</formula>
    </cfRule>
  </conditionalFormatting>
  <conditionalFormatting sqref="W293">
    <cfRule type="cellIs" operator="equal" dxfId="750" priority="750">
      <formula>"Clássico"</formula>
    </cfRule>
  </conditionalFormatting>
  <conditionalFormatting sqref="J294">
    <cfRule type="cellIs" operator="equal" dxfId="751" priority="751">
      <formula>"R$"</formula>
    </cfRule>
  </conditionalFormatting>
  <conditionalFormatting sqref="V294">
    <cfRule type="cellIs" operator="equal" dxfId="752" priority="752">
      <formula>"Mercado Envios por conta do comprador"</formula>
    </cfRule>
  </conditionalFormatting>
  <conditionalFormatting sqref="W294">
    <cfRule type="cellIs" operator="equal" dxfId="753" priority="753">
      <formula>"Clássico"</formula>
    </cfRule>
  </conditionalFormatting>
  <conditionalFormatting sqref="J299">
    <cfRule type="cellIs" operator="equal" dxfId="754" priority="754">
      <formula>"R$"</formula>
    </cfRule>
  </conditionalFormatting>
  <conditionalFormatting sqref="V299">
    <cfRule type="cellIs" operator="equal" dxfId="755" priority="755">
      <formula>"Mercado Envios grátis"</formula>
    </cfRule>
  </conditionalFormatting>
  <conditionalFormatting sqref="W299">
    <cfRule type="cellIs" operator="equal" dxfId="756" priority="756">
      <formula>"Clássico"</formula>
    </cfRule>
  </conditionalFormatting>
  <conditionalFormatting sqref="J302">
    <cfRule type="cellIs" operator="equal" dxfId="757" priority="757">
      <formula>"R$"</formula>
    </cfRule>
  </conditionalFormatting>
  <conditionalFormatting sqref="K302">
    <cfRule type="cellIs" operator="equal" dxfId="758" priority="758">
      <formula>"Com impostos"</formula>
    </cfRule>
  </conditionalFormatting>
  <conditionalFormatting sqref="V302">
    <cfRule type="cellIs" operator="equal" dxfId="759" priority="759">
      <formula>"Mercado Envios grátis"</formula>
    </cfRule>
  </conditionalFormatting>
  <conditionalFormatting sqref="W302">
    <cfRule type="cellIs" operator="equal" dxfId="760" priority="760">
      <formula>"Premium"</formula>
    </cfRule>
  </conditionalFormatting>
  <conditionalFormatting sqref="J303">
    <cfRule type="cellIs" operator="equal" dxfId="761" priority="761">
      <formula>"R$"</formula>
    </cfRule>
  </conditionalFormatting>
  <conditionalFormatting sqref="K303">
    <cfRule type="cellIs" operator="equal" dxfId="762" priority="762">
      <formula>"Com impostos"</formula>
    </cfRule>
  </conditionalFormatting>
  <conditionalFormatting sqref="V303">
    <cfRule type="cellIs" operator="equal" dxfId="763" priority="763">
      <formula>"Mercado Envios por conta do comprador"</formula>
    </cfRule>
  </conditionalFormatting>
  <conditionalFormatting sqref="W303">
    <cfRule type="cellIs" operator="equal" dxfId="764" priority="764">
      <formula>"Premium"</formula>
    </cfRule>
  </conditionalFormatting>
  <conditionalFormatting sqref="J304">
    <cfRule type="cellIs" operator="equal" dxfId="765" priority="765">
      <formula>"R$"</formula>
    </cfRule>
  </conditionalFormatting>
  <conditionalFormatting sqref="K304">
    <cfRule type="cellIs" operator="equal" dxfId="766" priority="766">
      <formula>"Com impostos"</formula>
    </cfRule>
  </conditionalFormatting>
  <conditionalFormatting sqref="V304">
    <cfRule type="cellIs" operator="equal" dxfId="767" priority="767">
      <formula>"Mercado Envios grátis"</formula>
    </cfRule>
  </conditionalFormatting>
  <conditionalFormatting sqref="W304">
    <cfRule type="cellIs" operator="equal" dxfId="768" priority="768">
      <formula>"Premium"</formula>
    </cfRule>
  </conditionalFormatting>
  <conditionalFormatting sqref="J305">
    <cfRule type="cellIs" operator="equal" dxfId="769" priority="769">
      <formula>"R$"</formula>
    </cfRule>
  </conditionalFormatting>
  <conditionalFormatting sqref="V305">
    <cfRule type="cellIs" operator="equal" dxfId="770" priority="770">
      <formula>"Mercado Envios grátis"</formula>
    </cfRule>
  </conditionalFormatting>
  <conditionalFormatting sqref="W305">
    <cfRule type="cellIs" operator="equal" dxfId="771" priority="771">
      <formula>"Premium"</formula>
    </cfRule>
  </conditionalFormatting>
  <conditionalFormatting sqref="J308">
    <cfRule type="cellIs" operator="equal" dxfId="772" priority="772">
      <formula>"R$"</formula>
    </cfRule>
  </conditionalFormatting>
  <conditionalFormatting sqref="K308">
    <cfRule type="cellIs" operator="equal" dxfId="773" priority="773">
      <formula>"Com impostos"</formula>
    </cfRule>
  </conditionalFormatting>
  <conditionalFormatting sqref="V308">
    <cfRule type="cellIs" operator="equal" dxfId="774" priority="774">
      <formula>"Mercado Envios grátis"</formula>
    </cfRule>
  </conditionalFormatting>
  <conditionalFormatting sqref="W308">
    <cfRule type="cellIs" operator="equal" dxfId="775" priority="775">
      <formula>"Clássico"</formula>
    </cfRule>
  </conditionalFormatting>
  <conditionalFormatting sqref="J309">
    <cfRule type="cellIs" operator="equal" dxfId="776" priority="776">
      <formula>"R$"</formula>
    </cfRule>
  </conditionalFormatting>
  <conditionalFormatting sqref="K309">
    <cfRule type="cellIs" operator="equal" dxfId="777" priority="777">
      <formula>"Com impostos"</formula>
    </cfRule>
  </conditionalFormatting>
  <conditionalFormatting sqref="V309">
    <cfRule type="cellIs" operator="equal" dxfId="778" priority="778">
      <formula>"Mercado Envios grátis"</formula>
    </cfRule>
  </conditionalFormatting>
  <conditionalFormatting sqref="W309">
    <cfRule type="cellIs" operator="equal" dxfId="779" priority="779">
      <formula>"Clássico"</formula>
    </cfRule>
  </conditionalFormatting>
  <conditionalFormatting sqref="J310">
    <cfRule type="cellIs" operator="equal" dxfId="780" priority="780">
      <formula>"R$"</formula>
    </cfRule>
  </conditionalFormatting>
  <conditionalFormatting sqref="K310">
    <cfRule type="cellIs" operator="equal" dxfId="781" priority="781">
      <formula>"Com impostos"</formula>
    </cfRule>
  </conditionalFormatting>
  <conditionalFormatting sqref="V310">
    <cfRule type="cellIs" operator="equal" dxfId="782" priority="782">
      <formula>"Mercado Envios grátis"</formula>
    </cfRule>
  </conditionalFormatting>
  <conditionalFormatting sqref="W310">
    <cfRule type="cellIs" operator="equal" dxfId="783" priority="783">
      <formula>"Premium"</formula>
    </cfRule>
  </conditionalFormatting>
  <conditionalFormatting sqref="J311">
    <cfRule type="cellIs" operator="equal" dxfId="784" priority="784">
      <formula>"R$"</formula>
    </cfRule>
  </conditionalFormatting>
  <conditionalFormatting sqref="K311">
    <cfRule type="cellIs" operator="equal" dxfId="785" priority="785">
      <formula>"Com impostos"</formula>
    </cfRule>
  </conditionalFormatting>
  <conditionalFormatting sqref="V311">
    <cfRule type="cellIs" operator="equal" dxfId="786" priority="786">
      <formula>"Mercado Envios grátis"</formula>
    </cfRule>
  </conditionalFormatting>
  <conditionalFormatting sqref="W311">
    <cfRule type="cellIs" operator="equal" dxfId="787" priority="787">
      <formula>"Premium"</formula>
    </cfRule>
  </conditionalFormatting>
  <conditionalFormatting sqref="J312">
    <cfRule type="cellIs" operator="equal" dxfId="788" priority="788">
      <formula>"R$"</formula>
    </cfRule>
  </conditionalFormatting>
  <conditionalFormatting sqref="K312">
    <cfRule type="cellIs" operator="equal" dxfId="789" priority="789">
      <formula>"Com impostos"</formula>
    </cfRule>
  </conditionalFormatting>
  <conditionalFormatting sqref="V312">
    <cfRule type="cellIs" operator="equal" dxfId="790" priority="790">
      <formula>"Mercado Envios grátis"</formula>
    </cfRule>
  </conditionalFormatting>
  <conditionalFormatting sqref="W312">
    <cfRule type="cellIs" operator="equal" dxfId="791" priority="791">
      <formula>"Clássico"</formula>
    </cfRule>
  </conditionalFormatting>
  <conditionalFormatting sqref="J313">
    <cfRule type="cellIs" operator="equal" dxfId="792" priority="792">
      <formula>"R$"</formula>
    </cfRule>
  </conditionalFormatting>
  <conditionalFormatting sqref="K313">
    <cfRule type="cellIs" operator="equal" dxfId="793" priority="793">
      <formula>"Com impostos"</formula>
    </cfRule>
  </conditionalFormatting>
  <conditionalFormatting sqref="V313">
    <cfRule type="cellIs" operator="equal" dxfId="794" priority="794">
      <formula>"Mercado Envios por conta do comprador"</formula>
    </cfRule>
  </conditionalFormatting>
  <conditionalFormatting sqref="W313">
    <cfRule type="cellIs" operator="equal" dxfId="795" priority="795">
      <formula>"Clássico"</formula>
    </cfRule>
  </conditionalFormatting>
  <conditionalFormatting sqref="J314">
    <cfRule type="cellIs" operator="equal" dxfId="796" priority="796">
      <formula>"R$"</formula>
    </cfRule>
  </conditionalFormatting>
  <conditionalFormatting sqref="K314">
    <cfRule type="cellIs" operator="equal" dxfId="797" priority="797">
      <formula>"Com impostos"</formula>
    </cfRule>
  </conditionalFormatting>
  <conditionalFormatting sqref="V314">
    <cfRule type="cellIs" operator="equal" dxfId="798" priority="798">
      <formula>"Mercado Envios grátis"</formula>
    </cfRule>
  </conditionalFormatting>
  <conditionalFormatting sqref="W314">
    <cfRule type="cellIs" operator="equal" dxfId="799" priority="799">
      <formula>"Clássico"</formula>
    </cfRule>
  </conditionalFormatting>
  <conditionalFormatting sqref="J315">
    <cfRule type="cellIs" operator="equal" dxfId="800" priority="800">
      <formula>"R$"</formula>
    </cfRule>
  </conditionalFormatting>
  <conditionalFormatting sqref="K315">
    <cfRule type="cellIs" operator="equal" dxfId="801" priority="801">
      <formula>"Com impostos"</formula>
    </cfRule>
  </conditionalFormatting>
  <conditionalFormatting sqref="V315">
    <cfRule type="cellIs" operator="equal" dxfId="802" priority="802">
      <formula>"Mercado Envios grátis"</formula>
    </cfRule>
  </conditionalFormatting>
  <conditionalFormatting sqref="W315">
    <cfRule type="cellIs" operator="equal" dxfId="803" priority="803">
      <formula>"Clássico"</formula>
    </cfRule>
  </conditionalFormatting>
  <conditionalFormatting sqref="J316">
    <cfRule type="cellIs" operator="equal" dxfId="804" priority="804">
      <formula>"R$"</formula>
    </cfRule>
  </conditionalFormatting>
  <conditionalFormatting sqref="K316">
    <cfRule type="cellIs" operator="equal" dxfId="805" priority="805">
      <formula>"Com impostos"</formula>
    </cfRule>
  </conditionalFormatting>
  <conditionalFormatting sqref="V316">
    <cfRule type="cellIs" operator="equal" dxfId="806" priority="806">
      <formula>"Mercado Envios por conta do comprador"</formula>
    </cfRule>
  </conditionalFormatting>
  <conditionalFormatting sqref="W316">
    <cfRule type="cellIs" operator="equal" dxfId="807" priority="807">
      <formula>"Clássico"</formula>
    </cfRule>
  </conditionalFormatting>
  <conditionalFormatting sqref="J317">
    <cfRule type="cellIs" operator="equal" dxfId="808" priority="808">
      <formula>"R$"</formula>
    </cfRule>
  </conditionalFormatting>
  <conditionalFormatting sqref="K317">
    <cfRule type="cellIs" operator="equal" dxfId="809" priority="809">
      <formula>"Com impostos"</formula>
    </cfRule>
  </conditionalFormatting>
  <conditionalFormatting sqref="V317">
    <cfRule type="cellIs" operator="equal" dxfId="810" priority="810">
      <formula>"Mercado Envios grátis"</formula>
    </cfRule>
  </conditionalFormatting>
  <conditionalFormatting sqref="W317">
    <cfRule type="cellIs" operator="equal" dxfId="811" priority="811">
      <formula>"Premium"</formula>
    </cfRule>
  </conditionalFormatting>
  <conditionalFormatting sqref="J318">
    <cfRule type="cellIs" operator="equal" dxfId="812" priority="812">
      <formula>"R$"</formula>
    </cfRule>
  </conditionalFormatting>
  <conditionalFormatting sqref="K318">
    <cfRule type="cellIs" operator="equal" dxfId="813" priority="813">
      <formula>"Com impostos"</formula>
    </cfRule>
  </conditionalFormatting>
  <conditionalFormatting sqref="V318">
    <cfRule type="cellIs" operator="equal" dxfId="814" priority="814">
      <formula>"Mercado Envios por conta do comprador"</formula>
    </cfRule>
  </conditionalFormatting>
  <conditionalFormatting sqref="W318">
    <cfRule type="cellIs" operator="equal" dxfId="815" priority="815">
      <formula>"Premium"</formula>
    </cfRule>
  </conditionalFormatting>
  <conditionalFormatting sqref="J319">
    <cfRule type="cellIs" operator="equal" dxfId="816" priority="816">
      <formula>"R$"</formula>
    </cfRule>
  </conditionalFormatting>
  <conditionalFormatting sqref="K319">
    <cfRule type="cellIs" operator="equal" dxfId="817" priority="817">
      <formula>"Com impostos"</formula>
    </cfRule>
  </conditionalFormatting>
  <conditionalFormatting sqref="V319">
    <cfRule type="cellIs" operator="equal" dxfId="818" priority="818">
      <formula>"Mercado Envios grátis"</formula>
    </cfRule>
  </conditionalFormatting>
  <conditionalFormatting sqref="W319">
    <cfRule type="cellIs" operator="equal" dxfId="819" priority="819">
      <formula>"Premium"</formula>
    </cfRule>
  </conditionalFormatting>
  <conditionalFormatting sqref="J320">
    <cfRule type="cellIs" operator="equal" dxfId="820" priority="820">
      <formula>"R$"</formula>
    </cfRule>
  </conditionalFormatting>
  <conditionalFormatting sqref="K320">
    <cfRule type="cellIs" operator="equal" dxfId="821" priority="821">
      <formula>"Com impostos"</formula>
    </cfRule>
  </conditionalFormatting>
  <conditionalFormatting sqref="V320">
    <cfRule type="cellIs" operator="equal" dxfId="822" priority="822">
      <formula>"Mercado Envios grátis"</formula>
    </cfRule>
  </conditionalFormatting>
  <conditionalFormatting sqref="W320">
    <cfRule type="cellIs" operator="equal" dxfId="823" priority="823">
      <formula>"Premium"</formula>
    </cfRule>
  </conditionalFormatting>
  <conditionalFormatting sqref="J321">
    <cfRule type="cellIs" operator="equal" dxfId="824" priority="824">
      <formula>"R$"</formula>
    </cfRule>
  </conditionalFormatting>
  <conditionalFormatting sqref="K321">
    <cfRule type="cellIs" operator="equal" dxfId="825" priority="825">
      <formula>"Com impostos"</formula>
    </cfRule>
  </conditionalFormatting>
  <conditionalFormatting sqref="V321">
    <cfRule type="cellIs" operator="equal" dxfId="826" priority="826">
      <formula>"Mercado Envios por conta do comprador"</formula>
    </cfRule>
  </conditionalFormatting>
  <conditionalFormatting sqref="W321">
    <cfRule type="cellIs" operator="equal" dxfId="827" priority="827">
      <formula>"Clássico"</formula>
    </cfRule>
  </conditionalFormatting>
  <conditionalFormatting sqref="J322">
    <cfRule type="cellIs" operator="equal" dxfId="828" priority="828">
      <formula>"R$"</formula>
    </cfRule>
  </conditionalFormatting>
  <conditionalFormatting sqref="K322">
    <cfRule type="cellIs" operator="equal" dxfId="829" priority="829">
      <formula>"Com impostos"</formula>
    </cfRule>
  </conditionalFormatting>
  <conditionalFormatting sqref="V322">
    <cfRule type="cellIs" operator="equal" dxfId="830" priority="830">
      <formula>"Mercado Envios grátis"</formula>
    </cfRule>
  </conditionalFormatting>
  <conditionalFormatting sqref="W322">
    <cfRule type="cellIs" operator="equal" dxfId="831" priority="831">
      <formula>"Clássico"</formula>
    </cfRule>
  </conditionalFormatting>
  <conditionalFormatting sqref="J323">
    <cfRule type="cellIs" operator="equal" dxfId="832" priority="832">
      <formula>"R$"</formula>
    </cfRule>
  </conditionalFormatting>
  <conditionalFormatting sqref="V323">
    <cfRule type="cellIs" operator="equal" dxfId="833" priority="833">
      <formula>"Mercado Envios por conta do comprador"</formula>
    </cfRule>
  </conditionalFormatting>
  <conditionalFormatting sqref="W323">
    <cfRule type="cellIs" operator="equal" dxfId="834" priority="834">
      <formula>"Clássico"</formula>
    </cfRule>
  </conditionalFormatting>
  <conditionalFormatting sqref="J328">
    <cfRule type="cellIs" operator="equal" dxfId="835" priority="835">
      <formula>"R$"</formula>
    </cfRule>
  </conditionalFormatting>
  <conditionalFormatting sqref="V328">
    <cfRule type="cellIs" operator="equal" dxfId="836" priority="836">
      <formula>"Mercado Envios grátis"</formula>
    </cfRule>
  </conditionalFormatting>
  <conditionalFormatting sqref="W328">
    <cfRule type="cellIs" operator="equal" dxfId="837" priority="837">
      <formula>"Premium"</formula>
    </cfRule>
  </conditionalFormatting>
  <conditionalFormatting sqref="J331">
    <cfRule type="cellIs" operator="equal" dxfId="838" priority="838">
      <formula>"R$"</formula>
    </cfRule>
  </conditionalFormatting>
  <conditionalFormatting sqref="V331">
    <cfRule type="cellIs" operator="equal" dxfId="839" priority="839">
      <formula>"Mercado Envios por conta do comprador"</formula>
    </cfRule>
  </conditionalFormatting>
  <conditionalFormatting sqref="W331">
    <cfRule type="cellIs" operator="equal" dxfId="840" priority="840">
      <formula>"Clássico"</formula>
    </cfRule>
  </conditionalFormatting>
  <conditionalFormatting sqref="J336">
    <cfRule type="cellIs" operator="equal" dxfId="841" priority="841">
      <formula>"R$"</formula>
    </cfRule>
  </conditionalFormatting>
  <conditionalFormatting sqref="K336">
    <cfRule type="cellIs" operator="equal" dxfId="842" priority="842">
      <formula>"Com impostos"</formula>
    </cfRule>
  </conditionalFormatting>
  <conditionalFormatting sqref="V336">
    <cfRule type="cellIs" operator="equal" dxfId="843" priority="843">
      <formula>"Mercado Envios grátis"</formula>
    </cfRule>
  </conditionalFormatting>
  <conditionalFormatting sqref="W336">
    <cfRule type="cellIs" operator="equal" dxfId="844" priority="844">
      <formula>"Clássico"</formula>
    </cfRule>
  </conditionalFormatting>
  <conditionalFormatting sqref="J337">
    <cfRule type="cellIs" operator="equal" dxfId="845" priority="845">
      <formula>"R$"</formula>
    </cfRule>
  </conditionalFormatting>
  <conditionalFormatting sqref="K337">
    <cfRule type="cellIs" operator="equal" dxfId="846" priority="846">
      <formula>"Com impostos"</formula>
    </cfRule>
  </conditionalFormatting>
  <conditionalFormatting sqref="V337">
    <cfRule type="cellIs" operator="equal" dxfId="847" priority="847">
      <formula>"Mercado Envios grátis"</formula>
    </cfRule>
  </conditionalFormatting>
  <conditionalFormatting sqref="W337">
    <cfRule type="cellIs" operator="equal" dxfId="848" priority="848">
      <formula>"Premium"</formula>
    </cfRule>
  </conditionalFormatting>
  <conditionalFormatting sqref="J338">
    <cfRule type="cellIs" operator="equal" dxfId="849" priority="849">
      <formula>"R$"</formula>
    </cfRule>
  </conditionalFormatting>
  <conditionalFormatting sqref="K338">
    <cfRule type="cellIs" operator="equal" dxfId="850" priority="850">
      <formula>"Com impostos"</formula>
    </cfRule>
  </conditionalFormatting>
  <conditionalFormatting sqref="V338">
    <cfRule type="cellIs" operator="equal" dxfId="851" priority="851">
      <formula>"Mercado Envios grátis"</formula>
    </cfRule>
  </conditionalFormatting>
  <conditionalFormatting sqref="W338">
    <cfRule type="cellIs" operator="equal" dxfId="852" priority="852">
      <formula>"Premium"</formula>
    </cfRule>
  </conditionalFormatting>
  <conditionalFormatting sqref="J339">
    <cfRule type="cellIs" operator="equal" dxfId="853" priority="853">
      <formula>"R$"</formula>
    </cfRule>
  </conditionalFormatting>
  <conditionalFormatting sqref="K339">
    <cfRule type="cellIs" operator="equal" dxfId="854" priority="854">
      <formula>"Com impostos"</formula>
    </cfRule>
  </conditionalFormatting>
  <conditionalFormatting sqref="V339">
    <cfRule type="cellIs" operator="equal" dxfId="855" priority="855">
      <formula>"Mercado Envios grátis"</formula>
    </cfRule>
  </conditionalFormatting>
  <conditionalFormatting sqref="W339">
    <cfRule type="cellIs" operator="equal" dxfId="856" priority="856">
      <formula>"Clássico"</formula>
    </cfRule>
  </conditionalFormatting>
  <conditionalFormatting sqref="J340">
    <cfRule type="cellIs" operator="equal" dxfId="857" priority="857">
      <formula>"R$"</formula>
    </cfRule>
  </conditionalFormatting>
  <conditionalFormatting sqref="K340">
    <cfRule type="cellIs" operator="equal" dxfId="858" priority="858">
      <formula>"Com impostos"</formula>
    </cfRule>
  </conditionalFormatting>
  <conditionalFormatting sqref="V340">
    <cfRule type="cellIs" operator="equal" dxfId="859" priority="859">
      <formula>"Mercado Envios grátis"</formula>
    </cfRule>
  </conditionalFormatting>
  <conditionalFormatting sqref="W340">
    <cfRule type="cellIs" operator="equal" dxfId="860" priority="860">
      <formula>"Clássico"</formula>
    </cfRule>
  </conditionalFormatting>
  <conditionalFormatting sqref="J341">
    <cfRule type="cellIs" operator="equal" dxfId="861" priority="861">
      <formula>"R$"</formula>
    </cfRule>
  </conditionalFormatting>
  <conditionalFormatting sqref="K341">
    <cfRule type="cellIs" operator="equal" dxfId="862" priority="862">
      <formula>"Com impostos"</formula>
    </cfRule>
  </conditionalFormatting>
  <conditionalFormatting sqref="V341">
    <cfRule type="cellIs" operator="equal" dxfId="863" priority="863">
      <formula>"Mercado Envios grátis"</formula>
    </cfRule>
  </conditionalFormatting>
  <conditionalFormatting sqref="W341">
    <cfRule type="cellIs" operator="equal" dxfId="864" priority="864">
      <formula>"Clássico"</formula>
    </cfRule>
  </conditionalFormatting>
  <conditionalFormatting sqref="J342">
    <cfRule type="cellIs" operator="equal" dxfId="865" priority="865">
      <formula>"R$"</formula>
    </cfRule>
  </conditionalFormatting>
  <conditionalFormatting sqref="K342">
    <cfRule type="cellIs" operator="equal" dxfId="866" priority="866">
      <formula>"Com impostos"</formula>
    </cfRule>
  </conditionalFormatting>
  <conditionalFormatting sqref="V342">
    <cfRule type="cellIs" operator="equal" dxfId="867" priority="867">
      <formula>"Mercado Envios grátis"</formula>
    </cfRule>
  </conditionalFormatting>
  <conditionalFormatting sqref="W342">
    <cfRule type="cellIs" operator="equal" dxfId="868" priority="868">
      <formula>"Clássico"</formula>
    </cfRule>
  </conditionalFormatting>
  <conditionalFormatting sqref="J343">
    <cfRule type="cellIs" operator="equal" dxfId="869" priority="869">
      <formula>"R$"</formula>
    </cfRule>
  </conditionalFormatting>
  <conditionalFormatting sqref="V343">
    <cfRule type="cellIs" operator="equal" dxfId="870" priority="870">
      <formula>"Mercado Envios por conta do comprador"</formula>
    </cfRule>
  </conditionalFormatting>
  <conditionalFormatting sqref="W343">
    <cfRule type="cellIs" operator="equal" dxfId="871" priority="871">
      <formula>"Clássico"</formula>
    </cfRule>
  </conditionalFormatting>
  <conditionalFormatting sqref="J348">
    <cfRule type="cellIs" operator="equal" dxfId="872" priority="872">
      <formula>"R$"</formula>
    </cfRule>
  </conditionalFormatting>
  <conditionalFormatting sqref="K348">
    <cfRule type="cellIs" operator="equal" dxfId="873" priority="873">
      <formula>"Com impostos"</formula>
    </cfRule>
  </conditionalFormatting>
  <conditionalFormatting sqref="V348">
    <cfRule type="cellIs" operator="equal" dxfId="874" priority="874">
      <formula>"Mercado Envios grátis"</formula>
    </cfRule>
  </conditionalFormatting>
  <conditionalFormatting sqref="W348">
    <cfRule type="cellIs" operator="equal" dxfId="875" priority="875">
      <formula>"Premium"</formula>
    </cfRule>
  </conditionalFormatting>
  <conditionalFormatting sqref="J349">
    <cfRule type="cellIs" operator="equal" dxfId="876" priority="876">
      <formula>"R$"</formula>
    </cfRule>
  </conditionalFormatting>
  <conditionalFormatting sqref="K349">
    <cfRule type="cellIs" operator="equal" dxfId="877" priority="877">
      <formula>"Com impostos"</formula>
    </cfRule>
  </conditionalFormatting>
  <conditionalFormatting sqref="V349">
    <cfRule type="cellIs" operator="equal" dxfId="878" priority="878">
      <formula>"Mercado Envios grátis"</formula>
    </cfRule>
  </conditionalFormatting>
  <conditionalFormatting sqref="W349">
    <cfRule type="cellIs" operator="equal" dxfId="879" priority="879">
      <formula>"Clássico"</formula>
    </cfRule>
  </conditionalFormatting>
  <conditionalFormatting sqref="J350">
    <cfRule type="cellIs" operator="equal" dxfId="880" priority="880">
      <formula>"R$"</formula>
    </cfRule>
  </conditionalFormatting>
  <conditionalFormatting sqref="K350">
    <cfRule type="cellIs" operator="equal" dxfId="881" priority="881">
      <formula>"Com impostos"</formula>
    </cfRule>
  </conditionalFormatting>
  <conditionalFormatting sqref="V350">
    <cfRule type="cellIs" operator="equal" dxfId="882" priority="882">
      <formula>"Mercado Envios grátis"</formula>
    </cfRule>
  </conditionalFormatting>
  <conditionalFormatting sqref="W350">
    <cfRule type="cellIs" operator="equal" dxfId="883" priority="883">
      <formula>"Premium"</formula>
    </cfRule>
  </conditionalFormatting>
  <conditionalFormatting sqref="J351">
    <cfRule type="cellIs" operator="equal" dxfId="884" priority="884">
      <formula>"R$"</formula>
    </cfRule>
  </conditionalFormatting>
  <conditionalFormatting sqref="K351">
    <cfRule type="cellIs" operator="equal" dxfId="885" priority="885">
      <formula>"Com impostos"</formula>
    </cfRule>
  </conditionalFormatting>
  <conditionalFormatting sqref="V351">
    <cfRule type="cellIs" operator="equal" dxfId="886" priority="886">
      <formula>"Mercado Envios grátis"</formula>
    </cfRule>
  </conditionalFormatting>
  <conditionalFormatting sqref="W351">
    <cfRule type="cellIs" operator="equal" dxfId="887" priority="887">
      <formula>"Premium"</formula>
    </cfRule>
  </conditionalFormatting>
  <conditionalFormatting sqref="J352">
    <cfRule type="cellIs" operator="equal" dxfId="888" priority="888">
      <formula>"R$"</formula>
    </cfRule>
  </conditionalFormatting>
  <conditionalFormatting sqref="K352">
    <cfRule type="cellIs" operator="equal" dxfId="889" priority="889">
      <formula>"Com impostos"</formula>
    </cfRule>
  </conditionalFormatting>
  <conditionalFormatting sqref="V352">
    <cfRule type="cellIs" operator="equal" dxfId="890" priority="890">
      <formula>"Mercado Envios grátis"</formula>
    </cfRule>
  </conditionalFormatting>
  <conditionalFormatting sqref="W352">
    <cfRule type="cellIs" operator="equal" dxfId="891" priority="891">
      <formula>"Premium"</formula>
    </cfRule>
  </conditionalFormatting>
  <conditionalFormatting sqref="J353">
    <cfRule type="cellIs" operator="equal" dxfId="892" priority="892">
      <formula>"R$"</formula>
    </cfRule>
  </conditionalFormatting>
  <conditionalFormatting sqref="K353">
    <cfRule type="cellIs" operator="equal" dxfId="893" priority="893">
      <formula>"Com impostos"</formula>
    </cfRule>
  </conditionalFormatting>
  <conditionalFormatting sqref="V353">
    <cfRule type="cellIs" operator="equal" dxfId="894" priority="894">
      <formula>"Mercado Envios grátis"</formula>
    </cfRule>
  </conditionalFormatting>
  <conditionalFormatting sqref="W353">
    <cfRule type="cellIs" operator="equal" dxfId="895" priority="895">
      <formula>"Premium"</formula>
    </cfRule>
  </conditionalFormatting>
  <conditionalFormatting sqref="J354">
    <cfRule type="cellIs" operator="equal" dxfId="896" priority="896">
      <formula>"R$"</formula>
    </cfRule>
  </conditionalFormatting>
  <conditionalFormatting sqref="K354">
    <cfRule type="cellIs" operator="equal" dxfId="897" priority="897">
      <formula>"Com impostos"</formula>
    </cfRule>
  </conditionalFormatting>
  <conditionalFormatting sqref="V354">
    <cfRule type="cellIs" operator="equal" dxfId="898" priority="898">
      <formula>"Mercado Envios grátis"</formula>
    </cfRule>
  </conditionalFormatting>
  <conditionalFormatting sqref="W354">
    <cfRule type="cellIs" operator="equal" dxfId="899" priority="899">
      <formula>"Clássico"</formula>
    </cfRule>
  </conditionalFormatting>
  <conditionalFormatting sqref="J355">
    <cfRule type="cellIs" operator="equal" dxfId="900" priority="900">
      <formula>"R$"</formula>
    </cfRule>
  </conditionalFormatting>
  <conditionalFormatting sqref="K355">
    <cfRule type="cellIs" operator="equal" dxfId="901" priority="901">
      <formula>"Com impostos"</formula>
    </cfRule>
  </conditionalFormatting>
  <conditionalFormatting sqref="V355">
    <cfRule type="cellIs" operator="equal" dxfId="902" priority="902">
      <formula>"Mercado Envios grátis"</formula>
    </cfRule>
  </conditionalFormatting>
  <conditionalFormatting sqref="W355">
    <cfRule type="cellIs" operator="equal" dxfId="903" priority="903">
      <formula>"Clássico"</formula>
    </cfRule>
  </conditionalFormatting>
  <conditionalFormatting sqref="J356">
    <cfRule type="cellIs" operator="equal" dxfId="904" priority="904">
      <formula>"R$"</formula>
    </cfRule>
  </conditionalFormatting>
  <conditionalFormatting sqref="V356">
    <cfRule type="cellIs" operator="equal" dxfId="905" priority="905">
      <formula>"Mercado Envios por conta do comprador"</formula>
    </cfRule>
  </conditionalFormatting>
  <conditionalFormatting sqref="W356">
    <cfRule type="cellIs" operator="equal" dxfId="906" priority="906">
      <formula>"Clássico"</formula>
    </cfRule>
  </conditionalFormatting>
  <conditionalFormatting sqref="J361">
    <cfRule type="cellIs" operator="equal" dxfId="907" priority="907">
      <formula>"R$"</formula>
    </cfRule>
  </conditionalFormatting>
  <conditionalFormatting sqref="K361">
    <cfRule type="cellIs" operator="equal" dxfId="908" priority="908">
      <formula>"Com impostos"</formula>
    </cfRule>
  </conditionalFormatting>
  <conditionalFormatting sqref="V361">
    <cfRule type="cellIs" operator="equal" dxfId="909" priority="909">
      <formula>"Mercado Envios grátis"</formula>
    </cfRule>
  </conditionalFormatting>
  <conditionalFormatting sqref="W361">
    <cfRule type="cellIs" operator="equal" dxfId="910" priority="910">
      <formula>"Premium"</formula>
    </cfRule>
  </conditionalFormatting>
  <conditionalFormatting sqref="J362">
    <cfRule type="cellIs" operator="equal" dxfId="911" priority="911">
      <formula>"R$"</formula>
    </cfRule>
  </conditionalFormatting>
  <conditionalFormatting sqref="K362">
    <cfRule type="cellIs" operator="equal" dxfId="912" priority="912">
      <formula>"Com impostos"</formula>
    </cfRule>
  </conditionalFormatting>
  <conditionalFormatting sqref="V362">
    <cfRule type="cellIs" operator="equal" dxfId="913" priority="913">
      <formula>"Mercado Envios grátis"</formula>
    </cfRule>
  </conditionalFormatting>
  <conditionalFormatting sqref="W362">
    <cfRule type="cellIs" operator="equal" dxfId="914" priority="914">
      <formula>"Premium"</formula>
    </cfRule>
  </conditionalFormatting>
  <conditionalFormatting sqref="J363">
    <cfRule type="cellIs" operator="equal" dxfId="915" priority="915">
      <formula>"R$"</formula>
    </cfRule>
  </conditionalFormatting>
  <conditionalFormatting sqref="K363">
    <cfRule type="cellIs" operator="equal" dxfId="916" priority="916">
      <formula>"Com impostos"</formula>
    </cfRule>
  </conditionalFormatting>
  <conditionalFormatting sqref="V363">
    <cfRule type="cellIs" operator="equal" dxfId="917" priority="917">
      <formula>"Mercado Envios grátis"</formula>
    </cfRule>
  </conditionalFormatting>
  <conditionalFormatting sqref="W363">
    <cfRule type="cellIs" operator="equal" dxfId="918" priority="918">
      <formula>"Premium"</formula>
    </cfRule>
  </conditionalFormatting>
  <conditionalFormatting sqref="J364">
    <cfRule type="cellIs" operator="equal" dxfId="919" priority="919">
      <formula>"R$"</formula>
    </cfRule>
  </conditionalFormatting>
  <conditionalFormatting sqref="K364">
    <cfRule type="cellIs" operator="equal" dxfId="920" priority="920">
      <formula>"Com impostos"</formula>
    </cfRule>
  </conditionalFormatting>
  <conditionalFormatting sqref="V364">
    <cfRule type="cellIs" operator="equal" dxfId="921" priority="921">
      <formula>"Mercado Envios grátis"</formula>
    </cfRule>
  </conditionalFormatting>
  <conditionalFormatting sqref="W364">
    <cfRule type="cellIs" operator="equal" dxfId="922" priority="922">
      <formula>"Premium"</formula>
    </cfRule>
  </conditionalFormatting>
  <conditionalFormatting sqref="J365">
    <cfRule type="cellIs" operator="equal" dxfId="923" priority="923">
      <formula>"R$"</formula>
    </cfRule>
  </conditionalFormatting>
  <conditionalFormatting sqref="K365">
    <cfRule type="cellIs" operator="equal" dxfId="924" priority="924">
      <formula>"Com impostos"</formula>
    </cfRule>
  </conditionalFormatting>
  <conditionalFormatting sqref="V365">
    <cfRule type="cellIs" operator="equal" dxfId="925" priority="925">
      <formula>"Mercado Envios grátis"</formula>
    </cfRule>
  </conditionalFormatting>
  <conditionalFormatting sqref="W365">
    <cfRule type="cellIs" operator="equal" dxfId="926" priority="926">
      <formula>"Clássico"</formula>
    </cfRule>
  </conditionalFormatting>
  <conditionalFormatting sqref="J366">
    <cfRule type="cellIs" operator="equal" dxfId="927" priority="927">
      <formula>"R$"</formula>
    </cfRule>
  </conditionalFormatting>
  <conditionalFormatting sqref="K366">
    <cfRule type="cellIs" operator="equal" dxfId="928" priority="928">
      <formula>"Com impostos"</formula>
    </cfRule>
  </conditionalFormatting>
  <conditionalFormatting sqref="V366">
    <cfRule type="cellIs" operator="equal" dxfId="929" priority="929">
      <formula>"Mercado Envios grátis"</formula>
    </cfRule>
  </conditionalFormatting>
  <conditionalFormatting sqref="W366">
    <cfRule type="cellIs" operator="equal" dxfId="930" priority="930">
      <formula>"Premium"</formula>
    </cfRule>
  </conditionalFormatting>
  <conditionalFormatting sqref="J367">
    <cfRule type="cellIs" operator="equal" dxfId="931" priority="931">
      <formula>"R$"</formula>
    </cfRule>
  </conditionalFormatting>
  <conditionalFormatting sqref="K367">
    <cfRule type="cellIs" operator="equal" dxfId="932" priority="932">
      <formula>"Com impostos"</formula>
    </cfRule>
  </conditionalFormatting>
  <conditionalFormatting sqref="V367">
    <cfRule type="cellIs" operator="equal" dxfId="933" priority="933">
      <formula>"Mercado Envios por conta do comprador"</formula>
    </cfRule>
  </conditionalFormatting>
  <conditionalFormatting sqref="W367">
    <cfRule type="cellIs" operator="equal" dxfId="934" priority="934">
      <formula>"Clássico"</formula>
    </cfRule>
  </conditionalFormatting>
  <conditionalFormatting sqref="J368">
    <cfRule type="cellIs" operator="equal" dxfId="935" priority="935">
      <formula>"R$"</formula>
    </cfRule>
  </conditionalFormatting>
  <conditionalFormatting sqref="K368">
    <cfRule type="cellIs" operator="equal" dxfId="936" priority="936">
      <formula>"Com impostos"</formula>
    </cfRule>
  </conditionalFormatting>
  <conditionalFormatting sqref="V368">
    <cfRule type="cellIs" operator="equal" dxfId="937" priority="937">
      <formula>"Mercado Envios grátis"</formula>
    </cfRule>
  </conditionalFormatting>
  <conditionalFormatting sqref="W368">
    <cfRule type="cellIs" operator="equal" dxfId="938" priority="938">
      <formula>"Premium"</formula>
    </cfRule>
  </conditionalFormatting>
  <conditionalFormatting sqref="J369">
    <cfRule type="cellIs" operator="equal" dxfId="939" priority="939">
      <formula>"R$"</formula>
    </cfRule>
  </conditionalFormatting>
  <conditionalFormatting sqref="K369">
    <cfRule type="cellIs" operator="equal" dxfId="940" priority="940">
      <formula>"Com impostos"</formula>
    </cfRule>
  </conditionalFormatting>
  <conditionalFormatting sqref="V369">
    <cfRule type="cellIs" operator="equal" dxfId="941" priority="941">
      <formula>"Mercado Envios grátis"</formula>
    </cfRule>
  </conditionalFormatting>
  <conditionalFormatting sqref="W369">
    <cfRule type="cellIs" operator="equal" dxfId="942" priority="942">
      <formula>"Clássico"</formula>
    </cfRule>
  </conditionalFormatting>
  <conditionalFormatting sqref="J370">
    <cfRule type="cellIs" operator="equal" dxfId="943" priority="943">
      <formula>"R$"</formula>
    </cfRule>
  </conditionalFormatting>
  <conditionalFormatting sqref="K370">
    <cfRule type="cellIs" operator="equal" dxfId="944" priority="944">
      <formula>"Com impostos"</formula>
    </cfRule>
  </conditionalFormatting>
  <conditionalFormatting sqref="V370">
    <cfRule type="cellIs" operator="equal" dxfId="945" priority="945">
      <formula>"Mercado Envios grátis"</formula>
    </cfRule>
  </conditionalFormatting>
  <conditionalFormatting sqref="W370">
    <cfRule type="cellIs" operator="equal" dxfId="946" priority="946">
      <formula>"Premium"</formula>
    </cfRule>
  </conditionalFormatting>
  <conditionalFormatting sqref="J371">
    <cfRule type="cellIs" operator="equal" dxfId="947" priority="947">
      <formula>"R$"</formula>
    </cfRule>
  </conditionalFormatting>
  <conditionalFormatting sqref="K371">
    <cfRule type="cellIs" operator="equal" dxfId="948" priority="948">
      <formula>"Com impostos"</formula>
    </cfRule>
  </conditionalFormatting>
  <conditionalFormatting sqref="V371">
    <cfRule type="cellIs" operator="equal" dxfId="949" priority="949">
      <formula>"Mercado Envios grátis"</formula>
    </cfRule>
  </conditionalFormatting>
  <conditionalFormatting sqref="W371">
    <cfRule type="cellIs" operator="equal" dxfId="950" priority="950">
      <formula>"Premium"</formula>
    </cfRule>
  </conditionalFormatting>
  <conditionalFormatting sqref="J372">
    <cfRule type="cellIs" operator="equal" dxfId="951" priority="951">
      <formula>"R$"</formula>
    </cfRule>
  </conditionalFormatting>
  <conditionalFormatting sqref="K372">
    <cfRule type="cellIs" operator="equal" dxfId="952" priority="952">
      <formula>"Com impostos"</formula>
    </cfRule>
  </conditionalFormatting>
  <conditionalFormatting sqref="V372">
    <cfRule type="cellIs" operator="equal" dxfId="953" priority="953">
      <formula>"Mercado Envios grátis"</formula>
    </cfRule>
  </conditionalFormatting>
  <conditionalFormatting sqref="W372">
    <cfRule type="cellIs" operator="equal" dxfId="954" priority="954">
      <formula>"Premium"</formula>
    </cfRule>
  </conditionalFormatting>
  <conditionalFormatting sqref="J373">
    <cfRule type="cellIs" operator="equal" dxfId="955" priority="955">
      <formula>"R$"</formula>
    </cfRule>
  </conditionalFormatting>
  <conditionalFormatting sqref="K373">
    <cfRule type="cellIs" operator="equal" dxfId="956" priority="956">
      <formula>"Com impostos"</formula>
    </cfRule>
  </conditionalFormatting>
  <conditionalFormatting sqref="V373">
    <cfRule type="cellIs" operator="equal" dxfId="957" priority="957">
      <formula>"Mercado Envios grátis"</formula>
    </cfRule>
  </conditionalFormatting>
  <conditionalFormatting sqref="W373">
    <cfRule type="cellIs" operator="equal" dxfId="958" priority="958">
      <formula>"Premium"</formula>
    </cfRule>
  </conditionalFormatting>
  <conditionalFormatting sqref="J374">
    <cfRule type="cellIs" operator="equal" dxfId="959" priority="959">
      <formula>"R$"</formula>
    </cfRule>
  </conditionalFormatting>
  <conditionalFormatting sqref="K374">
    <cfRule type="cellIs" operator="equal" dxfId="960" priority="960">
      <formula>"Com impostos"</formula>
    </cfRule>
  </conditionalFormatting>
  <conditionalFormatting sqref="V374">
    <cfRule type="cellIs" operator="equal" dxfId="961" priority="961">
      <formula>"Mercado Envios por conta do comprador"</formula>
    </cfRule>
  </conditionalFormatting>
  <conditionalFormatting sqref="W374">
    <cfRule type="cellIs" operator="equal" dxfId="962" priority="962">
      <formula>"Clássico"</formula>
    </cfRule>
  </conditionalFormatting>
  <conditionalFormatting sqref="J375">
    <cfRule type="cellIs" operator="equal" dxfId="963" priority="963">
      <formula>"R$"</formula>
    </cfRule>
  </conditionalFormatting>
  <conditionalFormatting sqref="K375">
    <cfRule type="cellIs" operator="equal" dxfId="964" priority="964">
      <formula>"Com impostos"</formula>
    </cfRule>
  </conditionalFormatting>
  <conditionalFormatting sqref="V375">
    <cfRule type="cellIs" operator="equal" dxfId="965" priority="965">
      <formula>"Mercado Envios por conta do comprador"</formula>
    </cfRule>
  </conditionalFormatting>
  <conditionalFormatting sqref="W375">
    <cfRule type="cellIs" operator="equal" dxfId="966" priority="966">
      <formula>"Clássico"</formula>
    </cfRule>
  </conditionalFormatting>
  <conditionalFormatting sqref="J376">
    <cfRule type="cellIs" operator="equal" dxfId="967" priority="967">
      <formula>"R$"</formula>
    </cfRule>
  </conditionalFormatting>
  <conditionalFormatting sqref="V376">
    <cfRule type="cellIs" operator="equal" dxfId="968" priority="968">
      <formula>"Mercado Envios grátis"</formula>
    </cfRule>
  </conditionalFormatting>
  <conditionalFormatting sqref="W376">
    <cfRule type="cellIs" operator="equal" dxfId="969" priority="969">
      <formula>"Clássico"</formula>
    </cfRule>
  </conditionalFormatting>
  <conditionalFormatting sqref="J380">
    <cfRule type="cellIs" operator="equal" dxfId="970" priority="970">
      <formula>"R$"</formula>
    </cfRule>
  </conditionalFormatting>
  <conditionalFormatting sqref="K380">
    <cfRule type="cellIs" operator="equal" dxfId="971" priority="971">
      <formula>"Com impostos"</formula>
    </cfRule>
  </conditionalFormatting>
  <conditionalFormatting sqref="V380">
    <cfRule type="cellIs" operator="equal" dxfId="972" priority="972">
      <formula>"Mercado Envios grátis"</formula>
    </cfRule>
  </conditionalFormatting>
  <conditionalFormatting sqref="W380">
    <cfRule type="cellIs" operator="equal" dxfId="973" priority="973">
      <formula>"Clássico"</formula>
    </cfRule>
  </conditionalFormatting>
  <conditionalFormatting sqref="J381">
    <cfRule type="cellIs" operator="equal" dxfId="974" priority="974">
      <formula>"R$"</formula>
    </cfRule>
  </conditionalFormatting>
  <conditionalFormatting sqref="K381">
    <cfRule type="cellIs" operator="equal" dxfId="975" priority="975">
      <formula>"Com impostos"</formula>
    </cfRule>
  </conditionalFormatting>
  <conditionalFormatting sqref="V381">
    <cfRule type="cellIs" operator="equal" dxfId="976" priority="976">
      <formula>"Mercado Envios grátis"</formula>
    </cfRule>
  </conditionalFormatting>
  <conditionalFormatting sqref="W381">
    <cfRule type="cellIs" operator="equal" dxfId="977" priority="977">
      <formula>"Clássico"</formula>
    </cfRule>
  </conditionalFormatting>
  <conditionalFormatting sqref="J382">
    <cfRule type="cellIs" operator="equal" dxfId="978" priority="978">
      <formula>"R$"</formula>
    </cfRule>
  </conditionalFormatting>
  <conditionalFormatting sqref="K382">
    <cfRule type="cellIs" operator="equal" dxfId="979" priority="979">
      <formula>"Com impostos"</formula>
    </cfRule>
  </conditionalFormatting>
  <conditionalFormatting sqref="V382">
    <cfRule type="cellIs" operator="equal" dxfId="980" priority="980">
      <formula>"Mercado Envios grátis"</formula>
    </cfRule>
  </conditionalFormatting>
  <conditionalFormatting sqref="W382">
    <cfRule type="cellIs" operator="equal" dxfId="981" priority="981">
      <formula>"Clássico"</formula>
    </cfRule>
  </conditionalFormatting>
  <conditionalFormatting sqref="J383">
    <cfRule type="cellIs" operator="equal" dxfId="982" priority="982">
      <formula>"R$"</formula>
    </cfRule>
  </conditionalFormatting>
  <conditionalFormatting sqref="K383">
    <cfRule type="cellIs" operator="equal" dxfId="983" priority="983">
      <formula>"Com impostos"</formula>
    </cfRule>
  </conditionalFormatting>
  <conditionalFormatting sqref="V383">
    <cfRule type="cellIs" operator="equal" dxfId="984" priority="984">
      <formula>"Mercado Envios por conta do comprador"</formula>
    </cfRule>
  </conditionalFormatting>
  <conditionalFormatting sqref="W383">
    <cfRule type="cellIs" operator="equal" dxfId="985" priority="985">
      <formula>"Clássico"</formula>
    </cfRule>
  </conditionalFormatting>
  <conditionalFormatting sqref="J384">
    <cfRule type="cellIs" operator="equal" dxfId="986" priority="986">
      <formula>"R$"</formula>
    </cfRule>
  </conditionalFormatting>
  <conditionalFormatting sqref="K384">
    <cfRule type="cellIs" operator="equal" dxfId="987" priority="987">
      <formula>"Com impostos"</formula>
    </cfRule>
  </conditionalFormatting>
  <conditionalFormatting sqref="W384">
    <cfRule type="cellIs" operator="equal" dxfId="988" priority="988">
      <formula>"Premium"</formula>
    </cfRule>
  </conditionalFormatting>
  <conditionalFormatting sqref="J385">
    <cfRule type="cellIs" operator="equal" dxfId="989" priority="989">
      <formula>"R$"</formula>
    </cfRule>
  </conditionalFormatting>
  <conditionalFormatting sqref="V385">
    <cfRule type="cellIs" operator="equal" dxfId="990" priority="990">
      <formula>"Mercado Envios grátis"</formula>
    </cfRule>
  </conditionalFormatting>
  <conditionalFormatting sqref="W385">
    <cfRule type="cellIs" operator="equal" dxfId="991" priority="991">
      <formula>"Premium"</formula>
    </cfRule>
  </conditionalFormatting>
  <conditionalFormatting sqref="J388">
    <cfRule type="cellIs" operator="equal" dxfId="992" priority="992">
      <formula>"R$"</formula>
    </cfRule>
  </conditionalFormatting>
  <conditionalFormatting sqref="K388">
    <cfRule type="cellIs" operator="equal" dxfId="993" priority="993">
      <formula>"Com impostos"</formula>
    </cfRule>
  </conditionalFormatting>
  <conditionalFormatting sqref="V388">
    <cfRule type="cellIs" operator="equal" dxfId="994" priority="994">
      <formula>"Mercado Envios por conta do comprador"</formula>
    </cfRule>
  </conditionalFormatting>
  <conditionalFormatting sqref="W388">
    <cfRule type="cellIs" operator="equal" dxfId="995" priority="995">
      <formula>"Premium"</formula>
    </cfRule>
  </conditionalFormatting>
  <conditionalFormatting sqref="J389">
    <cfRule type="cellIs" operator="equal" dxfId="996" priority="996">
      <formula>"R$"</formula>
    </cfRule>
  </conditionalFormatting>
  <conditionalFormatting sqref="K389">
    <cfRule type="cellIs" operator="equal" dxfId="997" priority="997">
      <formula>"Com impostos"</formula>
    </cfRule>
  </conditionalFormatting>
  <conditionalFormatting sqref="V389">
    <cfRule type="cellIs" operator="equal" dxfId="998" priority="998">
      <formula>"Mercado Envios grátis"</formula>
    </cfRule>
  </conditionalFormatting>
  <conditionalFormatting sqref="W389">
    <cfRule type="cellIs" operator="equal" dxfId="999" priority="999">
      <formula>"Premium"</formula>
    </cfRule>
  </conditionalFormatting>
  <conditionalFormatting sqref="J390">
    <cfRule type="cellIs" operator="equal" dxfId="1000" priority="1000">
      <formula>"R$"</formula>
    </cfRule>
  </conditionalFormatting>
  <conditionalFormatting sqref="V390">
    <cfRule type="cellIs" operator="equal" dxfId="1001" priority="1001">
      <formula>"Mercado Envios grátis"</formula>
    </cfRule>
  </conditionalFormatting>
  <conditionalFormatting sqref="W390">
    <cfRule type="cellIs" operator="equal" dxfId="1002" priority="1002">
      <formula>"Premium"</formula>
    </cfRule>
  </conditionalFormatting>
  <conditionalFormatting sqref="J393">
    <cfRule type="cellIs" operator="equal" dxfId="1003" priority="1003">
      <formula>"R$"</formula>
    </cfRule>
  </conditionalFormatting>
  <conditionalFormatting sqref="K393">
    <cfRule type="cellIs" operator="equal" dxfId="1004" priority="1004">
      <formula>"Com impostos"</formula>
    </cfRule>
  </conditionalFormatting>
  <conditionalFormatting sqref="V393">
    <cfRule type="cellIs" operator="equal" dxfId="1005" priority="1005">
      <formula>"Mercado Envios grátis"</formula>
    </cfRule>
  </conditionalFormatting>
  <conditionalFormatting sqref="W393">
    <cfRule type="cellIs" operator="equal" dxfId="1006" priority="1006">
      <formula>"Clássico"</formula>
    </cfRule>
  </conditionalFormatting>
  <conditionalFormatting sqref="J394">
    <cfRule type="cellIs" operator="equal" dxfId="1007" priority="1007">
      <formula>"R$"</formula>
    </cfRule>
  </conditionalFormatting>
  <conditionalFormatting sqref="V394">
    <cfRule type="cellIs" operator="equal" dxfId="1008" priority="1008">
      <formula>"Mercado Envios grátis"</formula>
    </cfRule>
  </conditionalFormatting>
  <conditionalFormatting sqref="W394">
    <cfRule type="cellIs" operator="equal" dxfId="1009" priority="1009">
      <formula>"Clássico"</formula>
    </cfRule>
  </conditionalFormatting>
  <conditionalFormatting sqref="J395">
    <cfRule type="cellIs" operator="equal" dxfId="1010" priority="1010">
      <formula>"R$"</formula>
    </cfRule>
  </conditionalFormatting>
  <conditionalFormatting sqref="K395">
    <cfRule type="cellIs" operator="equal" dxfId="1011" priority="1011">
      <formula>"Com impostos"</formula>
    </cfRule>
  </conditionalFormatting>
  <conditionalFormatting sqref="V395">
    <cfRule type="cellIs" operator="equal" dxfId="1012" priority="1012">
      <formula>"Mercado Envios grátis"</formula>
    </cfRule>
  </conditionalFormatting>
  <conditionalFormatting sqref="W395">
    <cfRule type="cellIs" operator="equal" dxfId="1013" priority="1013">
      <formula>"Clássico"</formula>
    </cfRule>
  </conditionalFormatting>
  <conditionalFormatting sqref="J396">
    <cfRule type="cellIs" operator="equal" dxfId="1014" priority="1014">
      <formula>"R$"</formula>
    </cfRule>
  </conditionalFormatting>
  <conditionalFormatting sqref="K396">
    <cfRule type="cellIs" operator="equal" dxfId="1015" priority="1015">
      <formula>"Com impostos"</formula>
    </cfRule>
  </conditionalFormatting>
  <conditionalFormatting sqref="V396">
    <cfRule type="cellIs" operator="equal" dxfId="1016" priority="1016">
      <formula>"Mercado Envios grátis"</formula>
    </cfRule>
  </conditionalFormatting>
  <conditionalFormatting sqref="W396">
    <cfRule type="cellIs" operator="equal" dxfId="1017" priority="1017">
      <formula>"Premium"</formula>
    </cfRule>
  </conditionalFormatting>
  <conditionalFormatting sqref="J397">
    <cfRule type="cellIs" operator="equal" dxfId="1018" priority="1018">
      <formula>"R$"</formula>
    </cfRule>
  </conditionalFormatting>
  <conditionalFormatting sqref="K397">
    <cfRule type="cellIs" operator="equal" dxfId="1019" priority="1019">
      <formula>"Com impostos"</formula>
    </cfRule>
  </conditionalFormatting>
  <conditionalFormatting sqref="V397">
    <cfRule type="cellIs" operator="equal" dxfId="1020" priority="1020">
      <formula>"Mercado Envios grátis"</formula>
    </cfRule>
  </conditionalFormatting>
  <conditionalFormatting sqref="W397">
    <cfRule type="cellIs" operator="equal" dxfId="1021" priority="1021">
      <formula>"Clássico"</formula>
    </cfRule>
  </conditionalFormatting>
  <conditionalFormatting sqref="J398">
    <cfRule type="cellIs" operator="equal" dxfId="1022" priority="1022">
      <formula>"R$"</formula>
    </cfRule>
  </conditionalFormatting>
  <conditionalFormatting sqref="K398">
    <cfRule type="cellIs" operator="equal" dxfId="1023" priority="1023">
      <formula>"Com impostos"</formula>
    </cfRule>
  </conditionalFormatting>
  <conditionalFormatting sqref="V398">
    <cfRule type="cellIs" operator="equal" dxfId="1024" priority="1024">
      <formula>"Mercado Envios grátis"</formula>
    </cfRule>
  </conditionalFormatting>
  <conditionalFormatting sqref="W398">
    <cfRule type="cellIs" operator="equal" dxfId="1025" priority="1025">
      <formula>"Clássico"</formula>
    </cfRule>
  </conditionalFormatting>
  <conditionalFormatting sqref="J399">
    <cfRule type="cellIs" operator="equal" dxfId="1026" priority="1026">
      <formula>"R$"</formula>
    </cfRule>
  </conditionalFormatting>
  <conditionalFormatting sqref="K399">
    <cfRule type="cellIs" operator="equal" dxfId="1027" priority="1027">
      <formula>"Com impostos"</formula>
    </cfRule>
  </conditionalFormatting>
  <conditionalFormatting sqref="V399">
    <cfRule type="cellIs" operator="equal" dxfId="1028" priority="1028">
      <formula>"Mercado Envios grátis"</formula>
    </cfRule>
  </conditionalFormatting>
  <conditionalFormatting sqref="W399">
    <cfRule type="cellIs" operator="equal" dxfId="1029" priority="1029">
      <formula>"Clássico"</formula>
    </cfRule>
  </conditionalFormatting>
  <conditionalFormatting sqref="J400">
    <cfRule type="cellIs" operator="equal" dxfId="1030" priority="1030">
      <formula>"R$"</formula>
    </cfRule>
  </conditionalFormatting>
  <conditionalFormatting sqref="K400">
    <cfRule type="cellIs" operator="equal" dxfId="1031" priority="1031">
      <formula>"Com impostos"</formula>
    </cfRule>
  </conditionalFormatting>
  <conditionalFormatting sqref="V400">
    <cfRule type="cellIs" operator="equal" dxfId="1032" priority="1032">
      <formula>"Mercado Envios grátis"</formula>
    </cfRule>
  </conditionalFormatting>
  <conditionalFormatting sqref="W400">
    <cfRule type="cellIs" operator="equal" dxfId="1033" priority="1033">
      <formula>"Clássico"</formula>
    </cfRule>
  </conditionalFormatting>
  <conditionalFormatting sqref="J401">
    <cfRule type="cellIs" operator="equal" dxfId="1034" priority="1034">
      <formula>"R$"</formula>
    </cfRule>
  </conditionalFormatting>
  <conditionalFormatting sqref="K401">
    <cfRule type="cellIs" operator="equal" dxfId="1035" priority="1035">
      <formula>"Com impostos"</formula>
    </cfRule>
  </conditionalFormatting>
  <conditionalFormatting sqref="V401">
    <cfRule type="cellIs" operator="equal" dxfId="1036" priority="1036">
      <formula>"Mercado Envios grátis"</formula>
    </cfRule>
  </conditionalFormatting>
  <conditionalFormatting sqref="W401">
    <cfRule type="cellIs" operator="equal" dxfId="1037" priority="1037">
      <formula>"Premium"</formula>
    </cfRule>
  </conditionalFormatting>
  <conditionalFormatting sqref="J402">
    <cfRule type="cellIs" operator="equal" dxfId="1038" priority="1038">
      <formula>"R$"</formula>
    </cfRule>
  </conditionalFormatting>
  <conditionalFormatting sqref="V402">
    <cfRule type="cellIs" operator="equal" dxfId="1039" priority="1039">
      <formula>"Mercado Envios por conta do comprador"</formula>
    </cfRule>
  </conditionalFormatting>
  <conditionalFormatting sqref="W402">
    <cfRule type="cellIs" operator="equal" dxfId="1040" priority="1040">
      <formula>"Clássico"</formula>
    </cfRule>
  </conditionalFormatting>
  <conditionalFormatting sqref="J407">
    <cfRule type="cellIs" operator="equal" dxfId="1041" priority="1041">
      <formula>"R$"</formula>
    </cfRule>
  </conditionalFormatting>
  <conditionalFormatting sqref="K407">
    <cfRule type="cellIs" operator="equal" dxfId="1042" priority="1042">
      <formula>"Com impostos"</formula>
    </cfRule>
  </conditionalFormatting>
  <conditionalFormatting sqref="V407">
    <cfRule type="cellIs" operator="equal" dxfId="1043" priority="1043">
      <formula>"Mercado Envios grátis"</formula>
    </cfRule>
  </conditionalFormatting>
  <conditionalFormatting sqref="W407">
    <cfRule type="cellIs" operator="equal" dxfId="1044" priority="1044">
      <formula>"Clássico"</formula>
    </cfRule>
  </conditionalFormatting>
  <conditionalFormatting sqref="J408">
    <cfRule type="cellIs" operator="equal" dxfId="1045" priority="1045">
      <formula>"R$"</formula>
    </cfRule>
  </conditionalFormatting>
  <conditionalFormatting sqref="K408">
    <cfRule type="cellIs" operator="equal" dxfId="1046" priority="1046">
      <formula>"Com impostos"</formula>
    </cfRule>
  </conditionalFormatting>
  <conditionalFormatting sqref="V408">
    <cfRule type="cellIs" operator="equal" dxfId="1047" priority="1047">
      <formula>"Mercado Envios grátis"</formula>
    </cfRule>
  </conditionalFormatting>
  <conditionalFormatting sqref="W408">
    <cfRule type="cellIs" operator="equal" dxfId="1048" priority="1048">
      <formula>"Clássico"</formula>
    </cfRule>
  </conditionalFormatting>
  <conditionalFormatting sqref="J409">
    <cfRule type="cellIs" operator="equal" dxfId="1049" priority="1049">
      <formula>"R$"</formula>
    </cfRule>
  </conditionalFormatting>
  <conditionalFormatting sqref="K409">
    <cfRule type="cellIs" operator="equal" dxfId="1050" priority="1050">
      <formula>"Com impostos"</formula>
    </cfRule>
  </conditionalFormatting>
  <conditionalFormatting sqref="V409">
    <cfRule type="cellIs" operator="equal" dxfId="1051" priority="1051">
      <formula>"Mercado Envios grátis"</formula>
    </cfRule>
  </conditionalFormatting>
  <conditionalFormatting sqref="W409">
    <cfRule type="cellIs" operator="equal" dxfId="1052" priority="1052">
      <formula>"Premium"</formula>
    </cfRule>
  </conditionalFormatting>
  <conditionalFormatting sqref="J410">
    <cfRule type="cellIs" operator="equal" dxfId="1053" priority="1053">
      <formula>"R$"</formula>
    </cfRule>
  </conditionalFormatting>
  <conditionalFormatting sqref="K410">
    <cfRule type="cellIs" operator="equal" dxfId="1054" priority="1054">
      <formula>"Com impostos"</formula>
    </cfRule>
  </conditionalFormatting>
  <conditionalFormatting sqref="V410">
    <cfRule type="cellIs" operator="equal" dxfId="1055" priority="1055">
      <formula>"Mercado Envios grátis"</formula>
    </cfRule>
  </conditionalFormatting>
  <conditionalFormatting sqref="W410">
    <cfRule type="cellIs" operator="equal" dxfId="1056" priority="1056">
      <formula>"Premium"</formula>
    </cfRule>
  </conditionalFormatting>
  <conditionalFormatting sqref="J411">
    <cfRule type="cellIs" operator="equal" dxfId="1057" priority="1057">
      <formula>"R$"</formula>
    </cfRule>
  </conditionalFormatting>
  <conditionalFormatting sqref="K411">
    <cfRule type="cellIs" operator="equal" dxfId="1058" priority="1058">
      <formula>"Com impostos"</formula>
    </cfRule>
  </conditionalFormatting>
  <conditionalFormatting sqref="V411">
    <cfRule type="cellIs" operator="equal" dxfId="1059" priority="1059">
      <formula>"Mercado Envios por conta do comprador"</formula>
    </cfRule>
  </conditionalFormatting>
  <conditionalFormatting sqref="W411">
    <cfRule type="cellIs" operator="equal" dxfId="1060" priority="1060">
      <formula>"Clássico"</formula>
    </cfRule>
  </conditionalFormatting>
  <conditionalFormatting sqref="J412">
    <cfRule type="cellIs" operator="equal" dxfId="1061" priority="1061">
      <formula>"R$"</formula>
    </cfRule>
  </conditionalFormatting>
  <conditionalFormatting sqref="K412">
    <cfRule type="cellIs" operator="equal" dxfId="1062" priority="1062">
      <formula>"Com impostos"</formula>
    </cfRule>
  </conditionalFormatting>
  <conditionalFormatting sqref="V412">
    <cfRule type="cellIs" operator="equal" dxfId="1063" priority="1063">
      <formula>"Mercado Envios por conta do comprador"</formula>
    </cfRule>
  </conditionalFormatting>
  <conditionalFormatting sqref="W412">
    <cfRule type="cellIs" operator="equal" dxfId="1064" priority="1064">
      <formula>"Clássico"</formula>
    </cfRule>
  </conditionalFormatting>
  <conditionalFormatting sqref="J413">
    <cfRule type="cellIs" operator="equal" dxfId="1065" priority="1065">
      <formula>"R$"</formula>
    </cfRule>
  </conditionalFormatting>
  <conditionalFormatting sqref="K413">
    <cfRule type="cellIs" operator="equal" dxfId="1066" priority="1066">
      <formula>"Com impostos"</formula>
    </cfRule>
  </conditionalFormatting>
  <conditionalFormatting sqref="V413">
    <cfRule type="cellIs" operator="equal" dxfId="1067" priority="1067">
      <formula>"Mercado Envios por conta do comprador"</formula>
    </cfRule>
  </conditionalFormatting>
  <conditionalFormatting sqref="W413">
    <cfRule type="cellIs" operator="equal" dxfId="1068" priority="1068">
      <formula>"Clássico"</formula>
    </cfRule>
  </conditionalFormatting>
  <conditionalFormatting sqref="J414">
    <cfRule type="cellIs" operator="equal" dxfId="1069" priority="1069">
      <formula>"R$"</formula>
    </cfRule>
  </conditionalFormatting>
  <conditionalFormatting sqref="K414">
    <cfRule type="cellIs" operator="equal" dxfId="1070" priority="1070">
      <formula>"Com impostos"</formula>
    </cfRule>
  </conditionalFormatting>
  <conditionalFormatting sqref="V414">
    <cfRule type="cellIs" operator="equal" dxfId="1071" priority="1071">
      <formula>"Mercado Envios grátis"</formula>
    </cfRule>
  </conditionalFormatting>
  <conditionalFormatting sqref="W414">
    <cfRule type="cellIs" operator="equal" dxfId="1072" priority="1072">
      <formula>"Premium"</formula>
    </cfRule>
  </conditionalFormatting>
  <conditionalFormatting sqref="J415">
    <cfRule type="cellIs" operator="equal" dxfId="1073" priority="1073">
      <formula>"R$"</formula>
    </cfRule>
  </conditionalFormatting>
  <conditionalFormatting sqref="K415">
    <cfRule type="cellIs" operator="equal" dxfId="1074" priority="1074">
      <formula>"Com impostos"</formula>
    </cfRule>
  </conditionalFormatting>
  <conditionalFormatting sqref="V415">
    <cfRule type="cellIs" operator="equal" dxfId="1075" priority="1075">
      <formula>"Mercado Envios por conta do comprador"</formula>
    </cfRule>
  </conditionalFormatting>
  <conditionalFormatting sqref="W415">
    <cfRule type="cellIs" operator="equal" dxfId="1076" priority="1076">
      <formula>"Clássico"</formula>
    </cfRule>
  </conditionalFormatting>
  <conditionalFormatting sqref="J416">
    <cfRule type="cellIs" operator="equal" dxfId="1077" priority="1077">
      <formula>"R$"</formula>
    </cfRule>
  </conditionalFormatting>
  <conditionalFormatting sqref="K416">
    <cfRule type="cellIs" operator="equal" dxfId="1078" priority="1078">
      <formula>"Com impostos"</formula>
    </cfRule>
  </conditionalFormatting>
  <conditionalFormatting sqref="V416">
    <cfRule type="cellIs" operator="equal" dxfId="1079" priority="1079">
      <formula>"Mercado Envios grátis"</formula>
    </cfRule>
  </conditionalFormatting>
  <conditionalFormatting sqref="W416">
    <cfRule type="cellIs" operator="equal" dxfId="1080" priority="1080">
      <formula>"Premium"</formula>
    </cfRule>
  </conditionalFormatting>
  <conditionalFormatting sqref="J417">
    <cfRule type="cellIs" operator="equal" dxfId="1081" priority="1081">
      <formula>"R$"</formula>
    </cfRule>
  </conditionalFormatting>
  <conditionalFormatting sqref="K417">
    <cfRule type="cellIs" operator="equal" dxfId="1082" priority="1082">
      <formula>"Com impostos"</formula>
    </cfRule>
  </conditionalFormatting>
  <conditionalFormatting sqref="V417">
    <cfRule type="cellIs" operator="equal" dxfId="1083" priority="1083">
      <formula>"Mercado Envios por conta do comprador"</formula>
    </cfRule>
  </conditionalFormatting>
  <conditionalFormatting sqref="W417">
    <cfRule type="cellIs" operator="equal" dxfId="1084" priority="1084">
      <formula>"Clássico"</formula>
    </cfRule>
  </conditionalFormatting>
  <conditionalFormatting sqref="J418">
    <cfRule type="cellIs" operator="equal" dxfId="1085" priority="1085">
      <formula>"R$"</formula>
    </cfRule>
  </conditionalFormatting>
  <conditionalFormatting sqref="K418">
    <cfRule type="cellIs" operator="equal" dxfId="1086" priority="1086">
      <formula>"Com impostos"</formula>
    </cfRule>
  </conditionalFormatting>
  <conditionalFormatting sqref="V418">
    <cfRule type="cellIs" operator="equal" dxfId="1087" priority="1087">
      <formula>"Mercado Envios grátis"</formula>
    </cfRule>
  </conditionalFormatting>
  <conditionalFormatting sqref="W418">
    <cfRule type="cellIs" operator="equal" dxfId="1088" priority="1088">
      <formula>"Clássico"</formula>
    </cfRule>
  </conditionalFormatting>
  <conditionalFormatting sqref="J419">
    <cfRule type="cellIs" operator="equal" dxfId="1089" priority="1089">
      <formula>"R$"</formula>
    </cfRule>
  </conditionalFormatting>
  <conditionalFormatting sqref="K419">
    <cfRule type="cellIs" operator="equal" dxfId="1090" priority="1090">
      <formula>"Com impostos"</formula>
    </cfRule>
  </conditionalFormatting>
  <conditionalFormatting sqref="V419">
    <cfRule type="cellIs" operator="equal" dxfId="1091" priority="1091">
      <formula>"Mercado Envios por conta do comprador"</formula>
    </cfRule>
  </conditionalFormatting>
  <conditionalFormatting sqref="W419">
    <cfRule type="cellIs" operator="equal" dxfId="1092" priority="1092">
      <formula>"Clássico"</formula>
    </cfRule>
  </conditionalFormatting>
  <conditionalFormatting sqref="J420">
    <cfRule type="cellIs" operator="equal" dxfId="1093" priority="1093">
      <formula>"R$"</formula>
    </cfRule>
  </conditionalFormatting>
  <conditionalFormatting sqref="K420">
    <cfRule type="cellIs" operator="equal" dxfId="1094" priority="1094">
      <formula>"Com impostos"</formula>
    </cfRule>
  </conditionalFormatting>
  <conditionalFormatting sqref="V420">
    <cfRule type="cellIs" operator="equal" dxfId="1095" priority="1095">
      <formula>"Mercado Envios grátis"</formula>
    </cfRule>
  </conditionalFormatting>
  <conditionalFormatting sqref="W420">
    <cfRule type="cellIs" operator="equal" dxfId="1096" priority="1096">
      <formula>"Clássico"</formula>
    </cfRule>
  </conditionalFormatting>
  <conditionalFormatting sqref="J421">
    <cfRule type="cellIs" operator="equal" dxfId="1097" priority="1097">
      <formula>"R$"</formula>
    </cfRule>
  </conditionalFormatting>
  <conditionalFormatting sqref="K421">
    <cfRule type="cellIs" operator="equal" dxfId="1098" priority="1098">
      <formula>"Com impostos"</formula>
    </cfRule>
  </conditionalFormatting>
  <conditionalFormatting sqref="V421">
    <cfRule type="cellIs" operator="equal" dxfId="1099" priority="1099">
      <formula>"Mercado Envios grátis"</formula>
    </cfRule>
  </conditionalFormatting>
  <conditionalFormatting sqref="W421">
    <cfRule type="cellIs" operator="equal" dxfId="1100" priority="1100">
      <formula>"Premium"</formula>
    </cfRule>
  </conditionalFormatting>
  <conditionalFormatting sqref="J422">
    <cfRule type="cellIs" operator="equal" dxfId="1101" priority="1101">
      <formula>"R$"</formula>
    </cfRule>
  </conditionalFormatting>
  <conditionalFormatting sqref="V422">
    <cfRule type="cellIs" operator="equal" dxfId="1102" priority="1102">
      <formula>"Mercado Envios grátis"</formula>
    </cfRule>
  </conditionalFormatting>
  <conditionalFormatting sqref="W422">
    <cfRule type="cellIs" operator="equal" dxfId="1103" priority="1103">
      <formula>"Premium"</formula>
    </cfRule>
  </conditionalFormatting>
  <conditionalFormatting sqref="J425">
    <cfRule type="cellIs" operator="equal" dxfId="1104" priority="1104">
      <formula>"R$"</formula>
    </cfRule>
  </conditionalFormatting>
  <conditionalFormatting sqref="K425">
    <cfRule type="cellIs" operator="equal" dxfId="1105" priority="1105">
      <formula>"Com impostos"</formula>
    </cfRule>
  </conditionalFormatting>
  <conditionalFormatting sqref="V425">
    <cfRule type="cellIs" operator="equal" dxfId="1106" priority="1106">
      <formula>"Mercado Envios grátis"</formula>
    </cfRule>
  </conditionalFormatting>
  <conditionalFormatting sqref="W425">
    <cfRule type="cellIs" operator="equal" dxfId="1107" priority="1107">
      <formula>"Clássico"</formula>
    </cfRule>
  </conditionalFormatting>
  <conditionalFormatting sqref="J426">
    <cfRule type="cellIs" operator="equal" dxfId="1108" priority="1108">
      <formula>"R$"</formula>
    </cfRule>
  </conditionalFormatting>
  <conditionalFormatting sqref="K426">
    <cfRule type="cellIs" operator="equal" dxfId="1109" priority="1109">
      <formula>"Com impostos"</formula>
    </cfRule>
  </conditionalFormatting>
  <conditionalFormatting sqref="V426">
    <cfRule type="cellIs" operator="equal" dxfId="1110" priority="1110">
      <formula>"Mercado Envios grátis"</formula>
    </cfRule>
  </conditionalFormatting>
  <conditionalFormatting sqref="W426">
    <cfRule type="cellIs" operator="equal" dxfId="1111" priority="1111">
      <formula>"Clássico"</formula>
    </cfRule>
  </conditionalFormatting>
  <conditionalFormatting sqref="J427">
    <cfRule type="cellIs" operator="equal" dxfId="1112" priority="1112">
      <formula>"R$"</formula>
    </cfRule>
  </conditionalFormatting>
  <conditionalFormatting sqref="K427">
    <cfRule type="cellIs" operator="equal" dxfId="1113" priority="1113">
      <formula>"Com impostos"</formula>
    </cfRule>
  </conditionalFormatting>
  <conditionalFormatting sqref="V427">
    <cfRule type="cellIs" operator="equal" dxfId="1114" priority="1114">
      <formula>"Mercado Envios grátis"</formula>
    </cfRule>
  </conditionalFormatting>
  <conditionalFormatting sqref="W427">
    <cfRule type="cellIs" operator="equal" dxfId="1115" priority="1115">
      <formula>"Clássico"</formula>
    </cfRule>
  </conditionalFormatting>
  <conditionalFormatting sqref="J428">
    <cfRule type="cellIs" operator="equal" dxfId="1116" priority="1116">
      <formula>"R$"</formula>
    </cfRule>
  </conditionalFormatting>
  <conditionalFormatting sqref="K428">
    <cfRule type="cellIs" operator="equal" dxfId="1117" priority="1117">
      <formula>"Com impostos"</formula>
    </cfRule>
  </conditionalFormatting>
  <conditionalFormatting sqref="V428">
    <cfRule type="cellIs" operator="equal" dxfId="1118" priority="1118">
      <formula>"Mercado Envios grátis"</formula>
    </cfRule>
  </conditionalFormatting>
  <conditionalFormatting sqref="W428">
    <cfRule type="cellIs" operator="equal" dxfId="1119" priority="1119">
      <formula>"Premium"</formula>
    </cfRule>
  </conditionalFormatting>
  <conditionalFormatting sqref="J429">
    <cfRule type="cellIs" operator="equal" dxfId="1120" priority="1120">
      <formula>"R$"</formula>
    </cfRule>
  </conditionalFormatting>
  <conditionalFormatting sqref="V429">
    <cfRule type="cellIs" operator="equal" dxfId="1121" priority="1121">
      <formula>"Mercado Envios grátis"</formula>
    </cfRule>
  </conditionalFormatting>
  <conditionalFormatting sqref="W429">
    <cfRule type="cellIs" operator="equal" dxfId="1122" priority="1122">
      <formula>"Premium"</formula>
    </cfRule>
  </conditionalFormatting>
  <conditionalFormatting sqref="J432">
    <cfRule type="cellIs" operator="equal" dxfId="1123" priority="1123">
      <formula>"R$"</formula>
    </cfRule>
  </conditionalFormatting>
  <conditionalFormatting sqref="K432">
    <cfRule type="cellIs" operator="equal" dxfId="1124" priority="1124">
      <formula>"Com impostos"</formula>
    </cfRule>
  </conditionalFormatting>
  <conditionalFormatting sqref="V432">
    <cfRule type="cellIs" operator="equal" dxfId="1125" priority="1125">
      <formula>"Mercado Envios por conta do comprador"</formula>
    </cfRule>
  </conditionalFormatting>
  <conditionalFormatting sqref="W432">
    <cfRule type="cellIs" operator="equal" dxfId="1126" priority="1126">
      <formula>"Clássico"</formula>
    </cfRule>
  </conditionalFormatting>
  <conditionalFormatting sqref="J433">
    <cfRule type="cellIs" operator="equal" dxfId="1127" priority="1127">
      <formula>"R$"</formula>
    </cfRule>
  </conditionalFormatting>
  <conditionalFormatting sqref="K433">
    <cfRule type="cellIs" operator="equal" dxfId="1128" priority="1128">
      <formula>"Com impostos"</formula>
    </cfRule>
  </conditionalFormatting>
  <conditionalFormatting sqref="V433">
    <cfRule type="cellIs" operator="equal" dxfId="1129" priority="1129">
      <formula>"Mercado Envios grátis"</formula>
    </cfRule>
  </conditionalFormatting>
  <conditionalFormatting sqref="W433">
    <cfRule type="cellIs" operator="equal" dxfId="1130" priority="1130">
      <formula>"Premium"</formula>
    </cfRule>
  </conditionalFormatting>
  <conditionalFormatting sqref="J434">
    <cfRule type="cellIs" operator="equal" dxfId="1131" priority="1131">
      <formula>"R$"</formula>
    </cfRule>
  </conditionalFormatting>
  <conditionalFormatting sqref="K434">
    <cfRule type="cellIs" operator="equal" dxfId="1132" priority="1132">
      <formula>"Com impostos"</formula>
    </cfRule>
  </conditionalFormatting>
  <conditionalFormatting sqref="V434">
    <cfRule type="cellIs" operator="equal" dxfId="1133" priority="1133">
      <formula>"Mercado Envios por conta do comprador"</formula>
    </cfRule>
  </conditionalFormatting>
  <conditionalFormatting sqref="W434">
    <cfRule type="cellIs" operator="equal" dxfId="1134" priority="1134">
      <formula>"Clássico"</formula>
    </cfRule>
  </conditionalFormatting>
  <conditionalFormatting sqref="J435">
    <cfRule type="cellIs" operator="equal" dxfId="1135" priority="1135">
      <formula>"R$"</formula>
    </cfRule>
  </conditionalFormatting>
  <conditionalFormatting sqref="K435">
    <cfRule type="cellIs" operator="equal" dxfId="1136" priority="1136">
      <formula>"Com impostos"</formula>
    </cfRule>
  </conditionalFormatting>
  <conditionalFormatting sqref="W435">
    <cfRule type="cellIs" operator="equal" dxfId="1137" priority="1137">
      <formula>"Premium"</formula>
    </cfRule>
  </conditionalFormatting>
  <conditionalFormatting sqref="J436">
    <cfRule type="cellIs" operator="equal" dxfId="1138" priority="1138">
      <formula>"R$"</formula>
    </cfRule>
  </conditionalFormatting>
  <conditionalFormatting sqref="V436">
    <cfRule type="cellIs" operator="equal" dxfId="1139" priority="1139">
      <formula>"Mercado Envios grátis"</formula>
    </cfRule>
  </conditionalFormatting>
  <conditionalFormatting sqref="W436">
    <cfRule type="cellIs" operator="equal" dxfId="1140" priority="1140">
      <formula>"Clássico"</formula>
    </cfRule>
  </conditionalFormatting>
  <conditionalFormatting sqref="J443">
    <cfRule type="cellIs" operator="equal" dxfId="1141" priority="1141">
      <formula>"R$"</formula>
    </cfRule>
  </conditionalFormatting>
  <conditionalFormatting sqref="K443">
    <cfRule type="cellIs" operator="equal" dxfId="1142" priority="1142">
      <formula>"Com impostos"</formula>
    </cfRule>
  </conditionalFormatting>
  <conditionalFormatting sqref="V443">
    <cfRule type="cellIs" operator="equal" dxfId="1143" priority="1143">
      <formula>"Mercado Envios grátis"</formula>
    </cfRule>
  </conditionalFormatting>
  <conditionalFormatting sqref="W443">
    <cfRule type="cellIs" operator="equal" dxfId="1144" priority="1144">
      <formula>"Premium"</formula>
    </cfRule>
  </conditionalFormatting>
  <conditionalFormatting sqref="J444">
    <cfRule type="cellIs" operator="equal" dxfId="1145" priority="1145">
      <formula>"R$"</formula>
    </cfRule>
  </conditionalFormatting>
  <conditionalFormatting sqref="K444">
    <cfRule type="cellIs" operator="equal" dxfId="1146" priority="1146">
      <formula>"Com impostos"</formula>
    </cfRule>
  </conditionalFormatting>
  <conditionalFormatting sqref="V444">
    <cfRule type="cellIs" operator="equal" dxfId="1147" priority="1147">
      <formula>"Mercado Envios grátis"</formula>
    </cfRule>
  </conditionalFormatting>
  <conditionalFormatting sqref="W444">
    <cfRule type="cellIs" operator="equal" dxfId="1148" priority="1148">
      <formula>"Clássico"</formula>
    </cfRule>
  </conditionalFormatting>
  <conditionalFormatting sqref="J445">
    <cfRule type="cellIs" operator="equal" dxfId="1149" priority="1149">
      <formula>"R$"</formula>
    </cfRule>
  </conditionalFormatting>
  <conditionalFormatting sqref="K445">
    <cfRule type="cellIs" operator="equal" dxfId="1150" priority="1150">
      <formula>"Com impostos"</formula>
    </cfRule>
  </conditionalFormatting>
  <conditionalFormatting sqref="V445">
    <cfRule type="cellIs" operator="equal" dxfId="1151" priority="1151">
      <formula>"Mercado Envios por conta do comprador"</formula>
    </cfRule>
  </conditionalFormatting>
  <conditionalFormatting sqref="W445">
    <cfRule type="cellIs" operator="equal" dxfId="1152" priority="1152">
      <formula>"Clássico"</formula>
    </cfRule>
  </conditionalFormatting>
  <conditionalFormatting sqref="J446">
    <cfRule type="cellIs" operator="equal" dxfId="1153" priority="1153">
      <formula>"R$"</formula>
    </cfRule>
  </conditionalFormatting>
  <conditionalFormatting sqref="K446">
    <cfRule type="cellIs" operator="equal" dxfId="1154" priority="1154">
      <formula>"Com impostos"</formula>
    </cfRule>
  </conditionalFormatting>
  <conditionalFormatting sqref="V446">
    <cfRule type="cellIs" operator="equal" dxfId="1155" priority="1155">
      <formula>"Mercado Envios grátis"</formula>
    </cfRule>
  </conditionalFormatting>
  <conditionalFormatting sqref="W446">
    <cfRule type="cellIs" operator="equal" dxfId="1156" priority="1156">
      <formula>"Premium"</formula>
    </cfRule>
  </conditionalFormatting>
  <conditionalFormatting sqref="J447">
    <cfRule type="cellIs" operator="equal" dxfId="1157" priority="1157">
      <formula>"R$"</formula>
    </cfRule>
  </conditionalFormatting>
  <conditionalFormatting sqref="K447">
    <cfRule type="cellIs" operator="equal" dxfId="1158" priority="1158">
      <formula>"Com impostos"</formula>
    </cfRule>
  </conditionalFormatting>
  <conditionalFormatting sqref="V447">
    <cfRule type="cellIs" operator="equal" dxfId="1159" priority="1159">
      <formula>"Mercado Envios grátis"</formula>
    </cfRule>
  </conditionalFormatting>
  <conditionalFormatting sqref="W447">
    <cfRule type="cellIs" operator="equal" dxfId="1160" priority="1160">
      <formula>"Premium"</formula>
    </cfRule>
  </conditionalFormatting>
  <conditionalFormatting sqref="J448">
    <cfRule type="cellIs" operator="equal" dxfId="1161" priority="1161">
      <formula>"R$"</formula>
    </cfRule>
  </conditionalFormatting>
  <conditionalFormatting sqref="K448">
    <cfRule type="cellIs" operator="equal" dxfId="1162" priority="1162">
      <formula>"Com impostos"</formula>
    </cfRule>
  </conditionalFormatting>
  <conditionalFormatting sqref="V448">
    <cfRule type="cellIs" operator="equal" dxfId="1163" priority="1163">
      <formula>"Mercado Envios grátis"</formula>
    </cfRule>
  </conditionalFormatting>
  <conditionalFormatting sqref="W448">
    <cfRule type="cellIs" operator="equal" dxfId="1164" priority="1164">
      <formula>"Premium"</formula>
    </cfRule>
  </conditionalFormatting>
  <conditionalFormatting sqref="J449">
    <cfRule type="cellIs" operator="equal" dxfId="1165" priority="1165">
      <formula>"R$"</formula>
    </cfRule>
  </conditionalFormatting>
  <conditionalFormatting sqref="K449">
    <cfRule type="cellIs" operator="equal" dxfId="1166" priority="1166">
      <formula>"Com impostos"</formula>
    </cfRule>
  </conditionalFormatting>
  <conditionalFormatting sqref="V449">
    <cfRule type="cellIs" operator="equal" dxfId="1167" priority="1167">
      <formula>"Mercado Envios por conta do comprador"</formula>
    </cfRule>
  </conditionalFormatting>
  <conditionalFormatting sqref="W449">
    <cfRule type="cellIs" operator="equal" dxfId="1168" priority="1168">
      <formula>"Clássico"</formula>
    </cfRule>
  </conditionalFormatting>
  <conditionalFormatting sqref="J450">
    <cfRule type="cellIs" operator="equal" dxfId="1169" priority="1169">
      <formula>"R$"</formula>
    </cfRule>
  </conditionalFormatting>
  <conditionalFormatting sqref="K450">
    <cfRule type="cellIs" operator="equal" dxfId="1170" priority="1170">
      <formula>"Com impostos"</formula>
    </cfRule>
  </conditionalFormatting>
  <conditionalFormatting sqref="V450">
    <cfRule type="cellIs" operator="equal" dxfId="1171" priority="1171">
      <formula>"Mercado Envios grátis"</formula>
    </cfRule>
  </conditionalFormatting>
  <conditionalFormatting sqref="W450">
    <cfRule type="cellIs" operator="equal" dxfId="1172" priority="1172">
      <formula>"Premium"</formula>
    </cfRule>
  </conditionalFormatting>
  <conditionalFormatting sqref="J451">
    <cfRule type="cellIs" operator="equal" dxfId="1173" priority="1173">
      <formula>"R$"</formula>
    </cfRule>
  </conditionalFormatting>
  <conditionalFormatting sqref="K451">
    <cfRule type="cellIs" operator="equal" dxfId="1174" priority="1174">
      <formula>"Com impostos"</formula>
    </cfRule>
  </conditionalFormatting>
  <conditionalFormatting sqref="V451">
    <cfRule type="cellIs" operator="equal" dxfId="1175" priority="1175">
      <formula>"Mercado Envios grátis"</formula>
    </cfRule>
  </conditionalFormatting>
  <conditionalFormatting sqref="W451">
    <cfRule type="cellIs" operator="equal" dxfId="1176" priority="1176">
      <formula>"Clássico"</formula>
    </cfRule>
  </conditionalFormatting>
  <conditionalFormatting sqref="J452">
    <cfRule type="cellIs" operator="equal" dxfId="1177" priority="1177">
      <formula>"R$"</formula>
    </cfRule>
  </conditionalFormatting>
  <conditionalFormatting sqref="K452">
    <cfRule type="cellIs" operator="equal" dxfId="1178" priority="1178">
      <formula>"Com impostos"</formula>
    </cfRule>
  </conditionalFormatting>
  <conditionalFormatting sqref="V452">
    <cfRule type="cellIs" operator="equal" dxfId="1179" priority="1179">
      <formula>"Mercado Envios por conta do comprador"</formula>
    </cfRule>
  </conditionalFormatting>
  <conditionalFormatting sqref="W452">
    <cfRule type="cellIs" operator="equal" dxfId="1180" priority="1180">
      <formula>"Clássico"</formula>
    </cfRule>
  </conditionalFormatting>
  <conditionalFormatting sqref="J453">
    <cfRule type="cellIs" operator="equal" dxfId="1181" priority="1181">
      <formula>"R$"</formula>
    </cfRule>
  </conditionalFormatting>
  <conditionalFormatting sqref="K453">
    <cfRule type="cellIs" operator="equal" dxfId="1182" priority="1182">
      <formula>"Com impostos"</formula>
    </cfRule>
  </conditionalFormatting>
  <conditionalFormatting sqref="V453">
    <cfRule type="cellIs" operator="equal" dxfId="1183" priority="1183">
      <formula>"Mercado Envios grátis"</formula>
    </cfRule>
  </conditionalFormatting>
  <conditionalFormatting sqref="W453">
    <cfRule type="cellIs" operator="equal" dxfId="1184" priority="1184">
      <formula>"Clássico"</formula>
    </cfRule>
  </conditionalFormatting>
  <conditionalFormatting sqref="J454">
    <cfRule type="cellIs" operator="equal" dxfId="1185" priority="1185">
      <formula>"R$"</formula>
    </cfRule>
  </conditionalFormatting>
  <conditionalFormatting sqref="V454">
    <cfRule type="cellIs" operator="equal" dxfId="1186" priority="1186">
      <formula>"Mercado Envios grátis"</formula>
    </cfRule>
  </conditionalFormatting>
  <conditionalFormatting sqref="W454">
    <cfRule type="cellIs" operator="equal" dxfId="1187" priority="1187">
      <formula>"Clássico"</formula>
    </cfRule>
  </conditionalFormatting>
  <conditionalFormatting sqref="J457">
    <cfRule type="cellIs" operator="equal" dxfId="1188" priority="1188">
      <formula>"R$"</formula>
    </cfRule>
  </conditionalFormatting>
  <conditionalFormatting sqref="K457">
    <cfRule type="cellIs" operator="equal" dxfId="1189" priority="1189">
      <formula>"Com impostos"</formula>
    </cfRule>
  </conditionalFormatting>
  <conditionalFormatting sqref="V457">
    <cfRule type="cellIs" operator="equal" dxfId="1190" priority="1190">
      <formula>"Mercado Envios grátis"</formula>
    </cfRule>
  </conditionalFormatting>
  <conditionalFormatting sqref="W457">
    <cfRule type="cellIs" operator="equal" dxfId="1191" priority="1191">
      <formula>"Clássico"</formula>
    </cfRule>
  </conditionalFormatting>
  <conditionalFormatting sqref="J458">
    <cfRule type="cellIs" operator="equal" dxfId="1192" priority="1192">
      <formula>"R$"</formula>
    </cfRule>
  </conditionalFormatting>
  <conditionalFormatting sqref="K458">
    <cfRule type="cellIs" operator="equal" dxfId="1193" priority="1193">
      <formula>"Com impostos"</formula>
    </cfRule>
  </conditionalFormatting>
  <conditionalFormatting sqref="V458">
    <cfRule type="cellIs" operator="equal" dxfId="1194" priority="1194">
      <formula>"Mercado Envios grátis"</formula>
    </cfRule>
  </conditionalFormatting>
  <conditionalFormatting sqref="W458">
    <cfRule type="cellIs" operator="equal" dxfId="1195" priority="1195">
      <formula>"Clássico"</formula>
    </cfRule>
  </conditionalFormatting>
  <conditionalFormatting sqref="J459">
    <cfRule type="cellIs" operator="equal" dxfId="1196" priority="1196">
      <formula>"R$"</formula>
    </cfRule>
  </conditionalFormatting>
  <conditionalFormatting sqref="K459">
    <cfRule type="cellIs" operator="equal" dxfId="1197" priority="1197">
      <formula>"Com impostos"</formula>
    </cfRule>
  </conditionalFormatting>
  <conditionalFormatting sqref="V459">
    <cfRule type="cellIs" operator="equal" dxfId="1198" priority="1198">
      <formula>"Mercado Envios grátis"</formula>
    </cfRule>
  </conditionalFormatting>
  <conditionalFormatting sqref="W459">
    <cfRule type="cellIs" operator="equal" dxfId="1199" priority="1199">
      <formula>"Premium"</formula>
    </cfRule>
  </conditionalFormatting>
  <conditionalFormatting sqref="J460">
    <cfRule type="cellIs" operator="equal" dxfId="1200" priority="1200">
      <formula>"R$"</formula>
    </cfRule>
  </conditionalFormatting>
  <conditionalFormatting sqref="K460">
    <cfRule type="cellIs" operator="equal" dxfId="1201" priority="1201">
      <formula>"Com impostos"</formula>
    </cfRule>
  </conditionalFormatting>
  <conditionalFormatting sqref="V460">
    <cfRule type="cellIs" operator="equal" dxfId="1202" priority="1202">
      <formula>"Mercado Envios grátis"</formula>
    </cfRule>
  </conditionalFormatting>
  <conditionalFormatting sqref="W460">
    <cfRule type="cellIs" operator="equal" dxfId="1203" priority="1203">
      <formula>"Premium"</formula>
    </cfRule>
  </conditionalFormatting>
  <conditionalFormatting sqref="J461">
    <cfRule type="cellIs" operator="equal" dxfId="1204" priority="1204">
      <formula>"R$"</formula>
    </cfRule>
  </conditionalFormatting>
  <conditionalFormatting sqref="K461">
    <cfRule type="cellIs" operator="equal" dxfId="1205" priority="1205">
      <formula>"Com impostos"</formula>
    </cfRule>
  </conditionalFormatting>
  <conditionalFormatting sqref="V461">
    <cfRule type="cellIs" operator="equal" dxfId="1206" priority="1206">
      <formula>"Mercado Envios grátis"</formula>
    </cfRule>
  </conditionalFormatting>
  <conditionalFormatting sqref="W461">
    <cfRule type="cellIs" operator="equal" dxfId="1207" priority="1207">
      <formula>"Clássico"</formula>
    </cfRule>
  </conditionalFormatting>
  <conditionalFormatting sqref="J462">
    <cfRule type="cellIs" operator="equal" dxfId="1208" priority="1208">
      <formula>"R$"</formula>
    </cfRule>
  </conditionalFormatting>
  <conditionalFormatting sqref="K462">
    <cfRule type="cellIs" operator="equal" dxfId="1209" priority="1209">
      <formula>"Com impostos"</formula>
    </cfRule>
  </conditionalFormatting>
  <conditionalFormatting sqref="V462">
    <cfRule type="cellIs" operator="equal" dxfId="1210" priority="1210">
      <formula>"Mercado Envios grátis"</formula>
    </cfRule>
  </conditionalFormatting>
  <conditionalFormatting sqref="W462">
    <cfRule type="cellIs" operator="equal" dxfId="1211" priority="1211">
      <formula>"Premium"</formula>
    </cfRule>
  </conditionalFormatting>
  <conditionalFormatting sqref="J463">
    <cfRule type="cellIs" operator="equal" dxfId="1212" priority="1212">
      <formula>"R$"</formula>
    </cfRule>
  </conditionalFormatting>
  <conditionalFormatting sqref="K463">
    <cfRule type="cellIs" operator="equal" dxfId="1213" priority="1213">
      <formula>"Com impostos"</formula>
    </cfRule>
  </conditionalFormatting>
  <conditionalFormatting sqref="V463">
    <cfRule type="cellIs" operator="equal" dxfId="1214" priority="1214">
      <formula>"Mercado Envios grátis"</formula>
    </cfRule>
  </conditionalFormatting>
  <conditionalFormatting sqref="W463">
    <cfRule type="cellIs" operator="equal" dxfId="1215" priority="1215">
      <formula>"Clássico"</formula>
    </cfRule>
  </conditionalFormatting>
  <conditionalFormatting sqref="J464">
    <cfRule type="cellIs" operator="equal" dxfId="1216" priority="1216">
      <formula>"R$"</formula>
    </cfRule>
  </conditionalFormatting>
  <conditionalFormatting sqref="K464">
    <cfRule type="cellIs" operator="equal" dxfId="1217" priority="1217">
      <formula>"Com impostos"</formula>
    </cfRule>
  </conditionalFormatting>
  <conditionalFormatting sqref="V464">
    <cfRule type="cellIs" operator="equal" dxfId="1218" priority="1218">
      <formula>"Mercado Envios grátis"</formula>
    </cfRule>
  </conditionalFormatting>
  <conditionalFormatting sqref="W464">
    <cfRule type="cellIs" operator="equal" dxfId="1219" priority="1219">
      <formula>"Clássico"</formula>
    </cfRule>
  </conditionalFormatting>
  <conditionalFormatting sqref="J465">
    <cfRule type="cellIs" operator="equal" dxfId="1220" priority="1220">
      <formula>"R$"</formula>
    </cfRule>
  </conditionalFormatting>
  <conditionalFormatting sqref="K465">
    <cfRule type="cellIs" operator="equal" dxfId="1221" priority="1221">
      <formula>"Com impostos"</formula>
    </cfRule>
  </conditionalFormatting>
  <conditionalFormatting sqref="V465">
    <cfRule type="cellIs" operator="equal" dxfId="1222" priority="1222">
      <formula>"Mercado Envios por conta do comprador"</formula>
    </cfRule>
  </conditionalFormatting>
  <conditionalFormatting sqref="W465">
    <cfRule type="cellIs" operator="equal" dxfId="1223" priority="1223">
      <formula>"Clássico"</formula>
    </cfRule>
  </conditionalFormatting>
  <conditionalFormatting sqref="J466">
    <cfRule type="cellIs" operator="equal" dxfId="1224" priority="1224">
      <formula>"R$"</formula>
    </cfRule>
  </conditionalFormatting>
  <conditionalFormatting sqref="K466">
    <cfRule type="cellIs" operator="equal" dxfId="1225" priority="1225">
      <formula>"Com impostos"</formula>
    </cfRule>
  </conditionalFormatting>
  <conditionalFormatting sqref="V466">
    <cfRule type="cellIs" operator="equal" dxfId="1226" priority="1226">
      <formula>"Mercado Envios por conta do comprador"</formula>
    </cfRule>
  </conditionalFormatting>
  <conditionalFormatting sqref="W466">
    <cfRule type="cellIs" operator="equal" dxfId="1227" priority="1227">
      <formula>"Premium"</formula>
    </cfRule>
  </conditionalFormatting>
  <conditionalFormatting sqref="J467">
    <cfRule type="cellIs" operator="equal" dxfId="1228" priority="1228">
      <formula>"R$"</formula>
    </cfRule>
  </conditionalFormatting>
  <conditionalFormatting sqref="K467">
    <cfRule type="cellIs" operator="equal" dxfId="1229" priority="1229">
      <formula>"Com impostos"</formula>
    </cfRule>
  </conditionalFormatting>
  <conditionalFormatting sqref="V467">
    <cfRule type="cellIs" operator="equal" dxfId="1230" priority="1230">
      <formula>"Mercado Envios grátis"</formula>
    </cfRule>
  </conditionalFormatting>
  <conditionalFormatting sqref="W467">
    <cfRule type="cellIs" operator="equal" dxfId="1231" priority="1231">
      <formula>"Premium"</formula>
    </cfRule>
  </conditionalFormatting>
  <conditionalFormatting sqref="J468">
    <cfRule type="cellIs" operator="equal" dxfId="1232" priority="1232">
      <formula>"R$"</formula>
    </cfRule>
  </conditionalFormatting>
  <conditionalFormatting sqref="K468">
    <cfRule type="cellIs" operator="equal" dxfId="1233" priority="1233">
      <formula>"Com impostos"</formula>
    </cfRule>
  </conditionalFormatting>
  <conditionalFormatting sqref="V468">
    <cfRule type="cellIs" operator="equal" dxfId="1234" priority="1234">
      <formula>"Mercado Envios grátis"</formula>
    </cfRule>
  </conditionalFormatting>
  <conditionalFormatting sqref="W468">
    <cfRule type="cellIs" operator="equal" dxfId="1235" priority="1235">
      <formula>"Premium"</formula>
    </cfRule>
  </conditionalFormatting>
  <conditionalFormatting sqref="J469">
    <cfRule type="cellIs" operator="equal" dxfId="1236" priority="1236">
      <formula>"R$"</formula>
    </cfRule>
  </conditionalFormatting>
  <conditionalFormatting sqref="K469">
    <cfRule type="cellIs" operator="equal" dxfId="1237" priority="1237">
      <formula>"Com impostos"</formula>
    </cfRule>
  </conditionalFormatting>
  <conditionalFormatting sqref="V469">
    <cfRule type="cellIs" operator="equal" dxfId="1238" priority="1238">
      <formula>"Mercado Envios grátis"</formula>
    </cfRule>
  </conditionalFormatting>
  <conditionalFormatting sqref="W469">
    <cfRule type="cellIs" operator="equal" dxfId="1239" priority="1239">
      <formula>"Premium"</formula>
    </cfRule>
  </conditionalFormatting>
  <conditionalFormatting sqref="J470">
    <cfRule type="cellIs" operator="equal" dxfId="1240" priority="1240">
      <formula>"R$"</formula>
    </cfRule>
  </conditionalFormatting>
  <conditionalFormatting sqref="K470">
    <cfRule type="cellIs" operator="equal" dxfId="1241" priority="1241">
      <formula>"Com impostos"</formula>
    </cfRule>
  </conditionalFormatting>
  <conditionalFormatting sqref="V470">
    <cfRule type="cellIs" operator="equal" dxfId="1242" priority="1242">
      <formula>"Mercado Envios grátis"</formula>
    </cfRule>
  </conditionalFormatting>
  <conditionalFormatting sqref="W470">
    <cfRule type="cellIs" operator="equal" dxfId="1243" priority="1243">
      <formula>"Premium"</formula>
    </cfRule>
  </conditionalFormatting>
  <conditionalFormatting sqref="J471">
    <cfRule type="cellIs" operator="equal" dxfId="1244" priority="1244">
      <formula>"R$"</formula>
    </cfRule>
  </conditionalFormatting>
  <conditionalFormatting sqref="K471">
    <cfRule type="cellIs" operator="equal" dxfId="1245" priority="1245">
      <formula>"Com impostos"</formula>
    </cfRule>
  </conditionalFormatting>
  <conditionalFormatting sqref="V471">
    <cfRule type="cellIs" operator="equal" dxfId="1246" priority="1246">
      <formula>"Mercado Envios grátis"</formula>
    </cfRule>
  </conditionalFormatting>
  <conditionalFormatting sqref="W471">
    <cfRule type="cellIs" operator="equal" dxfId="1247" priority="1247">
      <formula>"Clássico"</formula>
    </cfRule>
  </conditionalFormatting>
  <conditionalFormatting sqref="J472">
    <cfRule type="cellIs" operator="equal" dxfId="1248" priority="1248">
      <formula>"R$"</formula>
    </cfRule>
  </conditionalFormatting>
  <conditionalFormatting sqref="K472">
    <cfRule type="cellIs" operator="equal" dxfId="1249" priority="1249">
      <formula>"Com impostos"</formula>
    </cfRule>
  </conditionalFormatting>
  <conditionalFormatting sqref="V472">
    <cfRule type="cellIs" operator="equal" dxfId="1250" priority="1250">
      <formula>"Mercado Envios grátis"</formula>
    </cfRule>
  </conditionalFormatting>
  <conditionalFormatting sqref="W472">
    <cfRule type="cellIs" operator="equal" dxfId="1251" priority="1251">
      <formula>"Clássico"</formula>
    </cfRule>
  </conditionalFormatting>
  <conditionalFormatting sqref="J473">
    <cfRule type="cellIs" operator="equal" dxfId="1252" priority="1252">
      <formula>"R$"</formula>
    </cfRule>
  </conditionalFormatting>
  <conditionalFormatting sqref="K473">
    <cfRule type="cellIs" operator="equal" dxfId="1253" priority="1253">
      <formula>"Com impostos"</formula>
    </cfRule>
  </conditionalFormatting>
  <conditionalFormatting sqref="V473">
    <cfRule type="cellIs" operator="equal" dxfId="1254" priority="1254">
      <formula>"Mercado Envios grátis"</formula>
    </cfRule>
  </conditionalFormatting>
  <conditionalFormatting sqref="W473">
    <cfRule type="cellIs" operator="equal" dxfId="1255" priority="1255">
      <formula>"Premium"</formula>
    </cfRule>
  </conditionalFormatting>
  <conditionalFormatting sqref="J474">
    <cfRule type="cellIs" operator="equal" dxfId="1256" priority="1256">
      <formula>"R$"</formula>
    </cfRule>
  </conditionalFormatting>
  <conditionalFormatting sqref="K474">
    <cfRule type="cellIs" operator="equal" dxfId="1257" priority="1257">
      <formula>"Com impostos"</formula>
    </cfRule>
  </conditionalFormatting>
  <conditionalFormatting sqref="V474">
    <cfRule type="cellIs" operator="equal" dxfId="1258" priority="1258">
      <formula>"Mercado Envios grátis"</formula>
    </cfRule>
  </conditionalFormatting>
  <conditionalFormatting sqref="W474">
    <cfRule type="cellIs" operator="equal" dxfId="1259" priority="1259">
      <formula>"Clássico"</formula>
    </cfRule>
  </conditionalFormatting>
  <conditionalFormatting sqref="J475">
    <cfRule type="cellIs" operator="equal" dxfId="1260" priority="1260">
      <formula>"R$"</formula>
    </cfRule>
  </conditionalFormatting>
  <conditionalFormatting sqref="K475">
    <cfRule type="cellIs" operator="equal" dxfId="1261" priority="1261">
      <formula>"Com impostos"</formula>
    </cfRule>
  </conditionalFormatting>
  <conditionalFormatting sqref="V475">
    <cfRule type="cellIs" operator="equal" dxfId="1262" priority="1262">
      <formula>"Mercado Envios por conta do comprador"</formula>
    </cfRule>
  </conditionalFormatting>
  <conditionalFormatting sqref="W475">
    <cfRule type="cellIs" operator="equal" dxfId="1263" priority="1263">
      <formula>"Clássico"</formula>
    </cfRule>
  </conditionalFormatting>
  <conditionalFormatting sqref="J476">
    <cfRule type="cellIs" operator="equal" dxfId="1264" priority="1264">
      <formula>"R$"</formula>
    </cfRule>
  </conditionalFormatting>
  <conditionalFormatting sqref="K476">
    <cfRule type="cellIs" operator="equal" dxfId="1265" priority="1265">
      <formula>"Com impostos"</formula>
    </cfRule>
  </conditionalFormatting>
  <conditionalFormatting sqref="V476">
    <cfRule type="cellIs" operator="equal" dxfId="1266" priority="1266">
      <formula>"Mercado Envios grátis"</formula>
    </cfRule>
  </conditionalFormatting>
  <conditionalFormatting sqref="W476">
    <cfRule type="cellIs" operator="equal" dxfId="1267" priority="1267">
      <formula>"Clássico"</formula>
    </cfRule>
  </conditionalFormatting>
  <conditionalFormatting sqref="J477">
    <cfRule type="cellIs" operator="equal" dxfId="1268" priority="1268">
      <formula>"R$"</formula>
    </cfRule>
  </conditionalFormatting>
  <conditionalFormatting sqref="K477">
    <cfRule type="cellIs" operator="equal" dxfId="1269" priority="1269">
      <formula>"Com impostos"</formula>
    </cfRule>
  </conditionalFormatting>
  <conditionalFormatting sqref="V477">
    <cfRule type="cellIs" operator="equal" dxfId="1270" priority="1270">
      <formula>"Mercado Envios por conta do comprador"</formula>
    </cfRule>
  </conditionalFormatting>
  <conditionalFormatting sqref="W477">
    <cfRule type="cellIs" operator="equal" dxfId="1271" priority="1271">
      <formula>"Clássico"</formula>
    </cfRule>
  </conditionalFormatting>
  <conditionalFormatting sqref="J478">
    <cfRule type="cellIs" operator="equal" dxfId="1272" priority="1272">
      <formula>"R$"</formula>
    </cfRule>
  </conditionalFormatting>
  <conditionalFormatting sqref="K478">
    <cfRule type="cellIs" operator="equal" dxfId="1273" priority="1273">
      <formula>"Com impostos"</formula>
    </cfRule>
  </conditionalFormatting>
  <conditionalFormatting sqref="V478">
    <cfRule type="cellIs" operator="equal" dxfId="1274" priority="1274">
      <formula>"Mercado Envios grátis"</formula>
    </cfRule>
  </conditionalFormatting>
  <conditionalFormatting sqref="W478">
    <cfRule type="cellIs" operator="equal" dxfId="1275" priority="1275">
      <formula>"Clássico"</formula>
    </cfRule>
  </conditionalFormatting>
  <conditionalFormatting sqref="J479">
    <cfRule type="cellIs" operator="equal" dxfId="1276" priority="1276">
      <formula>"R$"</formula>
    </cfRule>
  </conditionalFormatting>
  <conditionalFormatting sqref="K479">
    <cfRule type="cellIs" operator="equal" dxfId="1277" priority="1277">
      <formula>"Com impostos"</formula>
    </cfRule>
  </conditionalFormatting>
  <conditionalFormatting sqref="V479">
    <cfRule type="cellIs" operator="equal" dxfId="1278" priority="1278">
      <formula>"Mercado Envios grátis"</formula>
    </cfRule>
  </conditionalFormatting>
  <conditionalFormatting sqref="W479">
    <cfRule type="cellIs" operator="equal" dxfId="1279" priority="1279">
      <formula>"Premium"</formula>
    </cfRule>
  </conditionalFormatting>
  <conditionalFormatting sqref="J480">
    <cfRule type="cellIs" operator="equal" dxfId="1280" priority="1280">
      <formula>"R$"</formula>
    </cfRule>
  </conditionalFormatting>
  <conditionalFormatting sqref="K480">
    <cfRule type="cellIs" operator="equal" dxfId="1281" priority="1281">
      <formula>"Com impostos"</formula>
    </cfRule>
  </conditionalFormatting>
  <conditionalFormatting sqref="V480">
    <cfRule type="cellIs" operator="equal" dxfId="1282" priority="1282">
      <formula>"Mercado Envios por conta do comprador"</formula>
    </cfRule>
  </conditionalFormatting>
  <conditionalFormatting sqref="W480">
    <cfRule type="cellIs" operator="equal" dxfId="1283" priority="1283">
      <formula>"Premium"</formula>
    </cfRule>
  </conditionalFormatting>
  <conditionalFormatting sqref="J481">
    <cfRule type="cellIs" operator="equal" dxfId="1284" priority="1284">
      <formula>"R$"</formula>
    </cfRule>
  </conditionalFormatting>
  <conditionalFormatting sqref="K481">
    <cfRule type="cellIs" operator="equal" dxfId="1285" priority="1285">
      <formula>"Com impostos"</formula>
    </cfRule>
  </conditionalFormatting>
  <conditionalFormatting sqref="V481">
    <cfRule type="cellIs" operator="equal" dxfId="1286" priority="1286">
      <formula>"Mercado Envios grátis"</formula>
    </cfRule>
  </conditionalFormatting>
  <conditionalFormatting sqref="W481">
    <cfRule type="cellIs" operator="equal" dxfId="1287" priority="1287">
      <formula>"Premium"</formula>
    </cfRule>
  </conditionalFormatting>
  <conditionalFormatting sqref="J482">
    <cfRule type="cellIs" operator="equal" dxfId="1288" priority="1288">
      <formula>"R$"</formula>
    </cfRule>
  </conditionalFormatting>
  <conditionalFormatting sqref="V482">
    <cfRule type="cellIs" operator="equal" dxfId="1289" priority="1289">
      <formula>"Mercado Envios grátis"</formula>
    </cfRule>
  </conditionalFormatting>
  <conditionalFormatting sqref="W482">
    <cfRule type="cellIs" operator="equal" dxfId="1290" priority="1290">
      <formula>"Premium"</formula>
    </cfRule>
  </conditionalFormatting>
  <conditionalFormatting sqref="J486">
    <cfRule type="cellIs" operator="equal" dxfId="1291" priority="1291">
      <formula>"R$"</formula>
    </cfRule>
  </conditionalFormatting>
  <conditionalFormatting sqref="K486">
    <cfRule type="cellIs" operator="equal" dxfId="1292" priority="1292">
      <formula>"Com impostos"</formula>
    </cfRule>
  </conditionalFormatting>
  <conditionalFormatting sqref="V486">
    <cfRule type="cellIs" operator="equal" dxfId="1293" priority="1293">
      <formula>"Mercado Envios grátis"</formula>
    </cfRule>
  </conditionalFormatting>
  <conditionalFormatting sqref="W486">
    <cfRule type="cellIs" operator="equal" dxfId="1294" priority="1294">
      <formula>"Clássico"</formula>
    </cfRule>
  </conditionalFormatting>
  <conditionalFormatting sqref="J487">
    <cfRule type="cellIs" operator="equal" dxfId="1295" priority="1295">
      <formula>"R$"</formula>
    </cfRule>
  </conditionalFormatting>
  <conditionalFormatting sqref="K487">
    <cfRule type="cellIs" operator="equal" dxfId="1296" priority="1296">
      <formula>"Com impostos"</formula>
    </cfRule>
  </conditionalFormatting>
  <conditionalFormatting sqref="V487">
    <cfRule type="cellIs" operator="equal" dxfId="1297" priority="1297">
      <formula>"Mercado Envios grátis"</formula>
    </cfRule>
  </conditionalFormatting>
  <conditionalFormatting sqref="W487">
    <cfRule type="cellIs" operator="equal" dxfId="1298" priority="1298">
      <formula>"Premium"</formula>
    </cfRule>
  </conditionalFormatting>
  <conditionalFormatting sqref="J488">
    <cfRule type="cellIs" operator="equal" dxfId="1299" priority="1299">
      <formula>"R$"</formula>
    </cfRule>
  </conditionalFormatting>
  <conditionalFormatting sqref="K488">
    <cfRule type="cellIs" operator="equal" dxfId="1300" priority="1300">
      <formula>"Com impostos"</formula>
    </cfRule>
  </conditionalFormatting>
  <conditionalFormatting sqref="V488">
    <cfRule type="cellIs" operator="equal" dxfId="1301" priority="1301">
      <formula>"Mercado Envios grátis"</formula>
    </cfRule>
  </conditionalFormatting>
  <conditionalFormatting sqref="W488">
    <cfRule type="cellIs" operator="equal" dxfId="1302" priority="1302">
      <formula>"Premium"</formula>
    </cfRule>
  </conditionalFormatting>
  <conditionalFormatting sqref="J489">
    <cfRule type="cellIs" operator="equal" dxfId="1303" priority="1303">
      <formula>"R$"</formula>
    </cfRule>
  </conditionalFormatting>
  <conditionalFormatting sqref="K489">
    <cfRule type="cellIs" operator="equal" dxfId="1304" priority="1304">
      <formula>"Com impostos"</formula>
    </cfRule>
  </conditionalFormatting>
  <conditionalFormatting sqref="W489">
    <cfRule type="cellIs" operator="equal" dxfId="1305" priority="1305">
      <formula>"Clássico"</formula>
    </cfRule>
  </conditionalFormatting>
  <conditionalFormatting sqref="J490">
    <cfRule type="cellIs" operator="equal" dxfId="1306" priority="1306">
      <formula>"R$"</formula>
    </cfRule>
  </conditionalFormatting>
  <conditionalFormatting sqref="K490">
    <cfRule type="cellIs" operator="equal" dxfId="1307" priority="1307">
      <formula>"Com impostos"</formula>
    </cfRule>
  </conditionalFormatting>
  <conditionalFormatting sqref="V490">
    <cfRule type="cellIs" operator="equal" dxfId="1308" priority="1308">
      <formula>"Mercado Envios grátis"</formula>
    </cfRule>
  </conditionalFormatting>
  <conditionalFormatting sqref="W490">
    <cfRule type="cellIs" operator="equal" dxfId="1309" priority="1309">
      <formula>"Premium"</formula>
    </cfRule>
  </conditionalFormatting>
  <conditionalFormatting sqref="J491">
    <cfRule type="cellIs" operator="equal" dxfId="1310" priority="1310">
      <formula>"R$"</formula>
    </cfRule>
  </conditionalFormatting>
  <conditionalFormatting sqref="K491">
    <cfRule type="cellIs" operator="equal" dxfId="1311" priority="1311">
      <formula>"Com impostos"</formula>
    </cfRule>
  </conditionalFormatting>
  <conditionalFormatting sqref="V491">
    <cfRule type="cellIs" operator="equal" dxfId="1312" priority="1312">
      <formula>"Mercado Envios grátis"</formula>
    </cfRule>
  </conditionalFormatting>
  <conditionalFormatting sqref="W491">
    <cfRule type="cellIs" operator="equal" dxfId="1313" priority="1313">
      <formula>"Clássico"</formula>
    </cfRule>
  </conditionalFormatting>
  <conditionalFormatting sqref="J492">
    <cfRule type="cellIs" operator="equal" dxfId="1314" priority="1314">
      <formula>"R$"</formula>
    </cfRule>
  </conditionalFormatting>
  <conditionalFormatting sqref="K492">
    <cfRule type="cellIs" operator="equal" dxfId="1315" priority="1315">
      <formula>"Com impostos"</formula>
    </cfRule>
  </conditionalFormatting>
  <conditionalFormatting sqref="V492">
    <cfRule type="cellIs" operator="equal" dxfId="1316" priority="1316">
      <formula>"Mercado Envios por conta do comprador"</formula>
    </cfRule>
  </conditionalFormatting>
  <conditionalFormatting sqref="W492">
    <cfRule type="cellIs" operator="equal" dxfId="1317" priority="1317">
      <formula>"Clássico"</formula>
    </cfRule>
  </conditionalFormatting>
  <conditionalFormatting sqref="J493">
    <cfRule type="cellIs" operator="equal" dxfId="1318" priority="1318">
      <formula>"R$"</formula>
    </cfRule>
  </conditionalFormatting>
  <conditionalFormatting sqref="K493">
    <cfRule type="cellIs" operator="equal" dxfId="1319" priority="1319">
      <formula>"Com impostos"</formula>
    </cfRule>
  </conditionalFormatting>
  <conditionalFormatting sqref="V493">
    <cfRule type="cellIs" operator="equal" dxfId="1320" priority="1320">
      <formula>"Mercado Envios grátis"</formula>
    </cfRule>
  </conditionalFormatting>
  <conditionalFormatting sqref="W493">
    <cfRule type="cellIs" operator="equal" dxfId="1321" priority="1321">
      <formula>"Premium"</formula>
    </cfRule>
  </conditionalFormatting>
  <conditionalFormatting sqref="J494">
    <cfRule type="cellIs" operator="equal" dxfId="1322" priority="1322">
      <formula>"R$"</formula>
    </cfRule>
  </conditionalFormatting>
  <conditionalFormatting sqref="K494">
    <cfRule type="cellIs" operator="equal" dxfId="1323" priority="1323">
      <formula>"Com impostos"</formula>
    </cfRule>
  </conditionalFormatting>
  <conditionalFormatting sqref="V494">
    <cfRule type="cellIs" operator="equal" dxfId="1324" priority="1324">
      <formula>"Mercado Envios grátis"</formula>
    </cfRule>
  </conditionalFormatting>
  <conditionalFormatting sqref="W494">
    <cfRule type="cellIs" operator="equal" dxfId="1325" priority="1325">
      <formula>"Premium"</formula>
    </cfRule>
  </conditionalFormatting>
  <conditionalFormatting sqref="J495">
    <cfRule type="cellIs" operator="equal" dxfId="1326" priority="1326">
      <formula>"R$"</formula>
    </cfRule>
  </conditionalFormatting>
  <conditionalFormatting sqref="K495">
    <cfRule type="cellIs" operator="equal" dxfId="1327" priority="1327">
      <formula>"Com impostos"</formula>
    </cfRule>
  </conditionalFormatting>
  <conditionalFormatting sqref="V495">
    <cfRule type="cellIs" operator="equal" dxfId="1328" priority="1328">
      <formula>"Mercado Envios grátis"</formula>
    </cfRule>
  </conditionalFormatting>
  <conditionalFormatting sqref="W495">
    <cfRule type="cellIs" operator="equal" dxfId="1329" priority="1329">
      <formula>"Premium"</formula>
    </cfRule>
  </conditionalFormatting>
  <conditionalFormatting sqref="J496">
    <cfRule type="cellIs" operator="equal" dxfId="1330" priority="1330">
      <formula>"R$"</formula>
    </cfRule>
  </conditionalFormatting>
  <conditionalFormatting sqref="K496">
    <cfRule type="cellIs" operator="equal" dxfId="1331" priority="1331">
      <formula>"Com impostos"</formula>
    </cfRule>
  </conditionalFormatting>
  <conditionalFormatting sqref="V496">
    <cfRule type="cellIs" operator="equal" dxfId="1332" priority="1332">
      <formula>"Mercado Envios grátis"</formula>
    </cfRule>
  </conditionalFormatting>
  <conditionalFormatting sqref="W496">
    <cfRule type="cellIs" operator="equal" dxfId="1333" priority="1333">
      <formula>"Premium"</formula>
    </cfRule>
  </conditionalFormatting>
  <conditionalFormatting sqref="J497">
    <cfRule type="cellIs" operator="equal" dxfId="1334" priority="1334">
      <formula>"R$"</formula>
    </cfRule>
  </conditionalFormatting>
  <conditionalFormatting sqref="K497">
    <cfRule type="cellIs" operator="equal" dxfId="1335" priority="1335">
      <formula>"Com impostos"</formula>
    </cfRule>
  </conditionalFormatting>
  <conditionalFormatting sqref="V497">
    <cfRule type="cellIs" operator="equal" dxfId="1336" priority="1336">
      <formula>"Mercado Envios grátis"</formula>
    </cfRule>
  </conditionalFormatting>
  <conditionalFormatting sqref="W497">
    <cfRule type="cellIs" operator="equal" dxfId="1337" priority="1337">
      <formula>"Premium"</formula>
    </cfRule>
  </conditionalFormatting>
  <conditionalFormatting sqref="J498">
    <cfRule type="cellIs" operator="equal" dxfId="1338" priority="1338">
      <formula>"R$"</formula>
    </cfRule>
  </conditionalFormatting>
  <conditionalFormatting sqref="K498">
    <cfRule type="cellIs" operator="equal" dxfId="1339" priority="1339">
      <formula>"Com impostos"</formula>
    </cfRule>
  </conditionalFormatting>
  <conditionalFormatting sqref="V498">
    <cfRule type="cellIs" operator="equal" dxfId="1340" priority="1340">
      <formula>"Mercado Envios grátis"</formula>
    </cfRule>
  </conditionalFormatting>
  <conditionalFormatting sqref="W498">
    <cfRule type="cellIs" operator="equal" dxfId="1341" priority="1341">
      <formula>"Premium"</formula>
    </cfRule>
  </conditionalFormatting>
  <conditionalFormatting sqref="J499">
    <cfRule type="cellIs" operator="equal" dxfId="1342" priority="1342">
      <formula>"R$"</formula>
    </cfRule>
  </conditionalFormatting>
  <conditionalFormatting sqref="K499">
    <cfRule type="cellIs" operator="equal" dxfId="1343" priority="1343">
      <formula>"Com impostos"</formula>
    </cfRule>
  </conditionalFormatting>
  <conditionalFormatting sqref="V499">
    <cfRule type="cellIs" operator="equal" dxfId="1344" priority="1344">
      <formula>"Mercado Envios por conta do comprador"</formula>
    </cfRule>
  </conditionalFormatting>
  <conditionalFormatting sqref="W499">
    <cfRule type="cellIs" operator="equal" dxfId="1345" priority="1345">
      <formula>"Clássico"</formula>
    </cfRule>
  </conditionalFormatting>
  <conditionalFormatting sqref="J500">
    <cfRule type="cellIs" operator="equal" dxfId="1346" priority="1346">
      <formula>"R$"</formula>
    </cfRule>
  </conditionalFormatting>
  <conditionalFormatting sqref="V500">
    <cfRule type="cellIs" operator="equal" dxfId="1347" priority="1347">
      <formula>"Mercado Envios grátis"</formula>
    </cfRule>
  </conditionalFormatting>
  <conditionalFormatting sqref="W500">
    <cfRule type="cellIs" operator="equal" dxfId="1348" priority="1348">
      <formula>"Premium"</formula>
    </cfRule>
  </conditionalFormatting>
  <conditionalFormatting sqref="J503">
    <cfRule type="cellIs" operator="equal" dxfId="1349" priority="1349">
      <formula>"R$"</formula>
    </cfRule>
  </conditionalFormatting>
  <conditionalFormatting sqref="K503">
    <cfRule type="cellIs" operator="equal" dxfId="1350" priority="1350">
      <formula>"Com impostos"</formula>
    </cfRule>
  </conditionalFormatting>
  <conditionalFormatting sqref="V503">
    <cfRule type="cellIs" operator="equal" dxfId="1351" priority="1351">
      <formula>"Mercado Envios grátis"</formula>
    </cfRule>
  </conditionalFormatting>
  <conditionalFormatting sqref="W503">
    <cfRule type="cellIs" operator="equal" dxfId="1352" priority="1352">
      <formula>"Premium"</formula>
    </cfRule>
  </conditionalFormatting>
  <conditionalFormatting sqref="J504">
    <cfRule type="cellIs" operator="equal" dxfId="1353" priority="1353">
      <formula>"R$"</formula>
    </cfRule>
  </conditionalFormatting>
  <conditionalFormatting sqref="K504">
    <cfRule type="cellIs" operator="equal" dxfId="1354" priority="1354">
      <formula>"Com impostos"</formula>
    </cfRule>
  </conditionalFormatting>
  <conditionalFormatting sqref="V504">
    <cfRule type="cellIs" operator="equal" dxfId="1355" priority="1355">
      <formula>"Mercado Envios por conta do comprador"</formula>
    </cfRule>
  </conditionalFormatting>
  <conditionalFormatting sqref="W504">
    <cfRule type="cellIs" operator="equal" dxfId="1356" priority="1356">
      <formula>"Clássico"</formula>
    </cfRule>
  </conditionalFormatting>
  <conditionalFormatting sqref="J505">
    <cfRule type="cellIs" operator="equal" dxfId="1357" priority="1357">
      <formula>"R$"</formula>
    </cfRule>
  </conditionalFormatting>
  <conditionalFormatting sqref="K505">
    <cfRule type="cellIs" operator="equal" dxfId="1358" priority="1358">
      <formula>"Com impostos"</formula>
    </cfRule>
  </conditionalFormatting>
  <conditionalFormatting sqref="V505">
    <cfRule type="cellIs" operator="equal" dxfId="1359" priority="1359">
      <formula>"Mercado Envios grátis"</formula>
    </cfRule>
  </conditionalFormatting>
  <conditionalFormatting sqref="W505">
    <cfRule type="cellIs" operator="equal" dxfId="1360" priority="1360">
      <formula>"Premium"</formula>
    </cfRule>
  </conditionalFormatting>
  <conditionalFormatting sqref="J506">
    <cfRule type="cellIs" operator="equal" dxfId="1361" priority="1361">
      <formula>"R$"</formula>
    </cfRule>
  </conditionalFormatting>
  <conditionalFormatting sqref="K506">
    <cfRule type="cellIs" operator="equal" dxfId="1362" priority="1362">
      <formula>"Com impostos"</formula>
    </cfRule>
  </conditionalFormatting>
  <conditionalFormatting sqref="V506">
    <cfRule type="cellIs" operator="equal" dxfId="1363" priority="1363">
      <formula>"Mercado Envios grátis"</formula>
    </cfRule>
  </conditionalFormatting>
  <conditionalFormatting sqref="W506">
    <cfRule type="cellIs" operator="equal" dxfId="1364" priority="1364">
      <formula>"Premium"</formula>
    </cfRule>
  </conditionalFormatting>
  <conditionalFormatting sqref="J507">
    <cfRule type="cellIs" operator="equal" dxfId="1365" priority="1365">
      <formula>"R$"</formula>
    </cfRule>
  </conditionalFormatting>
  <conditionalFormatting sqref="K507">
    <cfRule type="cellIs" operator="equal" dxfId="1366" priority="1366">
      <formula>"Com impostos"</formula>
    </cfRule>
  </conditionalFormatting>
  <conditionalFormatting sqref="V507">
    <cfRule type="cellIs" operator="equal" dxfId="1367" priority="1367">
      <formula>"Mercado Envios grátis"</formula>
    </cfRule>
  </conditionalFormatting>
  <conditionalFormatting sqref="W507">
    <cfRule type="cellIs" operator="equal" dxfId="1368" priority="1368">
      <formula>"Clássico"</formula>
    </cfRule>
  </conditionalFormatting>
  <conditionalFormatting sqref="J508">
    <cfRule type="cellIs" operator="equal" dxfId="1369" priority="1369">
      <formula>"R$"</formula>
    </cfRule>
  </conditionalFormatting>
  <conditionalFormatting sqref="K508">
    <cfRule type="cellIs" operator="equal" dxfId="1370" priority="1370">
      <formula>"Com impostos"</formula>
    </cfRule>
  </conditionalFormatting>
  <conditionalFormatting sqref="V508">
    <cfRule type="cellIs" operator="equal" dxfId="1371" priority="1371">
      <formula>"Mercado Envios grátis"</formula>
    </cfRule>
  </conditionalFormatting>
  <conditionalFormatting sqref="W508">
    <cfRule type="cellIs" operator="equal" dxfId="1372" priority="1372">
      <formula>"Clássico"</formula>
    </cfRule>
  </conditionalFormatting>
  <conditionalFormatting sqref="J509">
    <cfRule type="cellIs" operator="equal" dxfId="1373" priority="1373">
      <formula>"R$"</formula>
    </cfRule>
  </conditionalFormatting>
  <conditionalFormatting sqref="K509">
    <cfRule type="cellIs" operator="equal" dxfId="1374" priority="1374">
      <formula>"Com impostos"</formula>
    </cfRule>
  </conditionalFormatting>
  <conditionalFormatting sqref="V509">
    <cfRule type="cellIs" operator="equal" dxfId="1375" priority="1375">
      <formula>"Mercado Envios por conta do comprador"</formula>
    </cfRule>
  </conditionalFormatting>
  <conditionalFormatting sqref="W509">
    <cfRule type="cellIs" operator="equal" dxfId="1376" priority="1376">
      <formula>"Clássico"</formula>
    </cfRule>
  </conditionalFormatting>
  <conditionalFormatting sqref="J510">
    <cfRule type="cellIs" operator="equal" dxfId="1377" priority="1377">
      <formula>"R$"</formula>
    </cfRule>
  </conditionalFormatting>
  <conditionalFormatting sqref="K510">
    <cfRule type="cellIs" operator="equal" dxfId="1378" priority="1378">
      <formula>"Com impostos"</formula>
    </cfRule>
  </conditionalFormatting>
  <conditionalFormatting sqref="V510">
    <cfRule type="cellIs" operator="equal" dxfId="1379" priority="1379">
      <formula>"Mercado Envios grátis"</formula>
    </cfRule>
  </conditionalFormatting>
  <conditionalFormatting sqref="W510">
    <cfRule type="cellIs" operator="equal" dxfId="1380" priority="1380">
      <formula>"Clássico"</formula>
    </cfRule>
  </conditionalFormatting>
  <conditionalFormatting sqref="J511">
    <cfRule type="cellIs" operator="equal" dxfId="1381" priority="1381">
      <formula>"R$"</formula>
    </cfRule>
  </conditionalFormatting>
  <conditionalFormatting sqref="V511">
    <cfRule type="cellIs" operator="equal" dxfId="1382" priority="1382">
      <formula>"Mercado Envios grátis"</formula>
    </cfRule>
  </conditionalFormatting>
  <conditionalFormatting sqref="W511">
    <cfRule type="cellIs" operator="equal" dxfId="1383" priority="1383">
      <formula>"Premium"</formula>
    </cfRule>
  </conditionalFormatting>
  <conditionalFormatting sqref="J514">
    <cfRule type="cellIs" operator="equal" dxfId="1384" priority="1384">
      <formula>"R$"</formula>
    </cfRule>
  </conditionalFormatting>
  <conditionalFormatting sqref="V514">
    <cfRule type="cellIs" operator="equal" dxfId="1385" priority="1385">
      <formula>"Mercado Envios grátis"</formula>
    </cfRule>
  </conditionalFormatting>
  <conditionalFormatting sqref="W514">
    <cfRule type="cellIs" operator="equal" dxfId="1386" priority="1386">
      <formula>"Clássico"</formula>
    </cfRule>
  </conditionalFormatting>
  <conditionalFormatting sqref="J527">
    <cfRule type="cellIs" operator="equal" dxfId="1387" priority="1387">
      <formula>"R$"</formula>
    </cfRule>
  </conditionalFormatting>
  <conditionalFormatting sqref="K527">
    <cfRule type="cellIs" operator="equal" dxfId="1388" priority="1388">
      <formula>"Com impostos"</formula>
    </cfRule>
  </conditionalFormatting>
  <conditionalFormatting sqref="V527">
    <cfRule type="cellIs" operator="equal" dxfId="1389" priority="1389">
      <formula>"Mercado Envios grátis"</formula>
    </cfRule>
  </conditionalFormatting>
  <conditionalFormatting sqref="W527">
    <cfRule type="cellIs" operator="equal" dxfId="1390" priority="1390">
      <formula>"Premium"</formula>
    </cfRule>
  </conditionalFormatting>
  <conditionalFormatting sqref="J528">
    <cfRule type="cellIs" operator="equal" dxfId="1391" priority="1391">
      <formula>"R$"</formula>
    </cfRule>
  </conditionalFormatting>
  <conditionalFormatting sqref="K528">
    <cfRule type="cellIs" operator="equal" dxfId="1392" priority="1392">
      <formula>"Com impostos"</formula>
    </cfRule>
  </conditionalFormatting>
  <conditionalFormatting sqref="V528">
    <cfRule type="cellIs" operator="equal" dxfId="1393" priority="1393">
      <formula>"Mercado Envios grátis"</formula>
    </cfRule>
  </conditionalFormatting>
  <conditionalFormatting sqref="W528">
    <cfRule type="cellIs" operator="equal" dxfId="1394" priority="1394">
      <formula>"Premium"</formula>
    </cfRule>
  </conditionalFormatting>
  <conditionalFormatting sqref="J529">
    <cfRule type="cellIs" operator="equal" dxfId="1395" priority="1395">
      <formula>"R$"</formula>
    </cfRule>
  </conditionalFormatting>
  <conditionalFormatting sqref="K529">
    <cfRule type="cellIs" operator="equal" dxfId="1396" priority="1396">
      <formula>"Com impostos"</formula>
    </cfRule>
  </conditionalFormatting>
  <conditionalFormatting sqref="V529">
    <cfRule type="cellIs" operator="equal" dxfId="1397" priority="1397">
      <formula>"Mercado Envios grátis"</formula>
    </cfRule>
  </conditionalFormatting>
  <conditionalFormatting sqref="W529">
    <cfRule type="cellIs" operator="equal" dxfId="1398" priority="1398">
      <formula>"Premium"</formula>
    </cfRule>
  </conditionalFormatting>
  <conditionalFormatting sqref="J530">
    <cfRule type="cellIs" operator="equal" dxfId="1399" priority="1399">
      <formula>"R$"</formula>
    </cfRule>
  </conditionalFormatting>
  <conditionalFormatting sqref="K530">
    <cfRule type="cellIs" operator="equal" dxfId="1400" priority="1400">
      <formula>"Com impostos"</formula>
    </cfRule>
  </conditionalFormatting>
  <conditionalFormatting sqref="V530">
    <cfRule type="cellIs" operator="equal" dxfId="1401" priority="1401">
      <formula>"Mercado Envios por conta do comprador"</formula>
    </cfRule>
  </conditionalFormatting>
  <conditionalFormatting sqref="W530">
    <cfRule type="cellIs" operator="equal" dxfId="1402" priority="1402">
      <formula>"Premium"</formula>
    </cfRule>
  </conditionalFormatting>
  <conditionalFormatting sqref="J531">
    <cfRule type="cellIs" operator="equal" dxfId="1403" priority="1403">
      <formula>"R$"</formula>
    </cfRule>
  </conditionalFormatting>
  <conditionalFormatting sqref="K531">
    <cfRule type="cellIs" operator="equal" dxfId="1404" priority="1404">
      <formula>"Com impostos"</formula>
    </cfRule>
  </conditionalFormatting>
  <conditionalFormatting sqref="V531">
    <cfRule type="cellIs" operator="equal" dxfId="1405" priority="1405">
      <formula>"Mercado Envios por conta do comprador"</formula>
    </cfRule>
  </conditionalFormatting>
  <conditionalFormatting sqref="W531">
    <cfRule type="cellIs" operator="equal" dxfId="1406" priority="1406">
      <formula>"Clássico"</formula>
    </cfRule>
  </conditionalFormatting>
  <conditionalFormatting sqref="J532">
    <cfRule type="cellIs" operator="equal" dxfId="1407" priority="1407">
      <formula>"R$"</formula>
    </cfRule>
  </conditionalFormatting>
  <conditionalFormatting sqref="K532">
    <cfRule type="cellIs" operator="equal" dxfId="1408" priority="1408">
      <formula>"Com impostos"</formula>
    </cfRule>
  </conditionalFormatting>
  <conditionalFormatting sqref="V532">
    <cfRule type="cellIs" operator="equal" dxfId="1409" priority="1409">
      <formula>"Mercado Envios grátis"</formula>
    </cfRule>
  </conditionalFormatting>
  <conditionalFormatting sqref="W532">
    <cfRule type="cellIs" operator="equal" dxfId="1410" priority="1410">
      <formula>"Premium"</formula>
    </cfRule>
  </conditionalFormatting>
  <conditionalFormatting sqref="J533">
    <cfRule type="cellIs" operator="equal" dxfId="1411" priority="1411">
      <formula>"R$"</formula>
    </cfRule>
  </conditionalFormatting>
  <conditionalFormatting sqref="K533">
    <cfRule type="cellIs" operator="equal" dxfId="1412" priority="1412">
      <formula>"Com impostos"</formula>
    </cfRule>
  </conditionalFormatting>
  <conditionalFormatting sqref="V533">
    <cfRule type="cellIs" operator="equal" dxfId="1413" priority="1413">
      <formula>"Mercado Envios grátis"</formula>
    </cfRule>
  </conditionalFormatting>
  <conditionalFormatting sqref="W533">
    <cfRule type="cellIs" operator="equal" dxfId="1414" priority="1414">
      <formula>"Clássico"</formula>
    </cfRule>
  </conditionalFormatting>
  <conditionalFormatting sqref="J534">
    <cfRule type="cellIs" operator="equal" dxfId="1415" priority="1415">
      <formula>"R$"</formula>
    </cfRule>
  </conditionalFormatting>
  <conditionalFormatting sqref="K534">
    <cfRule type="cellIs" operator="equal" dxfId="1416" priority="1416">
      <formula>"Com impostos"</formula>
    </cfRule>
  </conditionalFormatting>
  <conditionalFormatting sqref="V534">
    <cfRule type="cellIs" operator="equal" dxfId="1417" priority="1417">
      <formula>"Mercado Envios por conta do comprador"</formula>
    </cfRule>
  </conditionalFormatting>
  <conditionalFormatting sqref="W534">
    <cfRule type="cellIs" operator="equal" dxfId="1418" priority="1418">
      <formula>"Premium"</formula>
    </cfRule>
  </conditionalFormatting>
  <conditionalFormatting sqref="J535">
    <cfRule type="cellIs" operator="equal" dxfId="1419" priority="1419">
      <formula>"R$"</formula>
    </cfRule>
  </conditionalFormatting>
  <conditionalFormatting sqref="K535">
    <cfRule type="cellIs" operator="equal" dxfId="1420" priority="1420">
      <formula>"Com impostos"</formula>
    </cfRule>
  </conditionalFormatting>
  <conditionalFormatting sqref="V535">
    <cfRule type="cellIs" operator="equal" dxfId="1421" priority="1421">
      <formula>"Mercado Envios grátis"</formula>
    </cfRule>
  </conditionalFormatting>
  <conditionalFormatting sqref="W535">
    <cfRule type="cellIs" operator="equal" dxfId="1422" priority="1422">
      <formula>"Clássico"</formula>
    </cfRule>
  </conditionalFormatting>
  <conditionalFormatting sqref="J536">
    <cfRule type="cellIs" operator="equal" dxfId="1423" priority="1423">
      <formula>"R$"</formula>
    </cfRule>
  </conditionalFormatting>
  <conditionalFormatting sqref="V536">
    <cfRule type="cellIs" operator="equal" dxfId="1424" priority="1424">
      <formula>"Mercado Envios grátis"</formula>
    </cfRule>
  </conditionalFormatting>
  <conditionalFormatting sqref="W536">
    <cfRule type="cellIs" operator="equal" dxfId="1425" priority="1425">
      <formula>"Premium"</formula>
    </cfRule>
  </conditionalFormatting>
  <conditionalFormatting sqref="J539">
    <cfRule type="cellIs" operator="equal" dxfId="1426" priority="1426">
      <formula>"R$"</formula>
    </cfRule>
  </conditionalFormatting>
  <conditionalFormatting sqref="K539">
    <cfRule type="cellIs" operator="equal" dxfId="1427" priority="1427">
      <formula>"Com impostos"</formula>
    </cfRule>
  </conditionalFormatting>
  <conditionalFormatting sqref="V539">
    <cfRule type="cellIs" operator="equal" dxfId="1428" priority="1428">
      <formula>"Mercado Envios grátis"</formula>
    </cfRule>
  </conditionalFormatting>
  <conditionalFormatting sqref="W539">
    <cfRule type="cellIs" operator="equal" dxfId="1429" priority="1429">
      <formula>"Premium"</formula>
    </cfRule>
  </conditionalFormatting>
  <conditionalFormatting sqref="J540">
    <cfRule type="cellIs" operator="equal" dxfId="1430" priority="1430">
      <formula>"R$"</formula>
    </cfRule>
  </conditionalFormatting>
  <conditionalFormatting sqref="K540">
    <cfRule type="cellIs" operator="equal" dxfId="1431" priority="1431">
      <formula>"Com impostos"</formula>
    </cfRule>
  </conditionalFormatting>
  <conditionalFormatting sqref="V540">
    <cfRule type="cellIs" operator="equal" dxfId="1432" priority="1432">
      <formula>"Mercado Envios por conta do comprador"</formula>
    </cfRule>
  </conditionalFormatting>
  <conditionalFormatting sqref="W540">
    <cfRule type="cellIs" operator="equal" dxfId="1433" priority="1433">
      <formula>"Premium"</formula>
    </cfRule>
  </conditionalFormatting>
  <conditionalFormatting sqref="J541">
    <cfRule type="cellIs" operator="equal" dxfId="1434" priority="1434">
      <formula>"R$"</formula>
    </cfRule>
  </conditionalFormatting>
  <conditionalFormatting sqref="K541">
    <cfRule type="cellIs" operator="equal" dxfId="1435" priority="1435">
      <formula>"Com impostos"</formula>
    </cfRule>
  </conditionalFormatting>
  <conditionalFormatting sqref="V541">
    <cfRule type="cellIs" operator="equal" dxfId="1436" priority="1436">
      <formula>"Mercado Envios grátis"</formula>
    </cfRule>
  </conditionalFormatting>
  <conditionalFormatting sqref="W541">
    <cfRule type="cellIs" operator="equal" dxfId="1437" priority="1437">
      <formula>"Clássico"</formula>
    </cfRule>
  </conditionalFormatting>
  <conditionalFormatting sqref="J542">
    <cfRule type="cellIs" operator="equal" dxfId="1438" priority="1438">
      <formula>"R$"</formula>
    </cfRule>
  </conditionalFormatting>
  <conditionalFormatting sqref="K542">
    <cfRule type="cellIs" operator="equal" dxfId="1439" priority="1439">
      <formula>"Com impostos"</formula>
    </cfRule>
  </conditionalFormatting>
  <conditionalFormatting sqref="V542">
    <cfRule type="cellIs" operator="equal" dxfId="1440" priority="1440">
      <formula>"Mercado Envios grátis"</formula>
    </cfRule>
  </conditionalFormatting>
  <conditionalFormatting sqref="W542">
    <cfRule type="cellIs" operator="equal" dxfId="1441" priority="1441">
      <formula>"Premium"</formula>
    </cfRule>
  </conditionalFormatting>
  <conditionalFormatting sqref="J543">
    <cfRule type="cellIs" operator="equal" dxfId="1442" priority="1442">
      <formula>"R$"</formula>
    </cfRule>
  </conditionalFormatting>
  <conditionalFormatting sqref="K543">
    <cfRule type="cellIs" operator="equal" dxfId="1443" priority="1443">
      <formula>"Com impostos"</formula>
    </cfRule>
  </conditionalFormatting>
  <conditionalFormatting sqref="V543">
    <cfRule type="cellIs" operator="equal" dxfId="1444" priority="1444">
      <formula>"Mercado Envios grátis"</formula>
    </cfRule>
  </conditionalFormatting>
  <conditionalFormatting sqref="W543">
    <cfRule type="cellIs" operator="equal" dxfId="1445" priority="1445">
      <formula>"Premium"</formula>
    </cfRule>
  </conditionalFormatting>
  <conditionalFormatting sqref="J544">
    <cfRule type="cellIs" operator="equal" dxfId="1446" priority="1446">
      <formula>"R$"</formula>
    </cfRule>
  </conditionalFormatting>
  <conditionalFormatting sqref="K544">
    <cfRule type="cellIs" operator="equal" dxfId="1447" priority="1447">
      <formula>"Com impostos"</formula>
    </cfRule>
  </conditionalFormatting>
  <conditionalFormatting sqref="V544">
    <cfRule type="cellIs" operator="equal" dxfId="1448" priority="1448">
      <formula>"Mercado Envios grátis"</formula>
    </cfRule>
  </conditionalFormatting>
  <conditionalFormatting sqref="W544">
    <cfRule type="cellIs" operator="equal" dxfId="1449" priority="1449">
      <formula>"Premium"</formula>
    </cfRule>
  </conditionalFormatting>
  <conditionalFormatting sqref="J545">
    <cfRule type="cellIs" operator="equal" dxfId="1450" priority="1450">
      <formula>"R$"</formula>
    </cfRule>
  </conditionalFormatting>
  <conditionalFormatting sqref="K545">
    <cfRule type="cellIs" operator="equal" dxfId="1451" priority="1451">
      <formula>"Com impostos"</formula>
    </cfRule>
  </conditionalFormatting>
  <conditionalFormatting sqref="V545">
    <cfRule type="cellIs" operator="equal" dxfId="1452" priority="1452">
      <formula>"Mercado Envios grátis"</formula>
    </cfRule>
  </conditionalFormatting>
  <conditionalFormatting sqref="W545">
    <cfRule type="cellIs" operator="equal" dxfId="1453" priority="1453">
      <formula>"Premium"</formula>
    </cfRule>
  </conditionalFormatting>
  <conditionalFormatting sqref="J546">
    <cfRule type="cellIs" operator="equal" dxfId="1454" priority="1454">
      <formula>"R$"</formula>
    </cfRule>
  </conditionalFormatting>
  <conditionalFormatting sqref="K546">
    <cfRule type="cellIs" operator="equal" dxfId="1455" priority="1455">
      <formula>"Com impostos"</formula>
    </cfRule>
  </conditionalFormatting>
  <conditionalFormatting sqref="V546">
    <cfRule type="cellIs" operator="equal" dxfId="1456" priority="1456">
      <formula>"Mercado Envios grátis"</formula>
    </cfRule>
  </conditionalFormatting>
  <conditionalFormatting sqref="W546">
    <cfRule type="cellIs" operator="equal" dxfId="1457" priority="1457">
      <formula>"Premium"</formula>
    </cfRule>
  </conditionalFormatting>
  <conditionalFormatting sqref="J547">
    <cfRule type="cellIs" operator="equal" dxfId="1458" priority="1458">
      <formula>"R$"</formula>
    </cfRule>
  </conditionalFormatting>
  <conditionalFormatting sqref="K547">
    <cfRule type="cellIs" operator="equal" dxfId="1459" priority="1459">
      <formula>"Com impostos"</formula>
    </cfRule>
  </conditionalFormatting>
  <conditionalFormatting sqref="V547">
    <cfRule type="cellIs" operator="equal" dxfId="1460" priority="1460">
      <formula>"Mercado Envios grátis"</formula>
    </cfRule>
  </conditionalFormatting>
  <conditionalFormatting sqref="W547">
    <cfRule type="cellIs" operator="equal" dxfId="1461" priority="1461">
      <formula>"Clássico"</formula>
    </cfRule>
  </conditionalFormatting>
  <conditionalFormatting sqref="J548">
    <cfRule type="cellIs" operator="equal" dxfId="1462" priority="1462">
      <formula>"R$"</formula>
    </cfRule>
  </conditionalFormatting>
  <conditionalFormatting sqref="K548">
    <cfRule type="cellIs" operator="equal" dxfId="1463" priority="1463">
      <formula>"Com impostos"</formula>
    </cfRule>
  </conditionalFormatting>
  <conditionalFormatting sqref="V548">
    <cfRule type="cellIs" operator="equal" dxfId="1464" priority="1464">
      <formula>"Mercado Envios grátis"</formula>
    </cfRule>
  </conditionalFormatting>
  <conditionalFormatting sqref="W548">
    <cfRule type="cellIs" operator="equal" dxfId="1465" priority="1465">
      <formula>"Premium"</formula>
    </cfRule>
  </conditionalFormatting>
  <conditionalFormatting sqref="J549">
    <cfRule type="cellIs" operator="equal" dxfId="1466" priority="1466">
      <formula>"R$"</formula>
    </cfRule>
  </conditionalFormatting>
  <conditionalFormatting sqref="K549">
    <cfRule type="cellIs" operator="equal" dxfId="1467" priority="1467">
      <formula>"Com impostos"</formula>
    </cfRule>
  </conditionalFormatting>
  <conditionalFormatting sqref="V549">
    <cfRule type="cellIs" operator="equal" dxfId="1468" priority="1468">
      <formula>"Mercado Envios grátis"</formula>
    </cfRule>
  </conditionalFormatting>
  <conditionalFormatting sqref="W549">
    <cfRule type="cellIs" operator="equal" dxfId="1469" priority="1469">
      <formula>"Premium"</formula>
    </cfRule>
  </conditionalFormatting>
  <conditionalFormatting sqref="J550">
    <cfRule type="cellIs" operator="equal" dxfId="1470" priority="1470">
      <formula>"R$"</formula>
    </cfRule>
  </conditionalFormatting>
  <conditionalFormatting sqref="K550">
    <cfRule type="cellIs" operator="equal" dxfId="1471" priority="1471">
      <formula>"Com impostos"</formula>
    </cfRule>
  </conditionalFormatting>
  <conditionalFormatting sqref="V550">
    <cfRule type="cellIs" operator="equal" dxfId="1472" priority="1472">
      <formula>"Mercado Envios grátis"</formula>
    </cfRule>
  </conditionalFormatting>
  <conditionalFormatting sqref="W550">
    <cfRule type="cellIs" operator="equal" dxfId="1473" priority="1473">
      <formula>"Clássico"</formula>
    </cfRule>
  </conditionalFormatting>
  <conditionalFormatting sqref="J551">
    <cfRule type="cellIs" operator="equal" dxfId="1474" priority="1474">
      <formula>"R$"</formula>
    </cfRule>
  </conditionalFormatting>
  <conditionalFormatting sqref="K551">
    <cfRule type="cellIs" operator="equal" dxfId="1475" priority="1475">
      <formula>"Com impostos"</formula>
    </cfRule>
  </conditionalFormatting>
  <conditionalFormatting sqref="V551">
    <cfRule type="cellIs" operator="equal" dxfId="1476" priority="1476">
      <formula>"Mercado Envios grátis"</formula>
    </cfRule>
  </conditionalFormatting>
  <conditionalFormatting sqref="W551">
    <cfRule type="cellIs" operator="equal" dxfId="1477" priority="1477">
      <formula>"Premium"</formula>
    </cfRule>
  </conditionalFormatting>
  <conditionalFormatting sqref="J552">
    <cfRule type="cellIs" operator="equal" dxfId="1478" priority="1478">
      <formula>"R$"</formula>
    </cfRule>
  </conditionalFormatting>
  <conditionalFormatting sqref="K552">
    <cfRule type="cellIs" operator="equal" dxfId="1479" priority="1479">
      <formula>"Com impostos"</formula>
    </cfRule>
  </conditionalFormatting>
  <conditionalFormatting sqref="V552">
    <cfRule type="cellIs" operator="equal" dxfId="1480" priority="1480">
      <formula>"Mercado Envios por conta do comprador"</formula>
    </cfRule>
  </conditionalFormatting>
  <conditionalFormatting sqref="W552">
    <cfRule type="cellIs" operator="equal" dxfId="1481" priority="1481">
      <formula>"Clássico"</formula>
    </cfRule>
  </conditionalFormatting>
  <conditionalFormatting sqref="J553">
    <cfRule type="cellIs" operator="equal" dxfId="1482" priority="1482">
      <formula>"R$"</formula>
    </cfRule>
  </conditionalFormatting>
  <conditionalFormatting sqref="K553">
    <cfRule type="cellIs" operator="equal" dxfId="1483" priority="1483">
      <formula>"Com impostos"</formula>
    </cfRule>
  </conditionalFormatting>
  <conditionalFormatting sqref="V553">
    <cfRule type="cellIs" operator="equal" dxfId="1484" priority="1484">
      <formula>"Mercado Envios grátis"</formula>
    </cfRule>
  </conditionalFormatting>
  <conditionalFormatting sqref="W553">
    <cfRule type="cellIs" operator="equal" dxfId="1485" priority="1485">
      <formula>"Clássico"</formula>
    </cfRule>
  </conditionalFormatting>
  <conditionalFormatting sqref="J554">
    <cfRule type="cellIs" operator="equal" dxfId="1486" priority="1486">
      <formula>"R$"</formula>
    </cfRule>
  </conditionalFormatting>
  <conditionalFormatting sqref="K554">
    <cfRule type="cellIs" operator="equal" dxfId="1487" priority="1487">
      <formula>"Com impostos"</formula>
    </cfRule>
  </conditionalFormatting>
  <conditionalFormatting sqref="V554">
    <cfRule type="cellIs" operator="equal" dxfId="1488" priority="1488">
      <formula>"Mercado Envios grátis"</formula>
    </cfRule>
  </conditionalFormatting>
  <conditionalFormatting sqref="W554">
    <cfRule type="cellIs" operator="equal" dxfId="1489" priority="1489">
      <formula>"Clássico"</formula>
    </cfRule>
  </conditionalFormatting>
  <conditionalFormatting sqref="J555">
    <cfRule type="cellIs" operator="equal" dxfId="1490" priority="1490">
      <formula>"R$"</formula>
    </cfRule>
  </conditionalFormatting>
  <conditionalFormatting sqref="K555">
    <cfRule type="cellIs" operator="equal" dxfId="1491" priority="1491">
      <formula>"Com impostos"</formula>
    </cfRule>
  </conditionalFormatting>
  <conditionalFormatting sqref="V555">
    <cfRule type="cellIs" operator="equal" dxfId="1492" priority="1492">
      <formula>"Mercado Envios grátis"</formula>
    </cfRule>
  </conditionalFormatting>
  <conditionalFormatting sqref="W555">
    <cfRule type="cellIs" operator="equal" dxfId="1493" priority="1493">
      <formula>"Premium"</formula>
    </cfRule>
  </conditionalFormatting>
  <conditionalFormatting sqref="J556">
    <cfRule type="cellIs" operator="equal" dxfId="1494" priority="1494">
      <formula>"R$"</formula>
    </cfRule>
  </conditionalFormatting>
  <conditionalFormatting sqref="V556">
    <cfRule type="cellIs" operator="equal" dxfId="1495" priority="1495">
      <formula>"Mercado Envios grátis"</formula>
    </cfRule>
  </conditionalFormatting>
  <conditionalFormatting sqref="W556">
    <cfRule type="cellIs" operator="equal" dxfId="1496" priority="1496">
      <formula>"Clássico"</formula>
    </cfRule>
  </conditionalFormatting>
  <conditionalFormatting sqref="J559">
    <cfRule type="cellIs" operator="equal" dxfId="1497" priority="1497">
      <formula>"R$"</formula>
    </cfRule>
  </conditionalFormatting>
  <conditionalFormatting sqref="K559">
    <cfRule type="cellIs" operator="equal" dxfId="1498" priority="1498">
      <formula>"Com impostos"</formula>
    </cfRule>
  </conditionalFormatting>
  <conditionalFormatting sqref="V559">
    <cfRule type="cellIs" operator="equal" dxfId="1499" priority="1499">
      <formula>"Mercado Envios grátis"</formula>
    </cfRule>
  </conditionalFormatting>
  <conditionalFormatting sqref="W559">
    <cfRule type="cellIs" operator="equal" dxfId="1500" priority="1500">
      <formula>"Premium"</formula>
    </cfRule>
  </conditionalFormatting>
  <conditionalFormatting sqref="J560">
    <cfRule type="cellIs" operator="equal" dxfId="1501" priority="1501">
      <formula>"R$"</formula>
    </cfRule>
  </conditionalFormatting>
  <conditionalFormatting sqref="K560">
    <cfRule type="cellIs" operator="equal" dxfId="1502" priority="1502">
      <formula>"Com impostos"</formula>
    </cfRule>
  </conditionalFormatting>
  <conditionalFormatting sqref="V560">
    <cfRule type="cellIs" operator="equal" dxfId="1503" priority="1503">
      <formula>"Mercado Envios por conta do comprador"</formula>
    </cfRule>
  </conditionalFormatting>
  <conditionalFormatting sqref="W560">
    <cfRule type="cellIs" operator="equal" dxfId="1504" priority="1504">
      <formula>"Clássico"</formula>
    </cfRule>
  </conditionalFormatting>
  <conditionalFormatting sqref="J561">
    <cfRule type="cellIs" operator="equal" dxfId="1505" priority="1505">
      <formula>"R$"</formula>
    </cfRule>
  </conditionalFormatting>
  <conditionalFormatting sqref="K561">
    <cfRule type="cellIs" operator="equal" dxfId="1506" priority="1506">
      <formula>"Com impostos"</formula>
    </cfRule>
  </conditionalFormatting>
  <conditionalFormatting sqref="V561">
    <cfRule type="cellIs" operator="equal" dxfId="1507" priority="1507">
      <formula>"Mercado Envios por conta do comprador"</formula>
    </cfRule>
  </conditionalFormatting>
  <conditionalFormatting sqref="W561">
    <cfRule type="cellIs" operator="equal" dxfId="1508" priority="1508">
      <formula>"Clássico"</formula>
    </cfRule>
  </conditionalFormatting>
  <conditionalFormatting sqref="J562">
    <cfRule type="cellIs" operator="equal" dxfId="1509" priority="1509">
      <formula>"R$"</formula>
    </cfRule>
  </conditionalFormatting>
  <conditionalFormatting sqref="K562">
    <cfRule type="cellIs" operator="equal" dxfId="1510" priority="1510">
      <formula>"Com impostos"</formula>
    </cfRule>
  </conditionalFormatting>
  <conditionalFormatting sqref="V562">
    <cfRule type="cellIs" operator="equal" dxfId="1511" priority="1511">
      <formula>"Mercado Envios grátis"</formula>
    </cfRule>
  </conditionalFormatting>
  <conditionalFormatting sqref="W562">
    <cfRule type="cellIs" operator="equal" dxfId="1512" priority="1512">
      <formula>"Premium"</formula>
    </cfRule>
  </conditionalFormatting>
  <conditionalFormatting sqref="J563">
    <cfRule type="cellIs" operator="equal" dxfId="1513" priority="1513">
      <formula>"R$"</formula>
    </cfRule>
  </conditionalFormatting>
  <conditionalFormatting sqref="K563">
    <cfRule type="cellIs" operator="equal" dxfId="1514" priority="1514">
      <formula>"Com impostos"</formula>
    </cfRule>
  </conditionalFormatting>
  <conditionalFormatting sqref="V563">
    <cfRule type="cellIs" operator="equal" dxfId="1515" priority="1515">
      <formula>"Mercado Envios grátis"</formula>
    </cfRule>
  </conditionalFormatting>
  <conditionalFormatting sqref="W563">
    <cfRule type="cellIs" operator="equal" dxfId="1516" priority="1516">
      <formula>"Premium"</formula>
    </cfRule>
  </conditionalFormatting>
  <conditionalFormatting sqref="J564">
    <cfRule type="cellIs" operator="equal" dxfId="1517" priority="1517">
      <formula>"R$"</formula>
    </cfRule>
  </conditionalFormatting>
  <conditionalFormatting sqref="V564">
    <cfRule type="cellIs" operator="equal" dxfId="1518" priority="1518">
      <formula>"Mercado Envios grátis"</formula>
    </cfRule>
  </conditionalFormatting>
  <conditionalFormatting sqref="W564">
    <cfRule type="cellIs" operator="equal" dxfId="1519" priority="1519">
      <formula>"Premium"</formula>
    </cfRule>
  </conditionalFormatting>
  <conditionalFormatting sqref="J567">
    <cfRule type="cellIs" operator="equal" dxfId="1520" priority="1520">
      <formula>"R$"</formula>
    </cfRule>
  </conditionalFormatting>
  <conditionalFormatting sqref="K567">
    <cfRule type="cellIs" operator="equal" dxfId="1521" priority="1521">
      <formula>"Com impostos"</formula>
    </cfRule>
  </conditionalFormatting>
  <conditionalFormatting sqref="V567">
    <cfRule type="cellIs" operator="equal" dxfId="1522" priority="1522">
      <formula>"Mercado Envios grátis"</formula>
    </cfRule>
  </conditionalFormatting>
  <conditionalFormatting sqref="W567">
    <cfRule type="cellIs" operator="equal" dxfId="1523" priority="1523">
      <formula>"Premium"</formula>
    </cfRule>
  </conditionalFormatting>
  <conditionalFormatting sqref="J568">
    <cfRule type="cellIs" operator="equal" dxfId="1524" priority="1524">
      <formula>"R$"</formula>
    </cfRule>
  </conditionalFormatting>
  <conditionalFormatting sqref="K568">
    <cfRule type="cellIs" operator="equal" dxfId="1525" priority="1525">
      <formula>"Com impostos"</formula>
    </cfRule>
  </conditionalFormatting>
  <conditionalFormatting sqref="V568">
    <cfRule type="cellIs" operator="equal" dxfId="1526" priority="1526">
      <formula>"Mercado Envios grátis"</formula>
    </cfRule>
  </conditionalFormatting>
  <conditionalFormatting sqref="W568">
    <cfRule type="cellIs" operator="equal" dxfId="1527" priority="1527">
      <formula>"Clássico"</formula>
    </cfRule>
  </conditionalFormatting>
  <conditionalFormatting sqref="J569">
    <cfRule type="cellIs" operator="equal" dxfId="1528" priority="1528">
      <formula>"R$"</formula>
    </cfRule>
  </conditionalFormatting>
  <conditionalFormatting sqref="K569">
    <cfRule type="cellIs" operator="equal" dxfId="1529" priority="1529">
      <formula>"Com impostos"</formula>
    </cfRule>
  </conditionalFormatting>
  <conditionalFormatting sqref="V569">
    <cfRule type="cellIs" operator="equal" dxfId="1530" priority="1530">
      <formula>"Mercado Envios grátis"</formula>
    </cfRule>
  </conditionalFormatting>
  <conditionalFormatting sqref="W569">
    <cfRule type="cellIs" operator="equal" dxfId="1531" priority="1531">
      <formula>"Clássico"</formula>
    </cfRule>
  </conditionalFormatting>
  <conditionalFormatting sqref="J570">
    <cfRule type="cellIs" operator="equal" dxfId="1532" priority="1532">
      <formula>"R$"</formula>
    </cfRule>
  </conditionalFormatting>
  <conditionalFormatting sqref="K570">
    <cfRule type="cellIs" operator="equal" dxfId="1533" priority="1533">
      <formula>"Com impostos"</formula>
    </cfRule>
  </conditionalFormatting>
  <conditionalFormatting sqref="V570">
    <cfRule type="cellIs" operator="equal" dxfId="1534" priority="1534">
      <formula>"Mercado Envios grátis"</formula>
    </cfRule>
  </conditionalFormatting>
  <conditionalFormatting sqref="W570">
    <cfRule type="cellIs" operator="equal" dxfId="1535" priority="1535">
      <formula>"Clássico"</formula>
    </cfRule>
  </conditionalFormatting>
  <conditionalFormatting sqref="J571">
    <cfRule type="cellIs" operator="equal" dxfId="1536" priority="1536">
      <formula>"R$"</formula>
    </cfRule>
  </conditionalFormatting>
  <conditionalFormatting sqref="K571">
    <cfRule type="cellIs" operator="equal" dxfId="1537" priority="1537">
      <formula>"Com impostos"</formula>
    </cfRule>
  </conditionalFormatting>
  <conditionalFormatting sqref="V571">
    <cfRule type="cellIs" operator="equal" dxfId="1538" priority="1538">
      <formula>"Mercado Envios grátis"</formula>
    </cfRule>
  </conditionalFormatting>
  <conditionalFormatting sqref="W571">
    <cfRule type="cellIs" operator="equal" dxfId="1539" priority="1539">
      <formula>"Clássico"</formula>
    </cfRule>
  </conditionalFormatting>
  <conditionalFormatting sqref="J572">
    <cfRule type="cellIs" operator="equal" dxfId="1540" priority="1540">
      <formula>"R$"</formula>
    </cfRule>
  </conditionalFormatting>
  <conditionalFormatting sqref="K572">
    <cfRule type="cellIs" operator="equal" dxfId="1541" priority="1541">
      <formula>"Com impostos"</formula>
    </cfRule>
  </conditionalFormatting>
  <conditionalFormatting sqref="V572">
    <cfRule type="cellIs" operator="equal" dxfId="1542" priority="1542">
      <formula>"Mercado Envios por conta do comprador"</formula>
    </cfRule>
  </conditionalFormatting>
  <conditionalFormatting sqref="W572">
    <cfRule type="cellIs" operator="equal" dxfId="1543" priority="1543">
      <formula>"Clássico"</formula>
    </cfRule>
  </conditionalFormatting>
  <conditionalFormatting sqref="J573">
    <cfRule type="cellIs" operator="equal" dxfId="1544" priority="1544">
      <formula>"R$"</formula>
    </cfRule>
  </conditionalFormatting>
  <conditionalFormatting sqref="K573">
    <cfRule type="cellIs" operator="equal" dxfId="1545" priority="1545">
      <formula>"Com impostos"</formula>
    </cfRule>
  </conditionalFormatting>
  <conditionalFormatting sqref="V573">
    <cfRule type="cellIs" operator="equal" dxfId="1546" priority="1546">
      <formula>"Mercado Envios por conta do comprador"</formula>
    </cfRule>
  </conditionalFormatting>
  <conditionalFormatting sqref="W573">
    <cfRule type="cellIs" operator="equal" dxfId="1547" priority="1547">
      <formula>"Clássico"</formula>
    </cfRule>
  </conditionalFormatting>
  <conditionalFormatting sqref="J574">
    <cfRule type="cellIs" operator="equal" dxfId="1548" priority="1548">
      <formula>"R$"</formula>
    </cfRule>
  </conditionalFormatting>
  <conditionalFormatting sqref="K574">
    <cfRule type="cellIs" operator="equal" dxfId="1549" priority="1549">
      <formula>"Com impostos"</formula>
    </cfRule>
  </conditionalFormatting>
  <conditionalFormatting sqref="V574">
    <cfRule type="cellIs" operator="equal" dxfId="1550" priority="1550">
      <formula>"Mercado Envios grátis"</formula>
    </cfRule>
  </conditionalFormatting>
  <conditionalFormatting sqref="W574">
    <cfRule type="cellIs" operator="equal" dxfId="1551" priority="1551">
      <formula>"Premium"</formula>
    </cfRule>
  </conditionalFormatting>
  <conditionalFormatting sqref="J575">
    <cfRule type="cellIs" operator="equal" dxfId="1552" priority="1552">
      <formula>"R$"</formula>
    </cfRule>
  </conditionalFormatting>
  <conditionalFormatting sqref="K575">
    <cfRule type="cellIs" operator="equal" dxfId="1553" priority="1553">
      <formula>"Com impostos"</formula>
    </cfRule>
  </conditionalFormatting>
  <conditionalFormatting sqref="V575">
    <cfRule type="cellIs" operator="equal" dxfId="1554" priority="1554">
      <formula>"Mercado Envios grátis"</formula>
    </cfRule>
  </conditionalFormatting>
  <conditionalFormatting sqref="W575">
    <cfRule type="cellIs" operator="equal" dxfId="1555" priority="1555">
      <formula>"Clássico"</formula>
    </cfRule>
  </conditionalFormatting>
  <conditionalFormatting sqref="J576">
    <cfRule type="cellIs" operator="equal" dxfId="1556" priority="1556">
      <formula>"R$"</formula>
    </cfRule>
  </conditionalFormatting>
  <conditionalFormatting sqref="V576">
    <cfRule type="cellIs" operator="equal" dxfId="1557" priority="1557">
      <formula>"Mercado Envios grátis"</formula>
    </cfRule>
  </conditionalFormatting>
  <conditionalFormatting sqref="W576">
    <cfRule type="cellIs" operator="equal" dxfId="1558" priority="1558">
      <formula>"Clássico"</formula>
    </cfRule>
  </conditionalFormatting>
  <conditionalFormatting sqref="J579">
    <cfRule type="cellIs" operator="equal" dxfId="1559" priority="1559">
      <formula>"R$"</formula>
    </cfRule>
  </conditionalFormatting>
  <conditionalFormatting sqref="V579">
    <cfRule type="cellIs" operator="equal" dxfId="1560" priority="1560">
      <formula>"Mercado Envios grátis"</formula>
    </cfRule>
  </conditionalFormatting>
  <conditionalFormatting sqref="W579">
    <cfRule type="cellIs" operator="equal" dxfId="1561" priority="1561">
      <formula>"Clássico"</formula>
    </cfRule>
  </conditionalFormatting>
  <conditionalFormatting sqref="J582">
    <cfRule type="cellIs" operator="equal" dxfId="1562" priority="1562">
      <formula>"R$"</formula>
    </cfRule>
  </conditionalFormatting>
  <conditionalFormatting sqref="K582">
    <cfRule type="cellIs" operator="equal" dxfId="1563" priority="1563">
      <formula>"Com impostos"</formula>
    </cfRule>
  </conditionalFormatting>
  <conditionalFormatting sqref="V582">
    <cfRule type="cellIs" operator="equal" dxfId="1564" priority="1564">
      <formula>"Mercado Envios grátis"</formula>
    </cfRule>
  </conditionalFormatting>
  <conditionalFormatting sqref="W582">
    <cfRule type="cellIs" operator="equal" dxfId="1565" priority="1565">
      <formula>"Premium"</formula>
    </cfRule>
  </conditionalFormatting>
  <conditionalFormatting sqref="J583">
    <cfRule type="cellIs" operator="equal" dxfId="1566" priority="1566">
      <formula>"R$"</formula>
    </cfRule>
  </conditionalFormatting>
  <conditionalFormatting sqref="K583">
    <cfRule type="cellIs" operator="equal" dxfId="1567" priority="1567">
      <formula>"Com impostos"</formula>
    </cfRule>
  </conditionalFormatting>
  <conditionalFormatting sqref="V583">
    <cfRule type="cellIs" operator="equal" dxfId="1568" priority="1568">
      <formula>"Mercado Envios grátis"</formula>
    </cfRule>
  </conditionalFormatting>
  <conditionalFormatting sqref="W583">
    <cfRule type="cellIs" operator="equal" dxfId="1569" priority="1569">
      <formula>"Clássico"</formula>
    </cfRule>
  </conditionalFormatting>
  <conditionalFormatting sqref="J584">
    <cfRule type="cellIs" operator="equal" dxfId="1570" priority="1570">
      <formula>"R$"</formula>
    </cfRule>
  </conditionalFormatting>
  <conditionalFormatting sqref="K584">
    <cfRule type="cellIs" operator="equal" dxfId="1571" priority="1571">
      <formula>"Com impostos"</formula>
    </cfRule>
  </conditionalFormatting>
  <conditionalFormatting sqref="V584">
    <cfRule type="cellIs" operator="equal" dxfId="1572" priority="1572">
      <formula>"Mercado Envios grátis"</formula>
    </cfRule>
  </conditionalFormatting>
  <conditionalFormatting sqref="W584">
    <cfRule type="cellIs" operator="equal" dxfId="1573" priority="1573">
      <formula>"Premium"</formula>
    </cfRule>
  </conditionalFormatting>
  <conditionalFormatting sqref="J585">
    <cfRule type="cellIs" operator="equal" dxfId="1574" priority="1574">
      <formula>"R$"</formula>
    </cfRule>
  </conditionalFormatting>
  <conditionalFormatting sqref="V585">
    <cfRule type="cellIs" operator="equal" dxfId="1575" priority="1575">
      <formula>"Mercado Envios grátis"</formula>
    </cfRule>
  </conditionalFormatting>
  <conditionalFormatting sqref="W585">
    <cfRule type="cellIs" operator="equal" dxfId="1576" priority="1576">
      <formula>"Premium"</formula>
    </cfRule>
  </conditionalFormatting>
  <conditionalFormatting sqref="J588">
    <cfRule type="cellIs" operator="equal" dxfId="1577" priority="1577">
      <formula>"R$"</formula>
    </cfRule>
  </conditionalFormatting>
  <conditionalFormatting sqref="K588">
    <cfRule type="cellIs" operator="equal" dxfId="1578" priority="1578">
      <formula>"Com impostos"</formula>
    </cfRule>
  </conditionalFormatting>
  <conditionalFormatting sqref="V588">
    <cfRule type="cellIs" operator="equal" dxfId="1579" priority="1579">
      <formula>"Mercado Envios grátis"</formula>
    </cfRule>
  </conditionalFormatting>
  <conditionalFormatting sqref="W588">
    <cfRule type="cellIs" operator="equal" dxfId="1580" priority="1580">
      <formula>"Clássico"</formula>
    </cfRule>
  </conditionalFormatting>
  <conditionalFormatting sqref="J589">
    <cfRule type="cellIs" operator="equal" dxfId="1581" priority="1581">
      <formula>"R$"</formula>
    </cfRule>
  </conditionalFormatting>
  <conditionalFormatting sqref="K589">
    <cfRule type="cellIs" operator="equal" dxfId="1582" priority="1582">
      <formula>"Com impostos"</formula>
    </cfRule>
  </conditionalFormatting>
  <conditionalFormatting sqref="V589">
    <cfRule type="cellIs" operator="equal" dxfId="1583" priority="1583">
      <formula>"Mercado Envios grátis"</formula>
    </cfRule>
  </conditionalFormatting>
  <conditionalFormatting sqref="W589">
    <cfRule type="cellIs" operator="equal" dxfId="1584" priority="1584">
      <formula>"Premium"</formula>
    </cfRule>
  </conditionalFormatting>
  <conditionalFormatting sqref="J590">
    <cfRule type="cellIs" operator="equal" dxfId="1585" priority="1585">
      <formula>"R$"</formula>
    </cfRule>
  </conditionalFormatting>
  <conditionalFormatting sqref="K590">
    <cfRule type="cellIs" operator="equal" dxfId="1586" priority="1586">
      <formula>"Com impostos"</formula>
    </cfRule>
  </conditionalFormatting>
  <conditionalFormatting sqref="V590">
    <cfRule type="cellIs" operator="equal" dxfId="1587" priority="1587">
      <formula>"Mercado Envios grátis"</formula>
    </cfRule>
  </conditionalFormatting>
  <conditionalFormatting sqref="W590">
    <cfRule type="cellIs" operator="equal" dxfId="1588" priority="1588">
      <formula>"Premium"</formula>
    </cfRule>
  </conditionalFormatting>
  <conditionalFormatting sqref="J591">
    <cfRule type="cellIs" operator="equal" dxfId="1589" priority="1589">
      <formula>"R$"</formula>
    </cfRule>
  </conditionalFormatting>
  <conditionalFormatting sqref="K591">
    <cfRule type="cellIs" operator="equal" dxfId="1590" priority="1590">
      <formula>"Com impostos"</formula>
    </cfRule>
  </conditionalFormatting>
  <conditionalFormatting sqref="V591">
    <cfRule type="cellIs" operator="equal" dxfId="1591" priority="1591">
      <formula>"Mercado Envios grátis"</formula>
    </cfRule>
  </conditionalFormatting>
  <conditionalFormatting sqref="W591">
    <cfRule type="cellIs" operator="equal" dxfId="1592" priority="1592">
      <formula>"Clássico"</formula>
    </cfRule>
  </conditionalFormatting>
  <conditionalFormatting sqref="J592">
    <cfRule type="cellIs" operator="equal" dxfId="1593" priority="1593">
      <formula>"R$"</formula>
    </cfRule>
  </conditionalFormatting>
  <conditionalFormatting sqref="K592">
    <cfRule type="cellIs" operator="equal" dxfId="1594" priority="1594">
      <formula>"Com impostos"</formula>
    </cfRule>
  </conditionalFormatting>
  <conditionalFormatting sqref="V592">
    <cfRule type="cellIs" operator="equal" dxfId="1595" priority="1595">
      <formula>"Mercado Envios por conta do comprador"</formula>
    </cfRule>
  </conditionalFormatting>
  <conditionalFormatting sqref="W592">
    <cfRule type="cellIs" operator="equal" dxfId="1596" priority="1596">
      <formula>"Clássico"</formula>
    </cfRule>
  </conditionalFormatting>
  <conditionalFormatting sqref="J593">
    <cfRule type="cellIs" operator="equal" dxfId="1597" priority="1597">
      <formula>"R$"</formula>
    </cfRule>
  </conditionalFormatting>
  <conditionalFormatting sqref="K593">
    <cfRule type="cellIs" operator="equal" dxfId="1598" priority="1598">
      <formula>"Com impostos"</formula>
    </cfRule>
  </conditionalFormatting>
  <conditionalFormatting sqref="V593">
    <cfRule type="cellIs" operator="equal" dxfId="1599" priority="1599">
      <formula>"Mercado Envios grátis"</formula>
    </cfRule>
  </conditionalFormatting>
  <conditionalFormatting sqref="W593">
    <cfRule type="cellIs" operator="equal" dxfId="1600" priority="1600">
      <formula>"Premium"</formula>
    </cfRule>
  </conditionalFormatting>
  <conditionalFormatting sqref="J594">
    <cfRule type="cellIs" operator="equal" dxfId="1601" priority="1601">
      <formula>"R$"</formula>
    </cfRule>
  </conditionalFormatting>
  <conditionalFormatting sqref="K594">
    <cfRule type="cellIs" operator="equal" dxfId="1602" priority="1602">
      <formula>"Com impostos"</formula>
    </cfRule>
  </conditionalFormatting>
  <conditionalFormatting sqref="V594">
    <cfRule type="cellIs" operator="equal" dxfId="1603" priority="1603">
      <formula>"Mercado Envios grátis"</formula>
    </cfRule>
  </conditionalFormatting>
  <conditionalFormatting sqref="W594">
    <cfRule type="cellIs" operator="equal" dxfId="1604" priority="1604">
      <formula>"Premium"</formula>
    </cfRule>
  </conditionalFormatting>
  <conditionalFormatting sqref="J595">
    <cfRule type="cellIs" operator="equal" dxfId="1605" priority="1605">
      <formula>"R$"</formula>
    </cfRule>
  </conditionalFormatting>
  <conditionalFormatting sqref="K595">
    <cfRule type="cellIs" operator="equal" dxfId="1606" priority="1606">
      <formula>"Com impostos"</formula>
    </cfRule>
  </conditionalFormatting>
  <conditionalFormatting sqref="V595">
    <cfRule type="cellIs" operator="equal" dxfId="1607" priority="1607">
      <formula>"Mercado Envios grátis"</formula>
    </cfRule>
  </conditionalFormatting>
  <conditionalFormatting sqref="W595">
    <cfRule type="cellIs" operator="equal" dxfId="1608" priority="1608">
      <formula>"Premium"</formula>
    </cfRule>
  </conditionalFormatting>
  <conditionalFormatting sqref="J596">
    <cfRule type="cellIs" operator="equal" dxfId="1609" priority="1609">
      <formula>"R$"</formula>
    </cfRule>
  </conditionalFormatting>
  <conditionalFormatting sqref="V596">
    <cfRule type="cellIs" operator="equal" dxfId="1610" priority="1610">
      <formula>"Mercado Envios grátis"</formula>
    </cfRule>
  </conditionalFormatting>
  <conditionalFormatting sqref="W596">
    <cfRule type="cellIs" operator="equal" dxfId="1611" priority="1611">
      <formula>"Premium"</formula>
    </cfRule>
  </conditionalFormatting>
  <conditionalFormatting sqref="J599">
    <cfRule type="cellIs" operator="equal" dxfId="1612" priority="1612">
      <formula>"R$"</formula>
    </cfRule>
  </conditionalFormatting>
  <conditionalFormatting sqref="K599">
    <cfRule type="cellIs" operator="equal" dxfId="1613" priority="1613">
      <formula>"Com impostos"</formula>
    </cfRule>
  </conditionalFormatting>
  <conditionalFormatting sqref="V599">
    <cfRule type="cellIs" operator="equal" dxfId="1614" priority="1614">
      <formula>"Mercado Envios por conta do comprador"</formula>
    </cfRule>
  </conditionalFormatting>
  <conditionalFormatting sqref="W599">
    <cfRule type="cellIs" operator="equal" dxfId="1615" priority="1615">
      <formula>"Clássico"</formula>
    </cfRule>
  </conditionalFormatting>
  <conditionalFormatting sqref="J600">
    <cfRule type="cellIs" operator="equal" dxfId="1616" priority="1616">
      <formula>"R$"</formula>
    </cfRule>
  </conditionalFormatting>
  <conditionalFormatting sqref="K600">
    <cfRule type="cellIs" operator="equal" dxfId="1617" priority="1617">
      <formula>"Com impostos"</formula>
    </cfRule>
  </conditionalFormatting>
  <conditionalFormatting sqref="V600">
    <cfRule type="cellIs" operator="equal" dxfId="1618" priority="1618">
      <formula>"Mercado Envios grátis"</formula>
    </cfRule>
  </conditionalFormatting>
  <conditionalFormatting sqref="W600">
    <cfRule type="cellIs" operator="equal" dxfId="1619" priority="1619">
      <formula>"Premium"</formula>
    </cfRule>
  </conditionalFormatting>
  <conditionalFormatting sqref="J601">
    <cfRule type="cellIs" operator="equal" dxfId="1620" priority="1620">
      <formula>"R$"</formula>
    </cfRule>
  </conditionalFormatting>
  <conditionalFormatting sqref="K601">
    <cfRule type="cellIs" operator="equal" dxfId="1621" priority="1621">
      <formula>"Com impostos"</formula>
    </cfRule>
  </conditionalFormatting>
  <conditionalFormatting sqref="V601">
    <cfRule type="cellIs" operator="equal" dxfId="1622" priority="1622">
      <formula>"Mercado Envios grátis"</formula>
    </cfRule>
  </conditionalFormatting>
  <conditionalFormatting sqref="W601">
    <cfRule type="cellIs" operator="equal" dxfId="1623" priority="1623">
      <formula>"Clássico"</formula>
    </cfRule>
  </conditionalFormatting>
  <conditionalFormatting sqref="J602">
    <cfRule type="cellIs" operator="equal" dxfId="1624" priority="1624">
      <formula>"R$"</formula>
    </cfRule>
  </conditionalFormatting>
  <conditionalFormatting sqref="K602">
    <cfRule type="cellIs" operator="equal" dxfId="1625" priority="1625">
      <formula>"Com impostos"</formula>
    </cfRule>
  </conditionalFormatting>
  <conditionalFormatting sqref="V602">
    <cfRule type="cellIs" operator="equal" dxfId="1626" priority="1626">
      <formula>"Mercado Envios grátis"</formula>
    </cfRule>
  </conditionalFormatting>
  <conditionalFormatting sqref="W602">
    <cfRule type="cellIs" operator="equal" dxfId="1627" priority="1627">
      <formula>"Premium"</formula>
    </cfRule>
  </conditionalFormatting>
  <conditionalFormatting sqref="J603">
    <cfRule type="cellIs" operator="equal" dxfId="1628" priority="1628">
      <formula>"R$"</formula>
    </cfRule>
  </conditionalFormatting>
  <conditionalFormatting sqref="K603">
    <cfRule type="cellIs" operator="equal" dxfId="1629" priority="1629">
      <formula>"Com impostos"</formula>
    </cfRule>
  </conditionalFormatting>
  <conditionalFormatting sqref="V603">
    <cfRule type="cellIs" operator="equal" dxfId="1630" priority="1630">
      <formula>"Mercado Envios grátis"</formula>
    </cfRule>
  </conditionalFormatting>
  <conditionalFormatting sqref="W603">
    <cfRule type="cellIs" operator="equal" dxfId="1631" priority="1631">
      <formula>"Clássico"</formula>
    </cfRule>
  </conditionalFormatting>
  <conditionalFormatting sqref="J604">
    <cfRule type="cellIs" operator="equal" dxfId="1632" priority="1632">
      <formula>"R$"</formula>
    </cfRule>
  </conditionalFormatting>
  <conditionalFormatting sqref="K604">
    <cfRule type="cellIs" operator="equal" dxfId="1633" priority="1633">
      <formula>"Com impostos"</formula>
    </cfRule>
  </conditionalFormatting>
  <conditionalFormatting sqref="V604">
    <cfRule type="cellIs" operator="equal" dxfId="1634" priority="1634">
      <formula>"Mercado Envios grátis"</formula>
    </cfRule>
  </conditionalFormatting>
  <conditionalFormatting sqref="W604">
    <cfRule type="cellIs" operator="equal" dxfId="1635" priority="1635">
      <formula>"Clássico"</formula>
    </cfRule>
  </conditionalFormatting>
  <conditionalFormatting sqref="J605">
    <cfRule type="cellIs" operator="equal" dxfId="1636" priority="1636">
      <formula>"R$"</formula>
    </cfRule>
  </conditionalFormatting>
  <conditionalFormatting sqref="K605">
    <cfRule type="cellIs" operator="equal" dxfId="1637" priority="1637">
      <formula>"Com impostos"</formula>
    </cfRule>
  </conditionalFormatting>
  <conditionalFormatting sqref="V605">
    <cfRule type="cellIs" operator="equal" dxfId="1638" priority="1638">
      <formula>"Mercado Envios grátis"</formula>
    </cfRule>
  </conditionalFormatting>
  <conditionalFormatting sqref="W605">
    <cfRule type="cellIs" operator="equal" dxfId="1639" priority="1639">
      <formula>"Premium"</formula>
    </cfRule>
  </conditionalFormatting>
  <conditionalFormatting sqref="J606">
    <cfRule type="cellIs" operator="equal" dxfId="1640" priority="1640">
      <formula>"R$"</formula>
    </cfRule>
  </conditionalFormatting>
  <conditionalFormatting sqref="K606">
    <cfRule type="cellIs" operator="equal" dxfId="1641" priority="1641">
      <formula>"Com impostos"</formula>
    </cfRule>
  </conditionalFormatting>
  <conditionalFormatting sqref="V606">
    <cfRule type="cellIs" operator="equal" dxfId="1642" priority="1642">
      <formula>"Mercado Envios grátis"</formula>
    </cfRule>
  </conditionalFormatting>
  <conditionalFormatting sqref="W606">
    <cfRule type="cellIs" operator="equal" dxfId="1643" priority="1643">
      <formula>"Premium"</formula>
    </cfRule>
  </conditionalFormatting>
  <conditionalFormatting sqref="J607">
    <cfRule type="cellIs" operator="equal" dxfId="1644" priority="1644">
      <formula>"R$"</formula>
    </cfRule>
  </conditionalFormatting>
  <conditionalFormatting sqref="K607">
    <cfRule type="cellIs" operator="equal" dxfId="1645" priority="1645">
      <formula>"Com impostos"</formula>
    </cfRule>
  </conditionalFormatting>
  <conditionalFormatting sqref="V607">
    <cfRule type="cellIs" operator="equal" dxfId="1646" priority="1646">
      <formula>"Mercado Envios grátis"</formula>
    </cfRule>
  </conditionalFormatting>
  <conditionalFormatting sqref="W607">
    <cfRule type="cellIs" operator="equal" dxfId="1647" priority="1647">
      <formula>"Clássico"</formula>
    </cfRule>
  </conditionalFormatting>
  <conditionalFormatting sqref="J608">
    <cfRule type="cellIs" operator="equal" dxfId="1648" priority="1648">
      <formula>"R$"</formula>
    </cfRule>
  </conditionalFormatting>
  <conditionalFormatting sqref="K608">
    <cfRule type="cellIs" operator="equal" dxfId="1649" priority="1649">
      <formula>"Com impostos"</formula>
    </cfRule>
  </conditionalFormatting>
  <conditionalFormatting sqref="V608">
    <cfRule type="cellIs" operator="equal" dxfId="1650" priority="1650">
      <formula>"Mercado Envios por conta do comprador"</formula>
    </cfRule>
  </conditionalFormatting>
  <conditionalFormatting sqref="W608">
    <cfRule type="cellIs" operator="equal" dxfId="1651" priority="1651">
      <formula>"Premium"</formula>
    </cfRule>
  </conditionalFormatting>
  <conditionalFormatting sqref="J609">
    <cfRule type="cellIs" operator="equal" dxfId="1652" priority="1652">
      <formula>"R$"</formula>
    </cfRule>
  </conditionalFormatting>
  <conditionalFormatting sqref="K609">
    <cfRule type="cellIs" operator="equal" dxfId="1653" priority="1653">
      <formula>"Com impostos"</formula>
    </cfRule>
  </conditionalFormatting>
  <conditionalFormatting sqref="V609">
    <cfRule type="cellIs" operator="equal" dxfId="1654" priority="1654">
      <formula>"Mercado Envios grátis"</formula>
    </cfRule>
  </conditionalFormatting>
  <conditionalFormatting sqref="W609">
    <cfRule type="cellIs" operator="equal" dxfId="1655" priority="1655">
      <formula>"Premium"</formula>
    </cfRule>
  </conditionalFormatting>
  <conditionalFormatting sqref="J610">
    <cfRule type="cellIs" operator="equal" dxfId="1656" priority="1656">
      <formula>"R$"</formula>
    </cfRule>
  </conditionalFormatting>
  <conditionalFormatting sqref="K610">
    <cfRule type="cellIs" operator="equal" dxfId="1657" priority="1657">
      <formula>"Com impostos"</formula>
    </cfRule>
  </conditionalFormatting>
  <conditionalFormatting sqref="V610">
    <cfRule type="cellIs" operator="equal" dxfId="1658" priority="1658">
      <formula>"Mercado Envios grátis"</formula>
    </cfRule>
  </conditionalFormatting>
  <conditionalFormatting sqref="W610">
    <cfRule type="cellIs" operator="equal" dxfId="1659" priority="1659">
      <formula>"Premium"</formula>
    </cfRule>
  </conditionalFormatting>
  <conditionalFormatting sqref="J611">
    <cfRule type="cellIs" operator="equal" dxfId="1660" priority="1660">
      <formula>"R$"</formula>
    </cfRule>
  </conditionalFormatting>
  <conditionalFormatting sqref="K611">
    <cfRule type="cellIs" operator="equal" dxfId="1661" priority="1661">
      <formula>"Com impostos"</formula>
    </cfRule>
  </conditionalFormatting>
  <conditionalFormatting sqref="V611">
    <cfRule type="cellIs" operator="equal" dxfId="1662" priority="1662">
      <formula>"Mercado Envios grátis"</formula>
    </cfRule>
  </conditionalFormatting>
  <conditionalFormatting sqref="W611">
    <cfRule type="cellIs" operator="equal" dxfId="1663" priority="1663">
      <formula>"Premium"</formula>
    </cfRule>
  </conditionalFormatting>
  <conditionalFormatting sqref="J612">
    <cfRule type="cellIs" operator="equal" dxfId="1664" priority="1664">
      <formula>"R$"</formula>
    </cfRule>
  </conditionalFormatting>
  <conditionalFormatting sqref="K612">
    <cfRule type="cellIs" operator="equal" dxfId="1665" priority="1665">
      <formula>"Com impostos"</formula>
    </cfRule>
  </conditionalFormatting>
  <conditionalFormatting sqref="V612">
    <cfRule type="cellIs" operator="equal" dxfId="1666" priority="1666">
      <formula>"Mercado Envios grátis"</formula>
    </cfRule>
  </conditionalFormatting>
  <conditionalFormatting sqref="W612">
    <cfRule type="cellIs" operator="equal" dxfId="1667" priority="1667">
      <formula>"Clássico"</formula>
    </cfRule>
  </conditionalFormatting>
  <conditionalFormatting sqref="J613">
    <cfRule type="cellIs" operator="equal" dxfId="1668" priority="1668">
      <formula>"R$"</formula>
    </cfRule>
  </conditionalFormatting>
  <conditionalFormatting sqref="K613">
    <cfRule type="cellIs" operator="equal" dxfId="1669" priority="1669">
      <formula>"Com impostos"</formula>
    </cfRule>
  </conditionalFormatting>
  <conditionalFormatting sqref="V613">
    <cfRule type="cellIs" operator="equal" dxfId="1670" priority="1670">
      <formula>"Mercado Envios grátis"</formula>
    </cfRule>
  </conditionalFormatting>
  <conditionalFormatting sqref="W613">
    <cfRule type="cellIs" operator="equal" dxfId="1671" priority="1671">
      <formula>"Clássico"</formula>
    </cfRule>
  </conditionalFormatting>
  <conditionalFormatting sqref="J614">
    <cfRule type="cellIs" operator="equal" dxfId="1672" priority="1672">
      <formula>"R$"</formula>
    </cfRule>
  </conditionalFormatting>
  <conditionalFormatting sqref="K614">
    <cfRule type="cellIs" operator="equal" dxfId="1673" priority="1673">
      <formula>"Com impostos"</formula>
    </cfRule>
  </conditionalFormatting>
  <conditionalFormatting sqref="V614">
    <cfRule type="cellIs" operator="equal" dxfId="1674" priority="1674">
      <formula>"Mercado Envios grátis"</formula>
    </cfRule>
  </conditionalFormatting>
  <conditionalFormatting sqref="W614">
    <cfRule type="cellIs" operator="equal" dxfId="1675" priority="1675">
      <formula>"Premium"</formula>
    </cfRule>
  </conditionalFormatting>
  <conditionalFormatting sqref="J615">
    <cfRule type="cellIs" operator="equal" dxfId="1676" priority="1676">
      <formula>"R$"</formula>
    </cfRule>
  </conditionalFormatting>
  <conditionalFormatting sqref="K615">
    <cfRule type="cellIs" operator="equal" dxfId="1677" priority="1677">
      <formula>"Com impostos"</formula>
    </cfRule>
  </conditionalFormatting>
  <conditionalFormatting sqref="V615">
    <cfRule type="cellIs" operator="equal" dxfId="1678" priority="1678">
      <formula>"Mercado Envios grátis"</formula>
    </cfRule>
  </conditionalFormatting>
  <conditionalFormatting sqref="W615">
    <cfRule type="cellIs" operator="equal" dxfId="1679" priority="1679">
      <formula>"Clássico"</formula>
    </cfRule>
  </conditionalFormatting>
  <conditionalFormatting sqref="J616">
    <cfRule type="cellIs" operator="equal" dxfId="1680" priority="1680">
      <formula>"R$"</formula>
    </cfRule>
  </conditionalFormatting>
  <conditionalFormatting sqref="K616">
    <cfRule type="cellIs" operator="equal" dxfId="1681" priority="1681">
      <formula>"Com impostos"</formula>
    </cfRule>
  </conditionalFormatting>
  <conditionalFormatting sqref="V616">
    <cfRule type="cellIs" operator="equal" dxfId="1682" priority="1682">
      <formula>"Mercado Envios grátis"</formula>
    </cfRule>
  </conditionalFormatting>
  <conditionalFormatting sqref="W616">
    <cfRule type="cellIs" operator="equal" dxfId="1683" priority="1683">
      <formula>"Premium"</formula>
    </cfRule>
  </conditionalFormatting>
  <conditionalFormatting sqref="J617">
    <cfRule type="cellIs" operator="equal" dxfId="1684" priority="1684">
      <formula>"R$"</formula>
    </cfRule>
  </conditionalFormatting>
  <conditionalFormatting sqref="V617">
    <cfRule type="cellIs" operator="equal" dxfId="1685" priority="1685">
      <formula>"Mercado Envios grátis"</formula>
    </cfRule>
  </conditionalFormatting>
  <conditionalFormatting sqref="W617">
    <cfRule type="cellIs" operator="equal" dxfId="1686" priority="1686">
      <formula>"Premium"</formula>
    </cfRule>
  </conditionalFormatting>
  <conditionalFormatting sqref="J620">
    <cfRule type="cellIs" operator="equal" dxfId="1687" priority="1687">
      <formula>"R$"</formula>
    </cfRule>
  </conditionalFormatting>
  <conditionalFormatting sqref="K620">
    <cfRule type="cellIs" operator="equal" dxfId="1688" priority="1688">
      <formula>"Com impostos"</formula>
    </cfRule>
  </conditionalFormatting>
  <conditionalFormatting sqref="V620">
    <cfRule type="cellIs" operator="equal" dxfId="1689" priority="1689">
      <formula>"Mercado Envios grátis"</formula>
    </cfRule>
  </conditionalFormatting>
  <conditionalFormatting sqref="W620">
    <cfRule type="cellIs" operator="equal" dxfId="1690" priority="1690">
      <formula>"Premium"</formula>
    </cfRule>
  </conditionalFormatting>
  <conditionalFormatting sqref="J621">
    <cfRule type="cellIs" operator="equal" dxfId="1691" priority="1691">
      <formula>"R$"</formula>
    </cfRule>
  </conditionalFormatting>
  <conditionalFormatting sqref="V621">
    <cfRule type="cellIs" operator="equal" dxfId="1692" priority="1692">
      <formula>"Mercado Envios por conta do comprador"</formula>
    </cfRule>
  </conditionalFormatting>
  <conditionalFormatting sqref="W621">
    <cfRule type="cellIs" operator="equal" dxfId="1693" priority="1693">
      <formula>"Clássico"</formula>
    </cfRule>
  </conditionalFormatting>
  <conditionalFormatting sqref="J622">
    <cfRule type="cellIs" operator="equal" dxfId="1694" priority="1694">
      <formula>"R$"</formula>
    </cfRule>
  </conditionalFormatting>
  <conditionalFormatting sqref="K622">
    <cfRule type="cellIs" operator="equal" dxfId="1695" priority="1695">
      <formula>"Com impostos"</formula>
    </cfRule>
  </conditionalFormatting>
  <conditionalFormatting sqref="V622">
    <cfRule type="cellIs" operator="equal" dxfId="1696" priority="1696">
      <formula>"Mercado Envios grátis"</formula>
    </cfRule>
  </conditionalFormatting>
  <conditionalFormatting sqref="W622">
    <cfRule type="cellIs" operator="equal" dxfId="1697" priority="1697">
      <formula>"Premium"</formula>
    </cfRule>
  </conditionalFormatting>
  <conditionalFormatting sqref="J623">
    <cfRule type="cellIs" operator="equal" dxfId="1698" priority="1698">
      <formula>"R$"</formula>
    </cfRule>
  </conditionalFormatting>
  <conditionalFormatting sqref="V623">
    <cfRule type="cellIs" operator="equal" dxfId="1699" priority="1699">
      <formula>"Mercado Envios grátis"</formula>
    </cfRule>
  </conditionalFormatting>
  <conditionalFormatting sqref="W623">
    <cfRule type="cellIs" operator="equal" dxfId="1700" priority="1700">
      <formula>"Clássico"</formula>
    </cfRule>
  </conditionalFormatting>
  <conditionalFormatting sqref="J624">
    <cfRule type="cellIs" operator="equal" dxfId="1701" priority="1701">
      <formula>"R$"</formula>
    </cfRule>
  </conditionalFormatting>
  <conditionalFormatting sqref="K624">
    <cfRule type="cellIs" operator="equal" dxfId="1702" priority="1702">
      <formula>"Com impostos"</formula>
    </cfRule>
  </conditionalFormatting>
  <conditionalFormatting sqref="V624">
    <cfRule type="cellIs" operator="equal" dxfId="1703" priority="1703">
      <formula>"Mercado Envios grátis"</formula>
    </cfRule>
  </conditionalFormatting>
  <conditionalFormatting sqref="W624">
    <cfRule type="cellIs" operator="equal" dxfId="1704" priority="1704">
      <formula>"Premium"</formula>
    </cfRule>
  </conditionalFormatting>
  <conditionalFormatting sqref="J625">
    <cfRule type="cellIs" operator="equal" dxfId="1705" priority="1705">
      <formula>"R$"</formula>
    </cfRule>
  </conditionalFormatting>
  <conditionalFormatting sqref="K625">
    <cfRule type="cellIs" operator="equal" dxfId="1706" priority="1706">
      <formula>"Com impostos"</formula>
    </cfRule>
  </conditionalFormatting>
  <conditionalFormatting sqref="V625">
    <cfRule type="cellIs" operator="equal" dxfId="1707" priority="1707">
      <formula>"Mercado Envios grátis"</formula>
    </cfRule>
  </conditionalFormatting>
  <conditionalFormatting sqref="W625">
    <cfRule type="cellIs" operator="equal" dxfId="1708" priority="1708">
      <formula>"Clássico"</formula>
    </cfRule>
  </conditionalFormatting>
  <conditionalFormatting sqref="J626">
    <cfRule type="cellIs" operator="equal" dxfId="1709" priority="1709">
      <formula>"R$"</formula>
    </cfRule>
  </conditionalFormatting>
  <conditionalFormatting sqref="K626">
    <cfRule type="cellIs" operator="equal" dxfId="1710" priority="1710">
      <formula>"Com impostos"</formula>
    </cfRule>
  </conditionalFormatting>
  <conditionalFormatting sqref="V626">
    <cfRule type="cellIs" operator="equal" dxfId="1711" priority="1711">
      <formula>"Mercado Envios por conta do comprador"</formula>
    </cfRule>
  </conditionalFormatting>
  <conditionalFormatting sqref="W626">
    <cfRule type="cellIs" operator="equal" dxfId="1712" priority="1712">
      <formula>"Premium"</formula>
    </cfRule>
  </conditionalFormatting>
  <conditionalFormatting sqref="J627">
    <cfRule type="cellIs" operator="equal" dxfId="1713" priority="1713">
      <formula>"R$"</formula>
    </cfRule>
  </conditionalFormatting>
  <conditionalFormatting sqref="V627">
    <cfRule type="cellIs" operator="equal" dxfId="1714" priority="1714">
      <formula>"Mercado Envios grátis"</formula>
    </cfRule>
  </conditionalFormatting>
  <conditionalFormatting sqref="W627">
    <cfRule type="cellIs" operator="equal" dxfId="1715" priority="1715">
      <formula>"Premium"</formula>
    </cfRule>
  </conditionalFormatting>
  <conditionalFormatting sqref="J628">
    <cfRule type="cellIs" operator="equal" dxfId="1716" priority="1716">
      <formula>"R$"</formula>
    </cfRule>
  </conditionalFormatting>
  <conditionalFormatting sqref="K628">
    <cfRule type="cellIs" operator="equal" dxfId="1717" priority="1717">
      <formula>"Com impostos"</formula>
    </cfRule>
  </conditionalFormatting>
  <conditionalFormatting sqref="V628">
    <cfRule type="cellIs" operator="equal" dxfId="1718" priority="1718">
      <formula>"Mercado Envios grátis"</formula>
    </cfRule>
  </conditionalFormatting>
  <conditionalFormatting sqref="W628">
    <cfRule type="cellIs" operator="equal" dxfId="1719" priority="1719">
      <formula>"Premium"</formula>
    </cfRule>
  </conditionalFormatting>
  <conditionalFormatting sqref="J629">
    <cfRule type="cellIs" operator="equal" dxfId="1720" priority="1720">
      <formula>"R$"</formula>
    </cfRule>
  </conditionalFormatting>
  <conditionalFormatting sqref="K629">
    <cfRule type="cellIs" operator="equal" dxfId="1721" priority="1721">
      <formula>"Com impostos"</formula>
    </cfRule>
  </conditionalFormatting>
  <conditionalFormatting sqref="V629">
    <cfRule type="cellIs" operator="equal" dxfId="1722" priority="1722">
      <formula>"Mercado Envios grátis"</formula>
    </cfRule>
  </conditionalFormatting>
  <conditionalFormatting sqref="W629">
    <cfRule type="cellIs" operator="equal" dxfId="1723" priority="1723">
      <formula>"Premium"</formula>
    </cfRule>
  </conditionalFormatting>
  <conditionalFormatting sqref="J630">
    <cfRule type="cellIs" operator="equal" dxfId="1724" priority="1724">
      <formula>"R$"</formula>
    </cfRule>
  </conditionalFormatting>
  <conditionalFormatting sqref="V630">
    <cfRule type="cellIs" operator="equal" dxfId="1725" priority="1725">
      <formula>"Mercado Envios grátis"</formula>
    </cfRule>
  </conditionalFormatting>
  <conditionalFormatting sqref="W630">
    <cfRule type="cellIs" operator="equal" dxfId="1726" priority="1726">
      <formula>"Clássico"</formula>
    </cfRule>
  </conditionalFormatting>
  <conditionalFormatting sqref="J633">
    <cfRule type="cellIs" operator="equal" dxfId="1727" priority="1727">
      <formula>"R$"</formula>
    </cfRule>
  </conditionalFormatting>
  <conditionalFormatting sqref="K633">
    <cfRule type="cellIs" operator="equal" dxfId="1728" priority="1728">
      <formula>"Com impostos"</formula>
    </cfRule>
  </conditionalFormatting>
  <conditionalFormatting sqref="V633">
    <cfRule type="cellIs" operator="equal" dxfId="1729" priority="1729">
      <formula>"Mercado Envios por conta do comprador"</formula>
    </cfRule>
  </conditionalFormatting>
  <conditionalFormatting sqref="W633">
    <cfRule type="cellIs" operator="equal" dxfId="1730" priority="1730">
      <formula>"Clássico"</formula>
    </cfRule>
  </conditionalFormatting>
  <conditionalFormatting sqref="J634">
    <cfRule type="cellIs" operator="equal" dxfId="1731" priority="1731">
      <formula>"R$"</formula>
    </cfRule>
  </conditionalFormatting>
  <conditionalFormatting sqref="K634">
    <cfRule type="cellIs" operator="equal" dxfId="1732" priority="1732">
      <formula>"Com impostos"</formula>
    </cfRule>
  </conditionalFormatting>
  <conditionalFormatting sqref="V634">
    <cfRule type="cellIs" operator="equal" dxfId="1733" priority="1733">
      <formula>"Mercado Envios grátis"</formula>
    </cfRule>
  </conditionalFormatting>
  <conditionalFormatting sqref="W634">
    <cfRule type="cellIs" operator="equal" dxfId="1734" priority="1734">
      <formula>"Premium"</formula>
    </cfRule>
  </conditionalFormatting>
  <conditionalFormatting sqref="J635">
    <cfRule type="cellIs" operator="equal" dxfId="1735" priority="1735">
      <formula>"R$"</formula>
    </cfRule>
  </conditionalFormatting>
  <conditionalFormatting sqref="K635">
    <cfRule type="cellIs" operator="equal" dxfId="1736" priority="1736">
      <formula>"Com impostos"</formula>
    </cfRule>
  </conditionalFormatting>
  <conditionalFormatting sqref="V635">
    <cfRule type="cellIs" operator="equal" dxfId="1737" priority="1737">
      <formula>"Mercado Envios grátis"</formula>
    </cfRule>
  </conditionalFormatting>
  <conditionalFormatting sqref="W635">
    <cfRule type="cellIs" operator="equal" dxfId="1738" priority="1738">
      <formula>"Clássico"</formula>
    </cfRule>
  </conditionalFormatting>
  <conditionalFormatting sqref="J636">
    <cfRule type="cellIs" operator="equal" dxfId="1739" priority="1739">
      <formula>"R$"</formula>
    </cfRule>
  </conditionalFormatting>
  <conditionalFormatting sqref="K636">
    <cfRule type="cellIs" operator="equal" dxfId="1740" priority="1740">
      <formula>"Com impostos"</formula>
    </cfRule>
  </conditionalFormatting>
  <conditionalFormatting sqref="V636">
    <cfRule type="cellIs" operator="equal" dxfId="1741" priority="1741">
      <formula>"Mercado Envios grátis"</formula>
    </cfRule>
  </conditionalFormatting>
  <conditionalFormatting sqref="W636">
    <cfRule type="cellIs" operator="equal" dxfId="1742" priority="1742">
      <formula>"Premium"</formula>
    </cfRule>
  </conditionalFormatting>
  <conditionalFormatting sqref="J637">
    <cfRule type="cellIs" operator="equal" dxfId="1743" priority="1743">
      <formula>"R$"</formula>
    </cfRule>
  </conditionalFormatting>
  <conditionalFormatting sqref="K637">
    <cfRule type="cellIs" operator="equal" dxfId="1744" priority="1744">
      <formula>"Com impostos"</formula>
    </cfRule>
  </conditionalFormatting>
  <conditionalFormatting sqref="V637">
    <cfRule type="cellIs" operator="equal" dxfId="1745" priority="1745">
      <formula>"Mercado Envios grátis"</formula>
    </cfRule>
  </conditionalFormatting>
  <conditionalFormatting sqref="W637">
    <cfRule type="cellIs" operator="equal" dxfId="1746" priority="1746">
      <formula>"Clássico"</formula>
    </cfRule>
  </conditionalFormatting>
  <conditionalFormatting sqref="J638">
    <cfRule type="cellIs" operator="equal" dxfId="1747" priority="1747">
      <formula>"R$"</formula>
    </cfRule>
  </conditionalFormatting>
  <conditionalFormatting sqref="K638">
    <cfRule type="cellIs" operator="equal" dxfId="1748" priority="1748">
      <formula>"Com impostos"</formula>
    </cfRule>
  </conditionalFormatting>
  <conditionalFormatting sqref="V638">
    <cfRule type="cellIs" operator="equal" dxfId="1749" priority="1749">
      <formula>"Mercado Envios grátis"</formula>
    </cfRule>
  </conditionalFormatting>
  <conditionalFormatting sqref="W638">
    <cfRule type="cellIs" operator="equal" dxfId="1750" priority="1750">
      <formula>"Clássico"</formula>
    </cfRule>
  </conditionalFormatting>
  <conditionalFormatting sqref="J639">
    <cfRule type="cellIs" operator="equal" dxfId="1751" priority="1751">
      <formula>"R$"</formula>
    </cfRule>
  </conditionalFormatting>
  <conditionalFormatting sqref="K639">
    <cfRule type="cellIs" operator="equal" dxfId="1752" priority="1752">
      <formula>"Com impostos"</formula>
    </cfRule>
  </conditionalFormatting>
  <conditionalFormatting sqref="V639">
    <cfRule type="cellIs" operator="equal" dxfId="1753" priority="1753">
      <formula>"Mercado Envios grátis"</formula>
    </cfRule>
  </conditionalFormatting>
  <conditionalFormatting sqref="W639">
    <cfRule type="cellIs" operator="equal" dxfId="1754" priority="1754">
      <formula>"Premium"</formula>
    </cfRule>
  </conditionalFormatting>
  <conditionalFormatting sqref="J640">
    <cfRule type="cellIs" operator="equal" dxfId="1755" priority="1755">
      <formula>"R$"</formula>
    </cfRule>
  </conditionalFormatting>
  <conditionalFormatting sqref="V640">
    <cfRule type="cellIs" operator="equal" dxfId="1756" priority="1756">
      <formula>"Mercado Envios grátis"</formula>
    </cfRule>
  </conditionalFormatting>
  <conditionalFormatting sqref="W640">
    <cfRule type="cellIs" operator="equal" dxfId="1757" priority="1757">
      <formula>"Premium"</formula>
    </cfRule>
  </conditionalFormatting>
  <conditionalFormatting sqref="J643">
    <cfRule type="cellIs" operator="equal" dxfId="1758" priority="1758">
      <formula>"R$"</formula>
    </cfRule>
  </conditionalFormatting>
  <conditionalFormatting sqref="K643">
    <cfRule type="cellIs" operator="equal" dxfId="1759" priority="1759">
      <formula>"Com impostos"</formula>
    </cfRule>
  </conditionalFormatting>
  <conditionalFormatting sqref="V643">
    <cfRule type="cellIs" operator="equal" dxfId="1760" priority="1760">
      <formula>"Mercado Envios por conta do comprador"</formula>
    </cfRule>
  </conditionalFormatting>
  <conditionalFormatting sqref="W643">
    <cfRule type="cellIs" operator="equal" dxfId="1761" priority="1761">
      <formula>"Premium"</formula>
    </cfRule>
  </conditionalFormatting>
  <conditionalFormatting sqref="J644">
    <cfRule type="cellIs" operator="equal" dxfId="1762" priority="1762">
      <formula>"R$"</formula>
    </cfRule>
  </conditionalFormatting>
  <conditionalFormatting sqref="K644">
    <cfRule type="cellIs" operator="equal" dxfId="1763" priority="1763">
      <formula>"Com impostos"</formula>
    </cfRule>
  </conditionalFormatting>
  <conditionalFormatting sqref="V644">
    <cfRule type="cellIs" operator="equal" dxfId="1764" priority="1764">
      <formula>"Mercado Envios grátis"</formula>
    </cfRule>
  </conditionalFormatting>
  <conditionalFormatting sqref="W644">
    <cfRule type="cellIs" operator="equal" dxfId="1765" priority="1765">
      <formula>"Clássico"</formula>
    </cfRule>
  </conditionalFormatting>
  <conditionalFormatting sqref="J645">
    <cfRule type="cellIs" operator="equal" dxfId="1766" priority="1766">
      <formula>"R$"</formula>
    </cfRule>
  </conditionalFormatting>
  <conditionalFormatting sqref="K645">
    <cfRule type="cellIs" operator="equal" dxfId="1767" priority="1767">
      <formula>"Com impostos"</formula>
    </cfRule>
  </conditionalFormatting>
  <conditionalFormatting sqref="V645">
    <cfRule type="cellIs" operator="equal" dxfId="1768" priority="1768">
      <formula>"Mercado Envios grátis"</formula>
    </cfRule>
  </conditionalFormatting>
  <conditionalFormatting sqref="W645">
    <cfRule type="cellIs" operator="equal" dxfId="1769" priority="1769">
      <formula>"Premium"</formula>
    </cfRule>
  </conditionalFormatting>
  <conditionalFormatting sqref="J646">
    <cfRule type="cellIs" operator="equal" dxfId="1770" priority="1770">
      <formula>"R$"</formula>
    </cfRule>
  </conditionalFormatting>
  <conditionalFormatting sqref="K646">
    <cfRule type="cellIs" operator="equal" dxfId="1771" priority="1771">
      <formula>"Com impostos"</formula>
    </cfRule>
  </conditionalFormatting>
  <conditionalFormatting sqref="V646">
    <cfRule type="cellIs" operator="equal" dxfId="1772" priority="1772">
      <formula>"Mercado Envios por conta do comprador"</formula>
    </cfRule>
  </conditionalFormatting>
  <conditionalFormatting sqref="W646">
    <cfRule type="cellIs" operator="equal" dxfId="1773" priority="1773">
      <formula>"Premium"</formula>
    </cfRule>
  </conditionalFormatting>
  <conditionalFormatting sqref="J647">
    <cfRule type="cellIs" operator="equal" dxfId="1774" priority="1774">
      <formula>"R$"</formula>
    </cfRule>
  </conditionalFormatting>
  <conditionalFormatting sqref="K647">
    <cfRule type="cellIs" operator="equal" dxfId="1775" priority="1775">
      <formula>"Com impostos"</formula>
    </cfRule>
  </conditionalFormatting>
  <conditionalFormatting sqref="V647">
    <cfRule type="cellIs" operator="equal" dxfId="1776" priority="1776">
      <formula>"Mercado Envios grátis"</formula>
    </cfRule>
  </conditionalFormatting>
  <conditionalFormatting sqref="W647">
    <cfRule type="cellIs" operator="equal" dxfId="1777" priority="1777">
      <formula>"Clássico"</formula>
    </cfRule>
  </conditionalFormatting>
  <conditionalFormatting sqref="J648">
    <cfRule type="cellIs" operator="equal" dxfId="1778" priority="1778">
      <formula>"R$"</formula>
    </cfRule>
  </conditionalFormatting>
  <conditionalFormatting sqref="K648">
    <cfRule type="cellIs" operator="equal" dxfId="1779" priority="1779">
      <formula>"Com impostos"</formula>
    </cfRule>
  </conditionalFormatting>
  <conditionalFormatting sqref="V648">
    <cfRule type="cellIs" operator="equal" dxfId="1780" priority="1780">
      <formula>"Mercado Envios grátis"</formula>
    </cfRule>
  </conditionalFormatting>
  <conditionalFormatting sqref="W648">
    <cfRule type="cellIs" operator="equal" dxfId="1781" priority="1781">
      <formula>"Premium"</formula>
    </cfRule>
  </conditionalFormatting>
  <conditionalFormatting sqref="J649">
    <cfRule type="cellIs" operator="equal" dxfId="1782" priority="1782">
      <formula>"R$"</formula>
    </cfRule>
  </conditionalFormatting>
  <conditionalFormatting sqref="K649">
    <cfRule type="cellIs" operator="equal" dxfId="1783" priority="1783">
      <formula>"Com impostos"</formula>
    </cfRule>
  </conditionalFormatting>
  <conditionalFormatting sqref="V649">
    <cfRule type="cellIs" operator="equal" dxfId="1784" priority="1784">
      <formula>"Mercado Envios grátis"</formula>
    </cfRule>
  </conditionalFormatting>
  <conditionalFormatting sqref="W649">
    <cfRule type="cellIs" operator="equal" dxfId="1785" priority="1785">
      <formula>"Clássico"</formula>
    </cfRule>
  </conditionalFormatting>
  <conditionalFormatting sqref="J650">
    <cfRule type="cellIs" operator="equal" dxfId="1786" priority="1786">
      <formula>"R$"</formula>
    </cfRule>
  </conditionalFormatting>
  <conditionalFormatting sqref="V650">
    <cfRule type="cellIs" operator="equal" dxfId="1787" priority="1787">
      <formula>"Mercado Envios por conta do comprador"</formula>
    </cfRule>
  </conditionalFormatting>
  <conditionalFormatting sqref="W650">
    <cfRule type="cellIs" operator="equal" dxfId="1788" priority="1788">
      <formula>"Clássico"</formula>
    </cfRule>
  </conditionalFormatting>
  <conditionalFormatting sqref="J651">
    <cfRule type="cellIs" operator="equal" dxfId="1789" priority="1789">
      <formula>"R$"</formula>
    </cfRule>
  </conditionalFormatting>
  <conditionalFormatting sqref="K651">
    <cfRule type="cellIs" operator="equal" dxfId="1790" priority="1790">
      <formula>"Com impostos"</formula>
    </cfRule>
  </conditionalFormatting>
  <conditionalFormatting sqref="V651">
    <cfRule type="cellIs" operator="equal" dxfId="1791" priority="1791">
      <formula>"Mercado Envios grátis"</formula>
    </cfRule>
  </conditionalFormatting>
  <conditionalFormatting sqref="W651">
    <cfRule type="cellIs" operator="equal" dxfId="1792" priority="1792">
      <formula>"Premium"</formula>
    </cfRule>
  </conditionalFormatting>
  <conditionalFormatting sqref="J652">
    <cfRule type="cellIs" operator="equal" dxfId="1793" priority="1793">
      <formula>"R$"</formula>
    </cfRule>
  </conditionalFormatting>
  <conditionalFormatting sqref="K652">
    <cfRule type="cellIs" operator="equal" dxfId="1794" priority="1794">
      <formula>"Com impostos"</formula>
    </cfRule>
  </conditionalFormatting>
  <conditionalFormatting sqref="V652">
    <cfRule type="cellIs" operator="equal" dxfId="1795" priority="1795">
      <formula>"Mercado Envios grátis"</formula>
    </cfRule>
  </conditionalFormatting>
  <conditionalFormatting sqref="W652">
    <cfRule type="cellIs" operator="equal" dxfId="1796" priority="1796">
      <formula>"Clássico"</formula>
    </cfRule>
  </conditionalFormatting>
  <conditionalFormatting sqref="J653">
    <cfRule type="cellIs" operator="equal" dxfId="1797" priority="1797">
      <formula>"R$"</formula>
    </cfRule>
  </conditionalFormatting>
  <conditionalFormatting sqref="K653">
    <cfRule type="cellIs" operator="equal" dxfId="1798" priority="1798">
      <formula>"Com impostos"</formula>
    </cfRule>
  </conditionalFormatting>
  <conditionalFormatting sqref="V653">
    <cfRule type="cellIs" operator="equal" dxfId="1799" priority="1799">
      <formula>"Mercado Envios por conta do comprador"</formula>
    </cfRule>
  </conditionalFormatting>
  <conditionalFormatting sqref="W653">
    <cfRule type="cellIs" operator="equal" dxfId="1800" priority="1800">
      <formula>"Clássico"</formula>
    </cfRule>
  </conditionalFormatting>
  <conditionalFormatting sqref="J654">
    <cfRule type="cellIs" operator="equal" dxfId="1801" priority="1801">
      <formula>"R$"</formula>
    </cfRule>
  </conditionalFormatting>
  <conditionalFormatting sqref="K654">
    <cfRule type="cellIs" operator="equal" dxfId="1802" priority="1802">
      <formula>"Com impostos"</formula>
    </cfRule>
  </conditionalFormatting>
  <conditionalFormatting sqref="V654">
    <cfRule type="cellIs" operator="equal" dxfId="1803" priority="1803">
      <formula>"Mercado Envios grátis"</formula>
    </cfRule>
  </conditionalFormatting>
  <conditionalFormatting sqref="W654">
    <cfRule type="cellIs" operator="equal" dxfId="1804" priority="1804">
      <formula>"Premium"</formula>
    </cfRule>
  </conditionalFormatting>
  <conditionalFormatting sqref="J655">
    <cfRule type="cellIs" operator="equal" dxfId="1805" priority="1805">
      <formula>"R$"</formula>
    </cfRule>
  </conditionalFormatting>
  <conditionalFormatting sqref="K655">
    <cfRule type="cellIs" operator="equal" dxfId="1806" priority="1806">
      <formula>"Com impostos"</formula>
    </cfRule>
  </conditionalFormatting>
  <conditionalFormatting sqref="V655">
    <cfRule type="cellIs" operator="equal" dxfId="1807" priority="1807">
      <formula>"Mercado Envios grátis"</formula>
    </cfRule>
  </conditionalFormatting>
  <conditionalFormatting sqref="W655">
    <cfRule type="cellIs" operator="equal" dxfId="1808" priority="1808">
      <formula>"Premium"</formula>
    </cfRule>
  </conditionalFormatting>
  <conditionalFormatting sqref="J656">
    <cfRule type="cellIs" operator="equal" dxfId="1809" priority="1809">
      <formula>"R$"</formula>
    </cfRule>
  </conditionalFormatting>
  <conditionalFormatting sqref="K656">
    <cfRule type="cellIs" operator="equal" dxfId="1810" priority="1810">
      <formula>"Com impostos"</formula>
    </cfRule>
  </conditionalFormatting>
  <conditionalFormatting sqref="V656">
    <cfRule type="cellIs" operator="equal" dxfId="1811" priority="1811">
      <formula>"Mercado Envios grátis"</formula>
    </cfRule>
  </conditionalFormatting>
  <conditionalFormatting sqref="W656">
    <cfRule type="cellIs" operator="equal" dxfId="1812" priority="1812">
      <formula>"Premium"</formula>
    </cfRule>
  </conditionalFormatting>
  <conditionalFormatting sqref="J657">
    <cfRule type="cellIs" operator="equal" dxfId="1813" priority="1813">
      <formula>"R$"</formula>
    </cfRule>
  </conditionalFormatting>
  <conditionalFormatting sqref="K657">
    <cfRule type="cellIs" operator="equal" dxfId="1814" priority="1814">
      <formula>"Com impostos"</formula>
    </cfRule>
  </conditionalFormatting>
  <conditionalFormatting sqref="V657">
    <cfRule type="cellIs" operator="equal" dxfId="1815" priority="1815">
      <formula>"Mercado Envios por conta do comprador"</formula>
    </cfRule>
  </conditionalFormatting>
  <conditionalFormatting sqref="W657">
    <cfRule type="cellIs" operator="equal" dxfId="1816" priority="1816">
      <formula>"Clássico"</formula>
    </cfRule>
  </conditionalFormatting>
  <conditionalFormatting sqref="J658">
    <cfRule type="cellIs" operator="equal" dxfId="1817" priority="1817">
      <formula>"R$"</formula>
    </cfRule>
  </conditionalFormatting>
  <conditionalFormatting sqref="K658">
    <cfRule type="cellIs" operator="equal" dxfId="1818" priority="1818">
      <formula>"Com impostos"</formula>
    </cfRule>
  </conditionalFormatting>
  <conditionalFormatting sqref="V658">
    <cfRule type="cellIs" operator="equal" dxfId="1819" priority="1819">
      <formula>"Mercado Envios por conta do comprador"</formula>
    </cfRule>
  </conditionalFormatting>
  <conditionalFormatting sqref="W658">
    <cfRule type="cellIs" operator="equal" dxfId="1820" priority="1820">
      <formula>"Clássico"</formula>
    </cfRule>
  </conditionalFormatting>
  <conditionalFormatting sqref="J659">
    <cfRule type="cellIs" operator="equal" dxfId="1821" priority="1821">
      <formula>"R$"</formula>
    </cfRule>
  </conditionalFormatting>
  <conditionalFormatting sqref="K659">
    <cfRule type="cellIs" operator="equal" dxfId="1822" priority="1822">
      <formula>"Com impostos"</formula>
    </cfRule>
  </conditionalFormatting>
  <conditionalFormatting sqref="V659">
    <cfRule type="cellIs" operator="equal" dxfId="1823" priority="1823">
      <formula>"Mercado Envios grátis"</formula>
    </cfRule>
  </conditionalFormatting>
  <conditionalFormatting sqref="W659">
    <cfRule type="cellIs" operator="equal" dxfId="1824" priority="1824">
      <formula>"Clássico"</formula>
    </cfRule>
  </conditionalFormatting>
  <conditionalFormatting sqref="J660">
    <cfRule type="cellIs" operator="equal" dxfId="1825" priority="1825">
      <formula>"R$"</formula>
    </cfRule>
  </conditionalFormatting>
  <conditionalFormatting sqref="K660">
    <cfRule type="cellIs" operator="equal" dxfId="1826" priority="1826">
      <formula>"Com impostos"</formula>
    </cfRule>
  </conditionalFormatting>
  <conditionalFormatting sqref="V660">
    <cfRule type="cellIs" operator="equal" dxfId="1827" priority="1827">
      <formula>"Mercado Envios por conta do comprador"</formula>
    </cfRule>
  </conditionalFormatting>
  <conditionalFormatting sqref="W660">
    <cfRule type="cellIs" operator="equal" dxfId="1828" priority="1828">
      <formula>"Premium"</formula>
    </cfRule>
  </conditionalFormatting>
  <conditionalFormatting sqref="J661">
    <cfRule type="cellIs" operator="equal" dxfId="1829" priority="1829">
      <formula>"R$"</formula>
    </cfRule>
  </conditionalFormatting>
  <conditionalFormatting sqref="K661">
    <cfRule type="cellIs" operator="equal" dxfId="1830" priority="1830">
      <formula>"Com impostos"</formula>
    </cfRule>
  </conditionalFormatting>
  <conditionalFormatting sqref="V661">
    <cfRule type="cellIs" operator="equal" dxfId="1831" priority="1831">
      <formula>"Mercado Envios grátis"</formula>
    </cfRule>
  </conditionalFormatting>
  <conditionalFormatting sqref="W661">
    <cfRule type="cellIs" operator="equal" dxfId="1832" priority="1832">
      <formula>"Clássico"</formula>
    </cfRule>
  </conditionalFormatting>
  <conditionalFormatting sqref="J662">
    <cfRule type="cellIs" operator="equal" dxfId="1833" priority="1833">
      <formula>"R$"</formula>
    </cfRule>
  </conditionalFormatting>
  <conditionalFormatting sqref="K662">
    <cfRule type="cellIs" operator="equal" dxfId="1834" priority="1834">
      <formula>"Com impostos"</formula>
    </cfRule>
  </conditionalFormatting>
  <conditionalFormatting sqref="V662">
    <cfRule type="cellIs" operator="equal" dxfId="1835" priority="1835">
      <formula>"Mercado Envios grátis"</formula>
    </cfRule>
  </conditionalFormatting>
  <conditionalFormatting sqref="W662">
    <cfRule type="cellIs" operator="equal" dxfId="1836" priority="1836">
      <formula>"Premium"</formula>
    </cfRule>
  </conditionalFormatting>
  <conditionalFormatting sqref="J663">
    <cfRule type="cellIs" operator="equal" dxfId="1837" priority="1837">
      <formula>"R$"</formula>
    </cfRule>
  </conditionalFormatting>
  <conditionalFormatting sqref="K663">
    <cfRule type="cellIs" operator="equal" dxfId="1838" priority="1838">
      <formula>"Com impostos"</formula>
    </cfRule>
  </conditionalFormatting>
  <conditionalFormatting sqref="V663">
    <cfRule type="cellIs" operator="equal" dxfId="1839" priority="1839">
      <formula>"Mercado Envios grátis"</formula>
    </cfRule>
  </conditionalFormatting>
  <conditionalFormatting sqref="W663">
    <cfRule type="cellIs" operator="equal" dxfId="1840" priority="1840">
      <formula>"Premium"</formula>
    </cfRule>
  </conditionalFormatting>
  <conditionalFormatting sqref="J664">
    <cfRule type="cellIs" operator="equal" dxfId="1841" priority="1841">
      <formula>"R$"</formula>
    </cfRule>
  </conditionalFormatting>
  <conditionalFormatting sqref="K664">
    <cfRule type="cellIs" operator="equal" dxfId="1842" priority="1842">
      <formula>"Com impostos"</formula>
    </cfRule>
  </conditionalFormatting>
  <conditionalFormatting sqref="V664">
    <cfRule type="cellIs" operator="equal" dxfId="1843" priority="1843">
      <formula>"Mercado Envios grátis"</formula>
    </cfRule>
  </conditionalFormatting>
  <conditionalFormatting sqref="W664">
    <cfRule type="cellIs" operator="equal" dxfId="1844" priority="1844">
      <formula>"Premium"</formula>
    </cfRule>
  </conditionalFormatting>
  <conditionalFormatting sqref="J665">
    <cfRule type="cellIs" operator="equal" dxfId="1845" priority="1845">
      <formula>"R$"</formula>
    </cfRule>
  </conditionalFormatting>
  <conditionalFormatting sqref="K665">
    <cfRule type="cellIs" operator="equal" dxfId="1846" priority="1846">
      <formula>"Com impostos"</formula>
    </cfRule>
  </conditionalFormatting>
  <conditionalFormatting sqref="V665">
    <cfRule type="cellIs" operator="equal" dxfId="1847" priority="1847">
      <formula>"Mercado Envios grátis"</formula>
    </cfRule>
  </conditionalFormatting>
  <conditionalFormatting sqref="W665">
    <cfRule type="cellIs" operator="equal" dxfId="1848" priority="1848">
      <formula>"Clássico"</formula>
    </cfRule>
  </conditionalFormatting>
  <conditionalFormatting sqref="J666">
    <cfRule type="cellIs" operator="equal" dxfId="1849" priority="1849">
      <formula>"R$"</formula>
    </cfRule>
  </conditionalFormatting>
  <conditionalFormatting sqref="K666">
    <cfRule type="cellIs" operator="equal" dxfId="1850" priority="1850">
      <formula>"Com impostos"</formula>
    </cfRule>
  </conditionalFormatting>
  <conditionalFormatting sqref="V666">
    <cfRule type="cellIs" operator="equal" dxfId="1851" priority="1851">
      <formula>"Mercado Envios grátis"</formula>
    </cfRule>
  </conditionalFormatting>
  <conditionalFormatting sqref="W666">
    <cfRule type="cellIs" operator="equal" dxfId="1852" priority="1852">
      <formula>"Premium"</formula>
    </cfRule>
  </conditionalFormatting>
  <conditionalFormatting sqref="J667">
    <cfRule type="cellIs" operator="equal" dxfId="1853" priority="1853">
      <formula>"R$"</formula>
    </cfRule>
  </conditionalFormatting>
  <conditionalFormatting sqref="K667">
    <cfRule type="cellIs" operator="equal" dxfId="1854" priority="1854">
      <formula>"Com impostos"</formula>
    </cfRule>
  </conditionalFormatting>
  <conditionalFormatting sqref="V667">
    <cfRule type="cellIs" operator="equal" dxfId="1855" priority="1855">
      <formula>"Mercado Envios grátis"</formula>
    </cfRule>
  </conditionalFormatting>
  <conditionalFormatting sqref="W667">
    <cfRule type="cellIs" operator="equal" dxfId="1856" priority="1856">
      <formula>"Clássico"</formula>
    </cfRule>
  </conditionalFormatting>
  <conditionalFormatting sqref="J668">
    <cfRule type="cellIs" operator="equal" dxfId="1857" priority="1857">
      <formula>"R$"</formula>
    </cfRule>
  </conditionalFormatting>
  <conditionalFormatting sqref="K668">
    <cfRule type="cellIs" operator="equal" dxfId="1858" priority="1858">
      <formula>"Com impostos"</formula>
    </cfRule>
  </conditionalFormatting>
  <conditionalFormatting sqref="V668">
    <cfRule type="cellIs" operator="equal" dxfId="1859" priority="1859">
      <formula>"Mercado Envios por conta do comprador"</formula>
    </cfRule>
  </conditionalFormatting>
  <conditionalFormatting sqref="W668">
    <cfRule type="cellIs" operator="equal" dxfId="1860" priority="1860">
      <formula>"Premium"</formula>
    </cfRule>
  </conditionalFormatting>
  <conditionalFormatting sqref="J669">
    <cfRule type="cellIs" operator="equal" dxfId="1861" priority="1861">
      <formula>"R$"</formula>
    </cfRule>
  </conditionalFormatting>
  <conditionalFormatting sqref="K669">
    <cfRule type="cellIs" operator="equal" dxfId="1862" priority="1862">
      <formula>"Com impostos"</formula>
    </cfRule>
  </conditionalFormatting>
  <conditionalFormatting sqref="V669">
    <cfRule type="cellIs" operator="equal" dxfId="1863" priority="1863">
      <formula>"Mercado Envios por conta do comprador"</formula>
    </cfRule>
  </conditionalFormatting>
  <conditionalFormatting sqref="W669">
    <cfRule type="cellIs" operator="equal" dxfId="1864" priority="1864">
      <formula>"Clássico"</formula>
    </cfRule>
  </conditionalFormatting>
  <conditionalFormatting sqref="J670">
    <cfRule type="cellIs" operator="equal" dxfId="1865" priority="1865">
      <formula>"R$"</formula>
    </cfRule>
  </conditionalFormatting>
  <conditionalFormatting sqref="K670">
    <cfRule type="cellIs" operator="equal" dxfId="1866" priority="1866">
      <formula>"Com impostos"</formula>
    </cfRule>
  </conditionalFormatting>
  <conditionalFormatting sqref="V670">
    <cfRule type="cellIs" operator="equal" dxfId="1867" priority="1867">
      <formula>"Mercado Envios por conta do comprador"</formula>
    </cfRule>
  </conditionalFormatting>
  <conditionalFormatting sqref="W670">
    <cfRule type="cellIs" operator="equal" dxfId="1868" priority="1868">
      <formula>"Premium"</formula>
    </cfRule>
  </conditionalFormatting>
  <conditionalFormatting sqref="J671">
    <cfRule type="cellIs" operator="equal" dxfId="1869" priority="1869">
      <formula>"R$"</formula>
    </cfRule>
  </conditionalFormatting>
  <conditionalFormatting sqref="K671">
    <cfRule type="cellIs" operator="equal" dxfId="1870" priority="1870">
      <formula>"Com impostos"</formula>
    </cfRule>
  </conditionalFormatting>
  <conditionalFormatting sqref="V671">
    <cfRule type="cellIs" operator="equal" dxfId="1871" priority="1871">
      <formula>"Mercado Envios grátis"</formula>
    </cfRule>
  </conditionalFormatting>
  <conditionalFormatting sqref="W671">
    <cfRule type="cellIs" operator="equal" dxfId="1872" priority="1872">
      <formula>"Premium"</formula>
    </cfRule>
  </conditionalFormatting>
  <conditionalFormatting sqref="J672">
    <cfRule type="cellIs" operator="equal" dxfId="1873" priority="1873">
      <formula>"R$"</formula>
    </cfRule>
  </conditionalFormatting>
  <conditionalFormatting sqref="K672">
    <cfRule type="cellIs" operator="equal" dxfId="1874" priority="1874">
      <formula>"Com impostos"</formula>
    </cfRule>
  </conditionalFormatting>
  <conditionalFormatting sqref="V672">
    <cfRule type="cellIs" operator="equal" dxfId="1875" priority="1875">
      <formula>"Mercado Envios grátis"</formula>
    </cfRule>
  </conditionalFormatting>
  <conditionalFormatting sqref="W672">
    <cfRule type="cellIs" operator="equal" dxfId="1876" priority="1876">
      <formula>"Clássico"</formula>
    </cfRule>
  </conditionalFormatting>
  <conditionalFormatting sqref="J673">
    <cfRule type="cellIs" operator="equal" dxfId="1877" priority="1877">
      <formula>"R$"</formula>
    </cfRule>
  </conditionalFormatting>
  <conditionalFormatting sqref="K673">
    <cfRule type="cellIs" operator="equal" dxfId="1878" priority="1878">
      <formula>"Com impostos"</formula>
    </cfRule>
  </conditionalFormatting>
  <conditionalFormatting sqref="V673">
    <cfRule type="cellIs" operator="equal" dxfId="1879" priority="1879">
      <formula>"Mercado Envios grátis"</formula>
    </cfRule>
  </conditionalFormatting>
  <conditionalFormatting sqref="W673">
    <cfRule type="cellIs" operator="equal" dxfId="1880" priority="1880">
      <formula>"Premium"</formula>
    </cfRule>
  </conditionalFormatting>
  <conditionalFormatting sqref="J674">
    <cfRule type="cellIs" operator="equal" dxfId="1881" priority="1881">
      <formula>"R$"</formula>
    </cfRule>
  </conditionalFormatting>
  <conditionalFormatting sqref="K674">
    <cfRule type="cellIs" operator="equal" dxfId="1882" priority="1882">
      <formula>"Com impostos"</formula>
    </cfRule>
  </conditionalFormatting>
  <conditionalFormatting sqref="V674">
    <cfRule type="cellIs" operator="equal" dxfId="1883" priority="1883">
      <formula>"Mercado Envios por conta do comprador"</formula>
    </cfRule>
  </conditionalFormatting>
  <conditionalFormatting sqref="W674">
    <cfRule type="cellIs" operator="equal" dxfId="1884" priority="1884">
      <formula>"Clássico"</formula>
    </cfRule>
  </conditionalFormatting>
  <conditionalFormatting sqref="J675">
    <cfRule type="cellIs" operator="equal" dxfId="1885" priority="1885">
      <formula>"R$"</formula>
    </cfRule>
  </conditionalFormatting>
  <conditionalFormatting sqref="K675">
    <cfRule type="cellIs" operator="equal" dxfId="1886" priority="1886">
      <formula>"Com impostos"</formula>
    </cfRule>
  </conditionalFormatting>
  <conditionalFormatting sqref="V675">
    <cfRule type="cellIs" operator="equal" dxfId="1887" priority="1887">
      <formula>"Mercado Envios grátis"</formula>
    </cfRule>
  </conditionalFormatting>
  <conditionalFormatting sqref="W675">
    <cfRule type="cellIs" operator="equal" dxfId="1888" priority="1888">
      <formula>"Premium"</formula>
    </cfRule>
  </conditionalFormatting>
  <conditionalFormatting sqref="J676">
    <cfRule type="cellIs" operator="equal" dxfId="1889" priority="1889">
      <formula>"R$"</formula>
    </cfRule>
  </conditionalFormatting>
  <conditionalFormatting sqref="K676">
    <cfRule type="cellIs" operator="equal" dxfId="1890" priority="1890">
      <formula>"Com impostos"</formula>
    </cfRule>
  </conditionalFormatting>
  <conditionalFormatting sqref="V676">
    <cfRule type="cellIs" operator="equal" dxfId="1891" priority="1891">
      <formula>"Mercado Envios grátis"</formula>
    </cfRule>
  </conditionalFormatting>
  <conditionalFormatting sqref="W676">
    <cfRule type="cellIs" operator="equal" dxfId="1892" priority="1892">
      <formula>"Clássico"</formula>
    </cfRule>
  </conditionalFormatting>
  <conditionalFormatting sqref="J677">
    <cfRule type="cellIs" operator="equal" dxfId="1893" priority="1893">
      <formula>"R$"</formula>
    </cfRule>
  </conditionalFormatting>
  <conditionalFormatting sqref="K677">
    <cfRule type="cellIs" operator="equal" dxfId="1894" priority="1894">
      <formula>"Com impostos"</formula>
    </cfRule>
  </conditionalFormatting>
  <conditionalFormatting sqref="V677">
    <cfRule type="cellIs" operator="equal" dxfId="1895" priority="1895">
      <formula>"Mercado Envios grátis"</formula>
    </cfRule>
  </conditionalFormatting>
  <conditionalFormatting sqref="W677">
    <cfRule type="cellIs" operator="equal" dxfId="1896" priority="1896">
      <formula>"Clássico"</formula>
    </cfRule>
  </conditionalFormatting>
  <conditionalFormatting sqref="J678">
    <cfRule type="cellIs" operator="equal" dxfId="1897" priority="1897">
      <formula>"R$"</formula>
    </cfRule>
  </conditionalFormatting>
  <conditionalFormatting sqref="V678">
    <cfRule type="cellIs" operator="equal" dxfId="1898" priority="1898">
      <formula>"Mercado Envios grátis"</formula>
    </cfRule>
  </conditionalFormatting>
  <conditionalFormatting sqref="W678">
    <cfRule type="cellIs" operator="equal" dxfId="1899" priority="1899">
      <formula>"Clássico"</formula>
    </cfRule>
  </conditionalFormatting>
  <conditionalFormatting sqref="J681">
    <cfRule type="cellIs" operator="equal" dxfId="1900" priority="1900">
      <formula>"R$"</formula>
    </cfRule>
  </conditionalFormatting>
  <conditionalFormatting sqref="K681">
    <cfRule type="cellIs" operator="equal" dxfId="1901" priority="1901">
      <formula>"Com impostos"</formula>
    </cfRule>
  </conditionalFormatting>
  <conditionalFormatting sqref="V681">
    <cfRule type="cellIs" operator="equal" dxfId="1902" priority="1902">
      <formula>"Mercado Envios grátis"</formula>
    </cfRule>
  </conditionalFormatting>
  <conditionalFormatting sqref="W681">
    <cfRule type="cellIs" operator="equal" dxfId="1903" priority="1903">
      <formula>"Clássico"</formula>
    </cfRule>
  </conditionalFormatting>
  <conditionalFormatting sqref="J682">
    <cfRule type="cellIs" operator="equal" dxfId="1904" priority="1904">
      <formula>"R$"</formula>
    </cfRule>
  </conditionalFormatting>
  <conditionalFormatting sqref="K682">
    <cfRule type="cellIs" operator="equal" dxfId="1905" priority="1905">
      <formula>"Com impostos"</formula>
    </cfRule>
  </conditionalFormatting>
  <conditionalFormatting sqref="V682">
    <cfRule type="cellIs" operator="equal" dxfId="1906" priority="1906">
      <formula>"Mercado Envios grátis"</formula>
    </cfRule>
  </conditionalFormatting>
  <conditionalFormatting sqref="W682">
    <cfRule type="cellIs" operator="equal" dxfId="1907" priority="1907">
      <formula>"Premium"</formula>
    </cfRule>
  </conditionalFormatting>
  <conditionalFormatting sqref="J683">
    <cfRule type="cellIs" operator="equal" dxfId="1908" priority="1908">
      <formula>"R$"</formula>
    </cfRule>
  </conditionalFormatting>
  <conditionalFormatting sqref="V683">
    <cfRule type="cellIs" operator="equal" dxfId="1909" priority="1909">
      <formula>"Mercado Envios grátis"</formula>
    </cfRule>
  </conditionalFormatting>
  <conditionalFormatting sqref="W683">
    <cfRule type="cellIs" operator="equal" dxfId="1910" priority="1910">
      <formula>"Premium"</formula>
    </cfRule>
  </conditionalFormatting>
  <conditionalFormatting sqref="J686">
    <cfRule type="cellIs" operator="equal" dxfId="1911" priority="1911">
      <formula>"R$"</formula>
    </cfRule>
  </conditionalFormatting>
  <conditionalFormatting sqref="K686">
    <cfRule type="cellIs" operator="equal" dxfId="1912" priority="1912">
      <formula>"Com impostos"</formula>
    </cfRule>
  </conditionalFormatting>
  <conditionalFormatting sqref="V686">
    <cfRule type="cellIs" operator="equal" dxfId="1913" priority="1913">
      <formula>"Mercado Envios grátis"</formula>
    </cfRule>
  </conditionalFormatting>
  <conditionalFormatting sqref="W686">
    <cfRule type="cellIs" operator="equal" dxfId="1914" priority="1914">
      <formula>"Premium"</formula>
    </cfRule>
  </conditionalFormatting>
  <conditionalFormatting sqref="J687">
    <cfRule type="cellIs" operator="equal" dxfId="1915" priority="1915">
      <formula>"R$"</formula>
    </cfRule>
  </conditionalFormatting>
  <conditionalFormatting sqref="K687">
    <cfRule type="cellIs" operator="equal" dxfId="1916" priority="1916">
      <formula>"Com impostos"</formula>
    </cfRule>
  </conditionalFormatting>
  <conditionalFormatting sqref="V687">
    <cfRule type="cellIs" operator="equal" dxfId="1917" priority="1917">
      <formula>"Mercado Envios grátis"</formula>
    </cfRule>
  </conditionalFormatting>
  <conditionalFormatting sqref="W687">
    <cfRule type="cellIs" operator="equal" dxfId="1918" priority="1918">
      <formula>"Clássico"</formula>
    </cfRule>
  </conditionalFormatting>
  <conditionalFormatting sqref="J688">
    <cfRule type="cellIs" operator="equal" dxfId="1919" priority="1919">
      <formula>"R$"</formula>
    </cfRule>
  </conditionalFormatting>
  <conditionalFormatting sqref="K688">
    <cfRule type="cellIs" operator="equal" dxfId="1920" priority="1920">
      <formula>"Com impostos"</formula>
    </cfRule>
  </conditionalFormatting>
  <conditionalFormatting sqref="V688">
    <cfRule type="cellIs" operator="equal" dxfId="1921" priority="1921">
      <formula>"Mercado Envios por conta do comprador"</formula>
    </cfRule>
  </conditionalFormatting>
  <conditionalFormatting sqref="W688">
    <cfRule type="cellIs" operator="equal" dxfId="1922" priority="1922">
      <formula>"Clássico"</formula>
    </cfRule>
  </conditionalFormatting>
  <conditionalFormatting sqref="J689">
    <cfRule type="cellIs" operator="equal" dxfId="1923" priority="1923">
      <formula>"R$"</formula>
    </cfRule>
  </conditionalFormatting>
  <conditionalFormatting sqref="K689">
    <cfRule type="cellIs" operator="equal" dxfId="1924" priority="1924">
      <formula>"Com impostos"</formula>
    </cfRule>
  </conditionalFormatting>
  <conditionalFormatting sqref="V689">
    <cfRule type="cellIs" operator="equal" dxfId="1925" priority="1925">
      <formula>"Mercado Envios grátis"</formula>
    </cfRule>
  </conditionalFormatting>
  <conditionalFormatting sqref="W689">
    <cfRule type="cellIs" operator="equal" dxfId="1926" priority="1926">
      <formula>"Premium"</formula>
    </cfRule>
  </conditionalFormatting>
  <conditionalFormatting sqref="J690">
    <cfRule type="cellIs" operator="equal" dxfId="1927" priority="1927">
      <formula>"R$"</formula>
    </cfRule>
  </conditionalFormatting>
  <conditionalFormatting sqref="K690">
    <cfRule type="cellIs" operator="equal" dxfId="1928" priority="1928">
      <formula>"Com impostos"</formula>
    </cfRule>
  </conditionalFormatting>
  <conditionalFormatting sqref="V690">
    <cfRule type="cellIs" operator="equal" dxfId="1929" priority="1929">
      <formula>"Mercado Envios por conta do comprador"</formula>
    </cfRule>
  </conditionalFormatting>
  <conditionalFormatting sqref="W690">
    <cfRule type="cellIs" operator="equal" dxfId="1930" priority="1930">
      <formula>"Clássico"</formula>
    </cfRule>
  </conditionalFormatting>
  <conditionalFormatting sqref="J691">
    <cfRule type="cellIs" operator="equal" dxfId="1931" priority="1931">
      <formula>"R$"</formula>
    </cfRule>
  </conditionalFormatting>
  <conditionalFormatting sqref="K691">
    <cfRule type="cellIs" operator="equal" dxfId="1932" priority="1932">
      <formula>"Com impostos"</formula>
    </cfRule>
  </conditionalFormatting>
  <conditionalFormatting sqref="V691">
    <cfRule type="cellIs" operator="equal" dxfId="1933" priority="1933">
      <formula>"Mercado Envios grátis"</formula>
    </cfRule>
  </conditionalFormatting>
  <conditionalFormatting sqref="W691">
    <cfRule type="cellIs" operator="equal" dxfId="1934" priority="1934">
      <formula>"Premium"</formula>
    </cfRule>
  </conditionalFormatting>
  <conditionalFormatting sqref="J692">
    <cfRule type="cellIs" operator="equal" dxfId="1935" priority="1935">
      <formula>"R$"</formula>
    </cfRule>
  </conditionalFormatting>
  <conditionalFormatting sqref="K692">
    <cfRule type="cellIs" operator="equal" dxfId="1936" priority="1936">
      <formula>"Com impostos"</formula>
    </cfRule>
  </conditionalFormatting>
  <conditionalFormatting sqref="V692">
    <cfRule type="cellIs" operator="equal" dxfId="1937" priority="1937">
      <formula>"Mercado Envios por conta do comprador"</formula>
    </cfRule>
  </conditionalFormatting>
  <conditionalFormatting sqref="W692">
    <cfRule type="cellIs" operator="equal" dxfId="1938" priority="1938">
      <formula>"Clássico"</formula>
    </cfRule>
  </conditionalFormatting>
  <conditionalFormatting sqref="J693">
    <cfRule type="cellIs" operator="equal" dxfId="1939" priority="1939">
      <formula>"R$"</formula>
    </cfRule>
  </conditionalFormatting>
  <conditionalFormatting sqref="K693">
    <cfRule type="cellIs" operator="equal" dxfId="1940" priority="1940">
      <formula>"Com impostos"</formula>
    </cfRule>
  </conditionalFormatting>
  <conditionalFormatting sqref="V693">
    <cfRule type="cellIs" operator="equal" dxfId="1941" priority="1941">
      <formula>"Mercado Envios grátis"</formula>
    </cfRule>
  </conditionalFormatting>
  <conditionalFormatting sqref="W693">
    <cfRule type="cellIs" operator="equal" dxfId="1942" priority="1942">
      <formula>"Clássico"</formula>
    </cfRule>
  </conditionalFormatting>
  <conditionalFormatting sqref="J694">
    <cfRule type="cellIs" operator="equal" dxfId="1943" priority="1943">
      <formula>"R$"</formula>
    </cfRule>
  </conditionalFormatting>
  <conditionalFormatting sqref="K694">
    <cfRule type="cellIs" operator="equal" dxfId="1944" priority="1944">
      <formula>"Com impostos"</formula>
    </cfRule>
  </conditionalFormatting>
  <conditionalFormatting sqref="V694">
    <cfRule type="cellIs" operator="equal" dxfId="1945" priority="1945">
      <formula>"Mercado Envios grátis"</formula>
    </cfRule>
  </conditionalFormatting>
  <conditionalFormatting sqref="W694">
    <cfRule type="cellIs" operator="equal" dxfId="1946" priority="1946">
      <formula>"Clássico"</formula>
    </cfRule>
  </conditionalFormatting>
  <conditionalFormatting sqref="J695">
    <cfRule type="cellIs" operator="equal" dxfId="1947" priority="1947">
      <formula>"R$"</formula>
    </cfRule>
  </conditionalFormatting>
  <conditionalFormatting sqref="K695">
    <cfRule type="cellIs" operator="equal" dxfId="1948" priority="1948">
      <formula>"Com impostos"</formula>
    </cfRule>
  </conditionalFormatting>
  <conditionalFormatting sqref="V695">
    <cfRule type="cellIs" operator="equal" dxfId="1949" priority="1949">
      <formula>"Mercado Envios grátis"</formula>
    </cfRule>
  </conditionalFormatting>
  <conditionalFormatting sqref="W695">
    <cfRule type="cellIs" operator="equal" dxfId="1950" priority="1950">
      <formula>"Clássico"</formula>
    </cfRule>
  </conditionalFormatting>
  <conditionalFormatting sqref="J696">
    <cfRule type="cellIs" operator="equal" dxfId="1951" priority="1951">
      <formula>"R$"</formula>
    </cfRule>
  </conditionalFormatting>
  <conditionalFormatting sqref="K696">
    <cfRule type="cellIs" operator="equal" dxfId="1952" priority="1952">
      <formula>"Com impostos"</formula>
    </cfRule>
  </conditionalFormatting>
  <conditionalFormatting sqref="V696">
    <cfRule type="cellIs" operator="equal" dxfId="1953" priority="1953">
      <formula>"Mercado Envios grátis"</formula>
    </cfRule>
  </conditionalFormatting>
  <conditionalFormatting sqref="W696">
    <cfRule type="cellIs" operator="equal" dxfId="1954" priority="1954">
      <formula>"Premium"</formula>
    </cfRule>
  </conditionalFormatting>
  <conditionalFormatting sqref="J697">
    <cfRule type="cellIs" operator="equal" dxfId="1955" priority="1955">
      <formula>"R$"</formula>
    </cfRule>
  </conditionalFormatting>
  <conditionalFormatting sqref="K697">
    <cfRule type="cellIs" operator="equal" dxfId="1956" priority="1956">
      <formula>"Com impostos"</formula>
    </cfRule>
  </conditionalFormatting>
  <conditionalFormatting sqref="V697">
    <cfRule type="cellIs" operator="equal" dxfId="1957" priority="1957">
      <formula>"Mercado Envios grátis"</formula>
    </cfRule>
  </conditionalFormatting>
  <conditionalFormatting sqref="W697">
    <cfRule type="cellIs" operator="equal" dxfId="1958" priority="1958">
      <formula>"Premium"</formula>
    </cfRule>
  </conditionalFormatting>
  <conditionalFormatting sqref="J698">
    <cfRule type="cellIs" operator="equal" dxfId="1959" priority="1959">
      <formula>"R$"</formula>
    </cfRule>
  </conditionalFormatting>
  <conditionalFormatting sqref="K698">
    <cfRule type="cellIs" operator="equal" dxfId="1960" priority="1960">
      <formula>"Com impostos"</formula>
    </cfRule>
  </conditionalFormatting>
  <conditionalFormatting sqref="V698">
    <cfRule type="cellIs" operator="equal" dxfId="1961" priority="1961">
      <formula>"Mercado Envios grátis"</formula>
    </cfRule>
  </conditionalFormatting>
  <conditionalFormatting sqref="W698">
    <cfRule type="cellIs" operator="equal" dxfId="1962" priority="1962">
      <formula>"Premium"</formula>
    </cfRule>
  </conditionalFormatting>
  <conditionalFormatting sqref="J699">
    <cfRule type="cellIs" operator="equal" dxfId="1963" priority="1963">
      <formula>"R$"</formula>
    </cfRule>
  </conditionalFormatting>
  <conditionalFormatting sqref="K699">
    <cfRule type="cellIs" operator="equal" dxfId="1964" priority="1964">
      <formula>"Com impostos"</formula>
    </cfRule>
  </conditionalFormatting>
  <conditionalFormatting sqref="V699">
    <cfRule type="cellIs" operator="equal" dxfId="1965" priority="1965">
      <formula>"Mercado Envios grátis"</formula>
    </cfRule>
  </conditionalFormatting>
  <conditionalFormatting sqref="W699">
    <cfRule type="cellIs" operator="equal" dxfId="1966" priority="1966">
      <formula>"Clássico"</formula>
    </cfRule>
  </conditionalFormatting>
  <conditionalFormatting sqref="J700">
    <cfRule type="cellIs" operator="equal" dxfId="1967" priority="1967">
      <formula>"R$"</formula>
    </cfRule>
  </conditionalFormatting>
  <conditionalFormatting sqref="V700">
    <cfRule type="cellIs" operator="equal" dxfId="1968" priority="1968">
      <formula>"Mercado Envios grátis"</formula>
    </cfRule>
  </conditionalFormatting>
  <conditionalFormatting sqref="W700">
    <cfRule type="cellIs" operator="equal" dxfId="1969" priority="1969">
      <formula>"Premium"</formula>
    </cfRule>
  </conditionalFormatting>
  <conditionalFormatting sqref="J703">
    <cfRule type="cellIs" operator="equal" dxfId="1970" priority="1970">
      <formula>"R$"</formula>
    </cfRule>
  </conditionalFormatting>
  <conditionalFormatting sqref="V703">
    <cfRule type="cellIs" operator="equal" dxfId="1971" priority="1971">
      <formula>"Mercado Envios grátis"</formula>
    </cfRule>
  </conditionalFormatting>
  <conditionalFormatting sqref="W703">
    <cfRule type="cellIs" operator="equal" dxfId="1972" priority="1972">
      <formula>"Clássico"</formula>
    </cfRule>
  </conditionalFormatting>
  <conditionalFormatting sqref="J706">
    <cfRule type="cellIs" operator="equal" dxfId="1973" priority="1973">
      <formula>"R$"</formula>
    </cfRule>
  </conditionalFormatting>
  <conditionalFormatting sqref="K706">
    <cfRule type="cellIs" operator="equal" dxfId="1974" priority="1974">
      <formula>"Com impostos"</formula>
    </cfRule>
  </conditionalFormatting>
  <conditionalFormatting sqref="V706">
    <cfRule type="cellIs" operator="equal" dxfId="1975" priority="1975">
      <formula>"Mercado Envios grátis"</formula>
    </cfRule>
  </conditionalFormatting>
  <conditionalFormatting sqref="W706">
    <cfRule type="cellIs" operator="equal" dxfId="1976" priority="1976">
      <formula>"Clássico"</formula>
    </cfRule>
  </conditionalFormatting>
  <conditionalFormatting sqref="J707">
    <cfRule type="cellIs" operator="equal" dxfId="1977" priority="1977">
      <formula>"R$"</formula>
    </cfRule>
  </conditionalFormatting>
  <conditionalFormatting sqref="K707">
    <cfRule type="cellIs" operator="equal" dxfId="1978" priority="1978">
      <formula>"Com impostos"</formula>
    </cfRule>
  </conditionalFormatting>
  <conditionalFormatting sqref="V707">
    <cfRule type="cellIs" operator="equal" dxfId="1979" priority="1979">
      <formula>"Mercado Envios grátis"</formula>
    </cfRule>
  </conditionalFormatting>
  <conditionalFormatting sqref="W707">
    <cfRule type="cellIs" operator="equal" dxfId="1980" priority="1980">
      <formula>"Premium"</formula>
    </cfRule>
  </conditionalFormatting>
  <conditionalFormatting sqref="J708">
    <cfRule type="cellIs" operator="equal" dxfId="1981" priority="1981">
      <formula>"R$"</formula>
    </cfRule>
  </conditionalFormatting>
  <conditionalFormatting sqref="K708">
    <cfRule type="cellIs" operator="equal" dxfId="1982" priority="1982">
      <formula>"Com impostos"</formula>
    </cfRule>
  </conditionalFormatting>
  <conditionalFormatting sqref="V708">
    <cfRule type="cellIs" operator="equal" dxfId="1983" priority="1983">
      <formula>"Mercado Envios por conta do comprador"</formula>
    </cfRule>
  </conditionalFormatting>
  <conditionalFormatting sqref="W708">
    <cfRule type="cellIs" operator="equal" dxfId="1984" priority="1984">
      <formula>"Clássico"</formula>
    </cfRule>
  </conditionalFormatting>
  <conditionalFormatting sqref="J709">
    <cfRule type="cellIs" operator="equal" dxfId="1985" priority="1985">
      <formula>"R$"</formula>
    </cfRule>
  </conditionalFormatting>
  <conditionalFormatting sqref="K709">
    <cfRule type="cellIs" operator="equal" dxfId="1986" priority="1986">
      <formula>"Com impostos"</formula>
    </cfRule>
  </conditionalFormatting>
  <conditionalFormatting sqref="V709">
    <cfRule type="cellIs" operator="equal" dxfId="1987" priority="1987">
      <formula>"Mercado Envios grátis"</formula>
    </cfRule>
  </conditionalFormatting>
  <conditionalFormatting sqref="W709">
    <cfRule type="cellIs" operator="equal" dxfId="1988" priority="1988">
      <formula>"Premium"</formula>
    </cfRule>
  </conditionalFormatting>
  <conditionalFormatting sqref="J710">
    <cfRule type="cellIs" operator="equal" dxfId="1989" priority="1989">
      <formula>"R$"</formula>
    </cfRule>
  </conditionalFormatting>
  <conditionalFormatting sqref="K710">
    <cfRule type="cellIs" operator="equal" dxfId="1990" priority="1990">
      <formula>"Com impostos"</formula>
    </cfRule>
  </conditionalFormatting>
  <conditionalFormatting sqref="V710">
    <cfRule type="cellIs" operator="equal" dxfId="1991" priority="1991">
      <formula>"Mercado Envios por conta do comprador"</formula>
    </cfRule>
  </conditionalFormatting>
  <conditionalFormatting sqref="W710">
    <cfRule type="cellIs" operator="equal" dxfId="1992" priority="1992">
      <formula>"Clássico"</formula>
    </cfRule>
  </conditionalFormatting>
  <conditionalFormatting sqref="J711">
    <cfRule type="cellIs" operator="equal" dxfId="1993" priority="1993">
      <formula>"R$"</formula>
    </cfRule>
  </conditionalFormatting>
  <conditionalFormatting sqref="K711">
    <cfRule type="cellIs" operator="equal" dxfId="1994" priority="1994">
      <formula>"Com impostos"</formula>
    </cfRule>
  </conditionalFormatting>
  <conditionalFormatting sqref="V711">
    <cfRule type="cellIs" operator="equal" dxfId="1995" priority="1995">
      <formula>"Mercado Envios grátis"</formula>
    </cfRule>
  </conditionalFormatting>
  <conditionalFormatting sqref="W711">
    <cfRule type="cellIs" operator="equal" dxfId="1996" priority="1996">
      <formula>"Premium"</formula>
    </cfRule>
  </conditionalFormatting>
  <conditionalFormatting sqref="J712">
    <cfRule type="cellIs" operator="equal" dxfId="1997" priority="1997">
      <formula>"R$"</formula>
    </cfRule>
  </conditionalFormatting>
  <conditionalFormatting sqref="K712">
    <cfRule type="cellIs" operator="equal" dxfId="1998" priority="1998">
      <formula>"Com impostos"</formula>
    </cfRule>
  </conditionalFormatting>
  <conditionalFormatting sqref="V712">
    <cfRule type="cellIs" operator="equal" dxfId="1999" priority="1999">
      <formula>"Mercado Envios grátis"</formula>
    </cfRule>
  </conditionalFormatting>
  <conditionalFormatting sqref="W712">
    <cfRule type="cellIs" operator="equal" dxfId="2000" priority="2000">
      <formula>"Clássico"</formula>
    </cfRule>
  </conditionalFormatting>
  <conditionalFormatting sqref="J713">
    <cfRule type="cellIs" operator="equal" dxfId="2001" priority="2001">
      <formula>"R$"</formula>
    </cfRule>
  </conditionalFormatting>
  <conditionalFormatting sqref="V713">
    <cfRule type="cellIs" operator="equal" dxfId="2002" priority="2002">
      <formula>"Mercado Envios por conta do comprador"</formula>
    </cfRule>
  </conditionalFormatting>
  <conditionalFormatting sqref="W713">
    <cfRule type="cellIs" operator="equal" dxfId="2003" priority="2003">
      <formula>"Clássico"</formula>
    </cfRule>
  </conditionalFormatting>
  <conditionalFormatting sqref="J714">
    <cfRule type="cellIs" operator="equal" dxfId="2004" priority="2004">
      <formula>"R$"</formula>
    </cfRule>
  </conditionalFormatting>
  <conditionalFormatting sqref="K714">
    <cfRule type="cellIs" operator="equal" dxfId="2005" priority="2005">
      <formula>"Com impostos"</formula>
    </cfRule>
  </conditionalFormatting>
  <conditionalFormatting sqref="V714">
    <cfRule type="cellIs" operator="equal" dxfId="2006" priority="2006">
      <formula>"Mercado Envios grátis"</formula>
    </cfRule>
  </conditionalFormatting>
  <conditionalFormatting sqref="W714">
    <cfRule type="cellIs" operator="equal" dxfId="2007" priority="2007">
      <formula>"Premium"</formula>
    </cfRule>
  </conditionalFormatting>
  <conditionalFormatting sqref="J715">
    <cfRule type="cellIs" operator="equal" dxfId="2008" priority="2008">
      <formula>"R$"</formula>
    </cfRule>
  </conditionalFormatting>
  <conditionalFormatting sqref="K715">
    <cfRule type="cellIs" operator="equal" dxfId="2009" priority="2009">
      <formula>"Com impostos"</formula>
    </cfRule>
  </conditionalFormatting>
  <conditionalFormatting sqref="V715">
    <cfRule type="cellIs" operator="equal" dxfId="2010" priority="2010">
      <formula>"Mercado Envios grátis"</formula>
    </cfRule>
  </conditionalFormatting>
  <conditionalFormatting sqref="W715">
    <cfRule type="cellIs" operator="equal" dxfId="2011" priority="2011">
      <formula>"Premium"</formula>
    </cfRule>
  </conditionalFormatting>
  <conditionalFormatting sqref="J716">
    <cfRule type="cellIs" operator="equal" dxfId="2012" priority="2012">
      <formula>"R$"</formula>
    </cfRule>
  </conditionalFormatting>
  <conditionalFormatting sqref="K716">
    <cfRule type="cellIs" operator="equal" dxfId="2013" priority="2013">
      <formula>"Com impostos"</formula>
    </cfRule>
  </conditionalFormatting>
  <conditionalFormatting sqref="V716">
    <cfRule type="cellIs" operator="equal" dxfId="2014" priority="2014">
      <formula>"Mercado Envios grátis"</formula>
    </cfRule>
  </conditionalFormatting>
  <conditionalFormatting sqref="W716">
    <cfRule type="cellIs" operator="equal" dxfId="2015" priority="2015">
      <formula>"Premium"</formula>
    </cfRule>
  </conditionalFormatting>
  <conditionalFormatting sqref="J717">
    <cfRule type="cellIs" operator="equal" dxfId="2016" priority="2016">
      <formula>"R$"</formula>
    </cfRule>
  </conditionalFormatting>
  <conditionalFormatting sqref="K717">
    <cfRule type="cellIs" operator="equal" dxfId="2017" priority="2017">
      <formula>"Com impostos"</formula>
    </cfRule>
  </conditionalFormatting>
  <conditionalFormatting sqref="V717">
    <cfRule type="cellIs" operator="equal" dxfId="2018" priority="2018">
      <formula>"Mercado Envios grátis"</formula>
    </cfRule>
  </conditionalFormatting>
  <conditionalFormatting sqref="W717">
    <cfRule type="cellIs" operator="equal" dxfId="2019" priority="2019">
      <formula>"Clássico"</formula>
    </cfRule>
  </conditionalFormatting>
  <conditionalFormatting sqref="J718">
    <cfRule type="cellIs" operator="equal" dxfId="2020" priority="2020">
      <formula>"R$"</formula>
    </cfRule>
  </conditionalFormatting>
  <conditionalFormatting sqref="K718">
    <cfRule type="cellIs" operator="equal" dxfId="2021" priority="2021">
      <formula>"Com impostos"</formula>
    </cfRule>
  </conditionalFormatting>
  <conditionalFormatting sqref="V718">
    <cfRule type="cellIs" operator="equal" dxfId="2022" priority="2022">
      <formula>"Mercado Envios por conta do comprador"</formula>
    </cfRule>
  </conditionalFormatting>
  <conditionalFormatting sqref="W718">
    <cfRule type="cellIs" operator="equal" dxfId="2023" priority="2023">
      <formula>"Clássico"</formula>
    </cfRule>
  </conditionalFormatting>
  <conditionalFormatting sqref="J719">
    <cfRule type="cellIs" operator="equal" dxfId="2024" priority="2024">
      <formula>"R$"</formula>
    </cfRule>
  </conditionalFormatting>
  <conditionalFormatting sqref="K719">
    <cfRule type="cellIs" operator="equal" dxfId="2025" priority="2025">
      <formula>"Com impostos"</formula>
    </cfRule>
  </conditionalFormatting>
  <conditionalFormatting sqref="V719">
    <cfRule type="cellIs" operator="equal" dxfId="2026" priority="2026">
      <formula>"Mercado Envios grátis"</formula>
    </cfRule>
  </conditionalFormatting>
  <conditionalFormatting sqref="W719">
    <cfRule type="cellIs" operator="equal" dxfId="2027" priority="2027">
      <formula>"Clássico"</formula>
    </cfRule>
  </conditionalFormatting>
  <conditionalFormatting sqref="J720">
    <cfRule type="cellIs" operator="equal" dxfId="2028" priority="2028">
      <formula>"R$"</formula>
    </cfRule>
  </conditionalFormatting>
  <conditionalFormatting sqref="K720">
    <cfRule type="cellIs" operator="equal" dxfId="2029" priority="2029">
      <formula>"Com impostos"</formula>
    </cfRule>
  </conditionalFormatting>
  <conditionalFormatting sqref="V720">
    <cfRule type="cellIs" operator="equal" dxfId="2030" priority="2030">
      <formula>"Mercado Envios por conta do comprador"</formula>
    </cfRule>
  </conditionalFormatting>
  <conditionalFormatting sqref="W720">
    <cfRule type="cellIs" operator="equal" dxfId="2031" priority="2031">
      <formula>"Clássico"</formula>
    </cfRule>
  </conditionalFormatting>
  <conditionalFormatting sqref="J721">
    <cfRule type="cellIs" operator="equal" dxfId="2032" priority="2032">
      <formula>"R$"</formula>
    </cfRule>
  </conditionalFormatting>
  <conditionalFormatting sqref="K721">
    <cfRule type="cellIs" operator="equal" dxfId="2033" priority="2033">
      <formula>"Com impostos"</formula>
    </cfRule>
  </conditionalFormatting>
  <conditionalFormatting sqref="V721">
    <cfRule type="cellIs" operator="equal" dxfId="2034" priority="2034">
      <formula>"Mercado Envios grátis"</formula>
    </cfRule>
  </conditionalFormatting>
  <conditionalFormatting sqref="W721">
    <cfRule type="cellIs" operator="equal" dxfId="2035" priority="2035">
      <formula>"Clássico"</formula>
    </cfRule>
  </conditionalFormatting>
  <conditionalFormatting sqref="J722">
    <cfRule type="cellIs" operator="equal" dxfId="2036" priority="2036">
      <formula>"R$"</formula>
    </cfRule>
  </conditionalFormatting>
  <conditionalFormatting sqref="K722">
    <cfRule type="cellIs" operator="equal" dxfId="2037" priority="2037">
      <formula>"Com impostos"</formula>
    </cfRule>
  </conditionalFormatting>
  <conditionalFormatting sqref="V722">
    <cfRule type="cellIs" operator="equal" dxfId="2038" priority="2038">
      <formula>"Mercado Envios grátis"</formula>
    </cfRule>
  </conditionalFormatting>
  <conditionalFormatting sqref="W722">
    <cfRule type="cellIs" operator="equal" dxfId="2039" priority="2039">
      <formula>"Premium"</formula>
    </cfRule>
  </conditionalFormatting>
  <conditionalFormatting sqref="J723">
    <cfRule type="cellIs" operator="equal" dxfId="2040" priority="2040">
      <formula>"R$"</formula>
    </cfRule>
  </conditionalFormatting>
  <conditionalFormatting sqref="K723">
    <cfRule type="cellIs" operator="equal" dxfId="2041" priority="2041">
      <formula>"Com impostos"</formula>
    </cfRule>
  </conditionalFormatting>
  <conditionalFormatting sqref="V723">
    <cfRule type="cellIs" operator="equal" dxfId="2042" priority="2042">
      <formula>"Mercado Envios por conta do comprador"</formula>
    </cfRule>
  </conditionalFormatting>
  <conditionalFormatting sqref="W723">
    <cfRule type="cellIs" operator="equal" dxfId="2043" priority="2043">
      <formula>"Clássico"</formula>
    </cfRule>
  </conditionalFormatting>
  <conditionalFormatting sqref="J724">
    <cfRule type="cellIs" operator="equal" dxfId="2044" priority="2044">
      <formula>"R$"</formula>
    </cfRule>
  </conditionalFormatting>
  <conditionalFormatting sqref="K724">
    <cfRule type="cellIs" operator="equal" dxfId="2045" priority="2045">
      <formula>"Com impostos"</formula>
    </cfRule>
  </conditionalFormatting>
  <conditionalFormatting sqref="V724">
    <cfRule type="cellIs" operator="equal" dxfId="2046" priority="2046">
      <formula>"Mercado Envios grátis"</formula>
    </cfRule>
  </conditionalFormatting>
  <conditionalFormatting sqref="W724">
    <cfRule type="cellIs" operator="equal" dxfId="2047" priority="2047">
      <formula>"Premium"</formula>
    </cfRule>
  </conditionalFormatting>
  <conditionalFormatting sqref="J725">
    <cfRule type="cellIs" operator="equal" dxfId="2048" priority="2048">
      <formula>"R$"</formula>
    </cfRule>
  </conditionalFormatting>
  <conditionalFormatting sqref="V725">
    <cfRule type="cellIs" operator="equal" dxfId="2049" priority="2049">
      <formula>"Mercado Envios grátis"</formula>
    </cfRule>
  </conditionalFormatting>
  <conditionalFormatting sqref="W725">
    <cfRule type="cellIs" operator="equal" dxfId="2050" priority="2050">
      <formula>"Premium"</formula>
    </cfRule>
  </conditionalFormatting>
  <conditionalFormatting sqref="J728">
    <cfRule type="cellIs" operator="equal" dxfId="2051" priority="2051">
      <formula>"R$"</formula>
    </cfRule>
  </conditionalFormatting>
  <conditionalFormatting sqref="K728">
    <cfRule type="cellIs" operator="equal" dxfId="2052" priority="2052">
      <formula>"Com impostos"</formula>
    </cfRule>
  </conditionalFormatting>
  <conditionalFormatting sqref="V728">
    <cfRule type="cellIs" operator="equal" dxfId="2053" priority="2053">
      <formula>"Mercado Envios grátis"</formula>
    </cfRule>
  </conditionalFormatting>
  <conditionalFormatting sqref="W728">
    <cfRule type="cellIs" operator="equal" dxfId="2054" priority="2054">
      <formula>"Clássico"</formula>
    </cfRule>
  </conditionalFormatting>
  <conditionalFormatting sqref="J729">
    <cfRule type="cellIs" operator="equal" dxfId="2055" priority="2055">
      <formula>"R$"</formula>
    </cfRule>
  </conditionalFormatting>
  <conditionalFormatting sqref="K729">
    <cfRule type="cellIs" operator="equal" dxfId="2056" priority="2056">
      <formula>"Com impostos"</formula>
    </cfRule>
  </conditionalFormatting>
  <conditionalFormatting sqref="V729">
    <cfRule type="cellIs" operator="equal" dxfId="2057" priority="2057">
      <formula>"Mercado Envios por conta do comprador"</formula>
    </cfRule>
  </conditionalFormatting>
  <conditionalFormatting sqref="W729">
    <cfRule type="cellIs" operator="equal" dxfId="2058" priority="2058">
      <formula>"Clássico"</formula>
    </cfRule>
  </conditionalFormatting>
  <conditionalFormatting sqref="J730">
    <cfRule type="cellIs" operator="equal" dxfId="2059" priority="2059">
      <formula>"R$"</formula>
    </cfRule>
  </conditionalFormatting>
  <conditionalFormatting sqref="V730">
    <cfRule type="cellIs" operator="equal" dxfId="2060" priority="2060">
      <formula>"Mercado Envios grátis"</formula>
    </cfRule>
  </conditionalFormatting>
  <conditionalFormatting sqref="W730">
    <cfRule type="cellIs" operator="equal" dxfId="2061" priority="2061">
      <formula>"Clássico"</formula>
    </cfRule>
  </conditionalFormatting>
  <conditionalFormatting sqref="J733">
    <cfRule type="cellIs" operator="equal" dxfId="2062" priority="2062">
      <formula>"R$"</formula>
    </cfRule>
  </conditionalFormatting>
  <conditionalFormatting sqref="K733">
    <cfRule type="cellIs" operator="equal" dxfId="2063" priority="2063">
      <formula>"Com impostos"</formula>
    </cfRule>
  </conditionalFormatting>
  <conditionalFormatting sqref="V733">
    <cfRule type="cellIs" operator="equal" dxfId="2064" priority="2064">
      <formula>"Mercado Envios grátis"</formula>
    </cfRule>
  </conditionalFormatting>
  <conditionalFormatting sqref="W733">
    <cfRule type="cellIs" operator="equal" dxfId="2065" priority="2065">
      <formula>"Premium"</formula>
    </cfRule>
  </conditionalFormatting>
  <conditionalFormatting sqref="J734">
    <cfRule type="cellIs" operator="equal" dxfId="2066" priority="2066">
      <formula>"R$"</formula>
    </cfRule>
  </conditionalFormatting>
  <conditionalFormatting sqref="K734">
    <cfRule type="cellIs" operator="equal" dxfId="2067" priority="2067">
      <formula>"Com impostos"</formula>
    </cfRule>
  </conditionalFormatting>
  <conditionalFormatting sqref="V734">
    <cfRule type="cellIs" operator="equal" dxfId="2068" priority="2068">
      <formula>"Mercado Envios grátis"</formula>
    </cfRule>
  </conditionalFormatting>
  <conditionalFormatting sqref="W734">
    <cfRule type="cellIs" operator="equal" dxfId="2069" priority="2069">
      <formula>"Clássico"</formula>
    </cfRule>
  </conditionalFormatting>
  <conditionalFormatting sqref="J735">
    <cfRule type="cellIs" operator="equal" dxfId="2070" priority="2070">
      <formula>"R$"</formula>
    </cfRule>
  </conditionalFormatting>
  <conditionalFormatting sqref="K735">
    <cfRule type="cellIs" operator="equal" dxfId="2071" priority="2071">
      <formula>"Com impostos"</formula>
    </cfRule>
  </conditionalFormatting>
  <conditionalFormatting sqref="V735">
    <cfRule type="cellIs" operator="equal" dxfId="2072" priority="2072">
      <formula>"Mercado Envios por conta do comprador"</formula>
    </cfRule>
  </conditionalFormatting>
  <conditionalFormatting sqref="W735">
    <cfRule type="cellIs" operator="equal" dxfId="2073" priority="2073">
      <formula>"Clássico"</formula>
    </cfRule>
  </conditionalFormatting>
  <conditionalFormatting sqref="J736">
    <cfRule type="cellIs" operator="equal" dxfId="2074" priority="2074">
      <formula>"R$"</formula>
    </cfRule>
  </conditionalFormatting>
  <conditionalFormatting sqref="K736">
    <cfRule type="cellIs" operator="equal" dxfId="2075" priority="2075">
      <formula>"Com impostos"</formula>
    </cfRule>
  </conditionalFormatting>
  <conditionalFormatting sqref="V736">
    <cfRule type="cellIs" operator="equal" dxfId="2076" priority="2076">
      <formula>"Mercado Envios por conta do comprador"</formula>
    </cfRule>
  </conditionalFormatting>
  <conditionalFormatting sqref="W736">
    <cfRule type="cellIs" operator="equal" dxfId="2077" priority="2077">
      <formula>"Clássico"</formula>
    </cfRule>
  </conditionalFormatting>
  <conditionalFormatting sqref="J737">
    <cfRule type="cellIs" operator="equal" dxfId="2078" priority="2078">
      <formula>"R$"</formula>
    </cfRule>
  </conditionalFormatting>
  <conditionalFormatting sqref="K737">
    <cfRule type="cellIs" operator="equal" dxfId="2079" priority="2079">
      <formula>"Com impostos"</formula>
    </cfRule>
  </conditionalFormatting>
  <conditionalFormatting sqref="V737">
    <cfRule type="cellIs" operator="equal" dxfId="2080" priority="2080">
      <formula>"Mercado Envios grátis"</formula>
    </cfRule>
  </conditionalFormatting>
  <conditionalFormatting sqref="W737">
    <cfRule type="cellIs" operator="equal" dxfId="2081" priority="2081">
      <formula>"Premium"</formula>
    </cfRule>
  </conditionalFormatting>
  <conditionalFormatting sqref="J738">
    <cfRule type="cellIs" operator="equal" dxfId="2082" priority="2082">
      <formula>"R$"</formula>
    </cfRule>
  </conditionalFormatting>
  <conditionalFormatting sqref="K738">
    <cfRule type="cellIs" operator="equal" dxfId="2083" priority="2083">
      <formula>"Com impostos"</formula>
    </cfRule>
  </conditionalFormatting>
  <conditionalFormatting sqref="V738">
    <cfRule type="cellIs" operator="equal" dxfId="2084" priority="2084">
      <formula>"Mercado Envios por conta do comprador"</formula>
    </cfRule>
  </conditionalFormatting>
  <conditionalFormatting sqref="W738">
    <cfRule type="cellIs" operator="equal" dxfId="2085" priority="2085">
      <formula>"Clássico"</formula>
    </cfRule>
  </conditionalFormatting>
  <conditionalFormatting sqref="J739">
    <cfRule type="cellIs" operator="equal" dxfId="2086" priority="2086">
      <formula>"R$"</formula>
    </cfRule>
  </conditionalFormatting>
  <conditionalFormatting sqref="K739">
    <cfRule type="cellIs" operator="equal" dxfId="2087" priority="2087">
      <formula>"Com impostos"</formula>
    </cfRule>
  </conditionalFormatting>
  <conditionalFormatting sqref="V739">
    <cfRule type="cellIs" operator="equal" dxfId="2088" priority="2088">
      <formula>"Mercado Envios grátis"</formula>
    </cfRule>
  </conditionalFormatting>
  <conditionalFormatting sqref="W739">
    <cfRule type="cellIs" operator="equal" dxfId="2089" priority="2089">
      <formula>"Premium"</formula>
    </cfRule>
  </conditionalFormatting>
  <conditionalFormatting sqref="J740">
    <cfRule type="cellIs" operator="equal" dxfId="2090" priority="2090">
      <formula>"R$"</formula>
    </cfRule>
  </conditionalFormatting>
  <conditionalFormatting sqref="K740">
    <cfRule type="cellIs" operator="equal" dxfId="2091" priority="2091">
      <formula>"Com impostos"</formula>
    </cfRule>
  </conditionalFormatting>
  <conditionalFormatting sqref="V740">
    <cfRule type="cellIs" operator="equal" dxfId="2092" priority="2092">
      <formula>"Mercado Envios grátis"</formula>
    </cfRule>
  </conditionalFormatting>
  <conditionalFormatting sqref="W740">
    <cfRule type="cellIs" operator="equal" dxfId="2093" priority="2093">
      <formula>"Premium"</formula>
    </cfRule>
  </conditionalFormatting>
  <conditionalFormatting sqref="J741">
    <cfRule type="cellIs" operator="equal" dxfId="2094" priority="2094">
      <formula>"R$"</formula>
    </cfRule>
  </conditionalFormatting>
  <conditionalFormatting sqref="K741">
    <cfRule type="cellIs" operator="equal" dxfId="2095" priority="2095">
      <formula>"Com impostos"</formula>
    </cfRule>
  </conditionalFormatting>
  <conditionalFormatting sqref="V741">
    <cfRule type="cellIs" operator="equal" dxfId="2096" priority="2096">
      <formula>"Mercado Envios grátis"</formula>
    </cfRule>
  </conditionalFormatting>
  <conditionalFormatting sqref="W741">
    <cfRule type="cellIs" operator="equal" dxfId="2097" priority="2097">
      <formula>"Premium"</formula>
    </cfRule>
  </conditionalFormatting>
  <conditionalFormatting sqref="J742">
    <cfRule type="cellIs" operator="equal" dxfId="2098" priority="2098">
      <formula>"R$"</formula>
    </cfRule>
  </conditionalFormatting>
  <conditionalFormatting sqref="K742">
    <cfRule type="cellIs" operator="equal" dxfId="2099" priority="2099">
      <formula>"Com impostos"</formula>
    </cfRule>
  </conditionalFormatting>
  <conditionalFormatting sqref="V742">
    <cfRule type="cellIs" operator="equal" dxfId="2100" priority="2100">
      <formula>"Mercado Envios grátis"</formula>
    </cfRule>
  </conditionalFormatting>
  <conditionalFormatting sqref="W742">
    <cfRule type="cellIs" operator="equal" dxfId="2101" priority="2101">
      <formula>"Premium"</formula>
    </cfRule>
  </conditionalFormatting>
  <conditionalFormatting sqref="J743">
    <cfRule type="cellIs" operator="equal" dxfId="2102" priority="2102">
      <formula>"R$"</formula>
    </cfRule>
  </conditionalFormatting>
  <conditionalFormatting sqref="K743">
    <cfRule type="cellIs" operator="equal" dxfId="2103" priority="2103">
      <formula>"Com impostos"</formula>
    </cfRule>
  </conditionalFormatting>
  <conditionalFormatting sqref="V743">
    <cfRule type="cellIs" operator="equal" dxfId="2104" priority="2104">
      <formula>"Mercado Envios grátis"</formula>
    </cfRule>
  </conditionalFormatting>
  <conditionalFormatting sqref="W743">
    <cfRule type="cellIs" operator="equal" dxfId="2105" priority="2105">
      <formula>"Premium"</formula>
    </cfRule>
  </conditionalFormatting>
  <conditionalFormatting sqref="J744">
    <cfRule type="cellIs" operator="equal" dxfId="2106" priority="2106">
      <formula>"R$"</formula>
    </cfRule>
  </conditionalFormatting>
  <conditionalFormatting sqref="K744">
    <cfRule type="cellIs" operator="equal" dxfId="2107" priority="2107">
      <formula>"Com impostos"</formula>
    </cfRule>
  </conditionalFormatting>
  <conditionalFormatting sqref="V744">
    <cfRule type="cellIs" operator="equal" dxfId="2108" priority="2108">
      <formula>"Mercado Envios grátis"</formula>
    </cfRule>
  </conditionalFormatting>
  <conditionalFormatting sqref="W744">
    <cfRule type="cellIs" operator="equal" dxfId="2109" priority="2109">
      <formula>"Premium"</formula>
    </cfRule>
  </conditionalFormatting>
  <conditionalFormatting sqref="J745">
    <cfRule type="cellIs" operator="equal" dxfId="2110" priority="2110">
      <formula>"R$"</formula>
    </cfRule>
  </conditionalFormatting>
  <conditionalFormatting sqref="K745">
    <cfRule type="cellIs" operator="equal" dxfId="2111" priority="2111">
      <formula>"Com impostos"</formula>
    </cfRule>
  </conditionalFormatting>
  <conditionalFormatting sqref="V745">
    <cfRule type="cellIs" operator="equal" dxfId="2112" priority="2112">
      <formula>"Mercado Envios grátis"</formula>
    </cfRule>
  </conditionalFormatting>
  <conditionalFormatting sqref="W745">
    <cfRule type="cellIs" operator="equal" dxfId="2113" priority="2113">
      <formula>"Clássico"</formula>
    </cfRule>
  </conditionalFormatting>
  <conditionalFormatting sqref="J746">
    <cfRule type="cellIs" operator="equal" dxfId="2114" priority="2114">
      <formula>"R$"</formula>
    </cfRule>
  </conditionalFormatting>
  <conditionalFormatting sqref="K746">
    <cfRule type="cellIs" operator="equal" dxfId="2115" priority="2115">
      <formula>"Com impostos"</formula>
    </cfRule>
  </conditionalFormatting>
  <conditionalFormatting sqref="V746">
    <cfRule type="cellIs" operator="equal" dxfId="2116" priority="2116">
      <formula>"Mercado Envios grátis"</formula>
    </cfRule>
  </conditionalFormatting>
  <conditionalFormatting sqref="W746">
    <cfRule type="cellIs" operator="equal" dxfId="2117" priority="2117">
      <formula>"Clássico"</formula>
    </cfRule>
  </conditionalFormatting>
  <conditionalFormatting sqref="J747">
    <cfRule type="cellIs" operator="equal" dxfId="2118" priority="2118">
      <formula>"R$"</formula>
    </cfRule>
  </conditionalFormatting>
  <conditionalFormatting sqref="V747">
    <cfRule type="cellIs" operator="equal" dxfId="2119" priority="2119">
      <formula>"Mercado Envios grátis"</formula>
    </cfRule>
  </conditionalFormatting>
  <conditionalFormatting sqref="W747">
    <cfRule type="cellIs" operator="equal" dxfId="2120" priority="2120">
      <formula>"Premium"</formula>
    </cfRule>
  </conditionalFormatting>
  <conditionalFormatting sqref="J748">
    <cfRule type="cellIs" operator="equal" dxfId="2121" priority="2121">
      <formula>"R$"</formula>
    </cfRule>
  </conditionalFormatting>
  <conditionalFormatting sqref="K748">
    <cfRule type="cellIs" operator="equal" dxfId="2122" priority="2122">
      <formula>"Com impostos"</formula>
    </cfRule>
  </conditionalFormatting>
  <conditionalFormatting sqref="V748">
    <cfRule type="cellIs" operator="equal" dxfId="2123" priority="2123">
      <formula>"Mercado Envios grátis"</formula>
    </cfRule>
  </conditionalFormatting>
  <conditionalFormatting sqref="W748">
    <cfRule type="cellIs" operator="equal" dxfId="2124" priority="2124">
      <formula>"Premium"</formula>
    </cfRule>
  </conditionalFormatting>
  <conditionalFormatting sqref="J749">
    <cfRule type="cellIs" operator="equal" dxfId="2125" priority="2125">
      <formula>"R$"</formula>
    </cfRule>
  </conditionalFormatting>
  <conditionalFormatting sqref="K749">
    <cfRule type="cellIs" operator="equal" dxfId="2126" priority="2126">
      <formula>"Com impostos"</formula>
    </cfRule>
  </conditionalFormatting>
  <conditionalFormatting sqref="V749">
    <cfRule type="cellIs" operator="equal" dxfId="2127" priority="2127">
      <formula>"Mercado Envios grátis"</formula>
    </cfRule>
  </conditionalFormatting>
  <conditionalFormatting sqref="W749">
    <cfRule type="cellIs" operator="equal" dxfId="2128" priority="2128">
      <formula>"Premium"</formula>
    </cfRule>
  </conditionalFormatting>
  <conditionalFormatting sqref="J750">
    <cfRule type="cellIs" operator="equal" dxfId="2129" priority="2129">
      <formula>"R$"</formula>
    </cfRule>
  </conditionalFormatting>
  <conditionalFormatting sqref="K750">
    <cfRule type="cellIs" operator="equal" dxfId="2130" priority="2130">
      <formula>"Com impostos"</formula>
    </cfRule>
  </conditionalFormatting>
  <conditionalFormatting sqref="V750">
    <cfRule type="cellIs" operator="equal" dxfId="2131" priority="2131">
      <formula>"Mercado Envios grátis"</formula>
    </cfRule>
  </conditionalFormatting>
  <conditionalFormatting sqref="W750">
    <cfRule type="cellIs" operator="equal" dxfId="2132" priority="2132">
      <formula>"Clássico"</formula>
    </cfRule>
  </conditionalFormatting>
  <conditionalFormatting sqref="J751">
    <cfRule type="cellIs" operator="equal" dxfId="2133" priority="2133">
      <formula>"R$"</formula>
    </cfRule>
  </conditionalFormatting>
  <conditionalFormatting sqref="K751">
    <cfRule type="cellIs" operator="equal" dxfId="2134" priority="2134">
      <formula>"Com impostos"</formula>
    </cfRule>
  </conditionalFormatting>
  <conditionalFormatting sqref="V751">
    <cfRule type="cellIs" operator="equal" dxfId="2135" priority="2135">
      <formula>"Mercado Envios por conta do comprador"</formula>
    </cfRule>
  </conditionalFormatting>
  <conditionalFormatting sqref="W751">
    <cfRule type="cellIs" operator="equal" dxfId="2136" priority="2136">
      <formula>"Clássico"</formula>
    </cfRule>
  </conditionalFormatting>
  <conditionalFormatting sqref="J752">
    <cfRule type="cellIs" operator="equal" dxfId="2137" priority="2137">
      <formula>"R$"</formula>
    </cfRule>
  </conditionalFormatting>
  <conditionalFormatting sqref="K752">
    <cfRule type="cellIs" operator="equal" dxfId="2138" priority="2138">
      <formula>"Com impostos"</formula>
    </cfRule>
  </conditionalFormatting>
  <conditionalFormatting sqref="V752">
    <cfRule type="cellIs" operator="equal" dxfId="2139" priority="2139">
      <formula>"Mercado Envios por conta do comprador"</formula>
    </cfRule>
  </conditionalFormatting>
  <conditionalFormatting sqref="W752">
    <cfRule type="cellIs" operator="equal" dxfId="2140" priority="2140">
      <formula>"Premium"</formula>
    </cfRule>
  </conditionalFormatting>
  <conditionalFormatting sqref="J753">
    <cfRule type="cellIs" operator="equal" dxfId="2141" priority="2141">
      <formula>"R$"</formula>
    </cfRule>
  </conditionalFormatting>
  <conditionalFormatting sqref="K753">
    <cfRule type="cellIs" operator="equal" dxfId="2142" priority="2142">
      <formula>"Com impostos"</formula>
    </cfRule>
  </conditionalFormatting>
  <conditionalFormatting sqref="V753">
    <cfRule type="cellIs" operator="equal" dxfId="2143" priority="2143">
      <formula>"Mercado Envios grátis"</formula>
    </cfRule>
  </conditionalFormatting>
  <conditionalFormatting sqref="W753">
    <cfRule type="cellIs" operator="equal" dxfId="2144" priority="2144">
      <formula>"Clássico"</formula>
    </cfRule>
  </conditionalFormatting>
  <conditionalFormatting sqref="J754">
    <cfRule type="cellIs" operator="equal" dxfId="2145" priority="2145">
      <formula>"R$"</formula>
    </cfRule>
  </conditionalFormatting>
  <conditionalFormatting sqref="K754">
    <cfRule type="cellIs" operator="equal" dxfId="2146" priority="2146">
      <formula>"Com impostos"</formula>
    </cfRule>
  </conditionalFormatting>
  <conditionalFormatting sqref="V754">
    <cfRule type="cellIs" operator="equal" dxfId="2147" priority="2147">
      <formula>"Mercado Envios grátis"</formula>
    </cfRule>
  </conditionalFormatting>
  <conditionalFormatting sqref="W754">
    <cfRule type="cellIs" operator="equal" dxfId="2148" priority="2148">
      <formula>"Clássico"</formula>
    </cfRule>
  </conditionalFormatting>
  <conditionalFormatting sqref="J755">
    <cfRule type="cellIs" operator="equal" dxfId="2149" priority="2149">
      <formula>"R$"</formula>
    </cfRule>
  </conditionalFormatting>
  <conditionalFormatting sqref="V755">
    <cfRule type="cellIs" operator="equal" dxfId="2150" priority="2150">
      <formula>"Mercado Envios por conta do comprador"</formula>
    </cfRule>
  </conditionalFormatting>
  <conditionalFormatting sqref="W755">
    <cfRule type="cellIs" operator="equal" dxfId="2151" priority="2151">
      <formula>"Clássico"</formula>
    </cfRule>
  </conditionalFormatting>
  <conditionalFormatting sqref="J756">
    <cfRule type="cellIs" operator="equal" dxfId="2152" priority="2152">
      <formula>"R$"</formula>
    </cfRule>
  </conditionalFormatting>
  <conditionalFormatting sqref="V756">
    <cfRule type="cellIs" operator="equal" dxfId="2153" priority="2153">
      <formula>"Mercado Envios grátis"</formula>
    </cfRule>
  </conditionalFormatting>
  <conditionalFormatting sqref="W756">
    <cfRule type="cellIs" operator="equal" dxfId="2154" priority="2154">
      <formula>"Clássico"</formula>
    </cfRule>
  </conditionalFormatting>
  <conditionalFormatting sqref="J759">
    <cfRule type="cellIs" operator="equal" dxfId="2155" priority="2155">
      <formula>"R$"</formula>
    </cfRule>
  </conditionalFormatting>
  <conditionalFormatting sqref="K759">
    <cfRule type="cellIs" operator="equal" dxfId="2156" priority="2156">
      <formula>"Com impostos"</formula>
    </cfRule>
  </conditionalFormatting>
  <conditionalFormatting sqref="V759">
    <cfRule type="cellIs" operator="equal" dxfId="2157" priority="2157">
      <formula>"Mercado Envios grátis"</formula>
    </cfRule>
  </conditionalFormatting>
  <conditionalFormatting sqref="W759">
    <cfRule type="cellIs" operator="equal" dxfId="2158" priority="2158">
      <formula>"Clássico"</formula>
    </cfRule>
  </conditionalFormatting>
  <conditionalFormatting sqref="J760">
    <cfRule type="cellIs" operator="equal" dxfId="2159" priority="2159">
      <formula>"R$"</formula>
    </cfRule>
  </conditionalFormatting>
  <conditionalFormatting sqref="K760">
    <cfRule type="cellIs" operator="equal" dxfId="2160" priority="2160">
      <formula>"Com impostos"</formula>
    </cfRule>
  </conditionalFormatting>
  <conditionalFormatting sqref="V760">
    <cfRule type="cellIs" operator="equal" dxfId="2161" priority="2161">
      <formula>"Mercado Envios por conta do comprador"</formula>
    </cfRule>
  </conditionalFormatting>
  <conditionalFormatting sqref="W760">
    <cfRule type="cellIs" operator="equal" dxfId="2162" priority="2162">
      <formula>"Clássico"</formula>
    </cfRule>
  </conditionalFormatting>
  <conditionalFormatting sqref="J761">
    <cfRule type="cellIs" operator="equal" dxfId="2163" priority="2163">
      <formula>"R$"</formula>
    </cfRule>
  </conditionalFormatting>
  <conditionalFormatting sqref="V761">
    <cfRule type="cellIs" operator="equal" dxfId="2164" priority="2164">
      <formula>"Mercado Envios por conta do comprador"</formula>
    </cfRule>
  </conditionalFormatting>
  <conditionalFormatting sqref="W761">
    <cfRule type="cellIs" operator="equal" dxfId="2165" priority="2165">
      <formula>"Clássico"</formula>
    </cfRule>
  </conditionalFormatting>
  <conditionalFormatting sqref="J762">
    <cfRule type="cellIs" operator="equal" dxfId="2166" priority="2166">
      <formula>"R$"</formula>
    </cfRule>
  </conditionalFormatting>
  <conditionalFormatting sqref="K762">
    <cfRule type="cellIs" operator="equal" dxfId="2167" priority="2167">
      <formula>"Com impostos"</formula>
    </cfRule>
  </conditionalFormatting>
  <conditionalFormatting sqref="V762">
    <cfRule type="cellIs" operator="equal" dxfId="2168" priority="2168">
      <formula>"Mercado Envios por conta do comprador"</formula>
    </cfRule>
  </conditionalFormatting>
  <conditionalFormatting sqref="W762">
    <cfRule type="cellIs" operator="equal" dxfId="2169" priority="2169">
      <formula>"Clássico"</formula>
    </cfRule>
  </conditionalFormatting>
  <conditionalFormatting sqref="J763">
    <cfRule type="cellIs" operator="equal" dxfId="2170" priority="2170">
      <formula>"R$"</formula>
    </cfRule>
  </conditionalFormatting>
  <conditionalFormatting sqref="K763">
    <cfRule type="cellIs" operator="equal" dxfId="2171" priority="2171">
      <formula>"Com impostos"</formula>
    </cfRule>
  </conditionalFormatting>
  <conditionalFormatting sqref="V763">
    <cfRule type="cellIs" operator="equal" dxfId="2172" priority="2172">
      <formula>"Mercado Envios grátis"</formula>
    </cfRule>
  </conditionalFormatting>
  <conditionalFormatting sqref="W763">
    <cfRule type="cellIs" operator="equal" dxfId="2173" priority="2173">
      <formula>"Premium"</formula>
    </cfRule>
  </conditionalFormatting>
  <conditionalFormatting sqref="J764">
    <cfRule type="cellIs" operator="equal" dxfId="2174" priority="2174">
      <formula>"R$"</formula>
    </cfRule>
  </conditionalFormatting>
  <conditionalFormatting sqref="K764">
    <cfRule type="cellIs" operator="equal" dxfId="2175" priority="2175">
      <formula>"Com impostos"</formula>
    </cfRule>
  </conditionalFormatting>
  <conditionalFormatting sqref="V764">
    <cfRule type="cellIs" operator="equal" dxfId="2176" priority="2176">
      <formula>"Mercado Envios por conta do comprador"</formula>
    </cfRule>
  </conditionalFormatting>
  <conditionalFormatting sqref="W764">
    <cfRule type="cellIs" operator="equal" dxfId="2177" priority="2177">
      <formula>"Clássico"</formula>
    </cfRule>
  </conditionalFormatting>
  <conditionalFormatting sqref="J765">
    <cfRule type="cellIs" operator="equal" dxfId="2178" priority="2178">
      <formula>"R$"</formula>
    </cfRule>
  </conditionalFormatting>
  <conditionalFormatting sqref="K765">
    <cfRule type="cellIs" operator="equal" dxfId="2179" priority="2179">
      <formula>"Com impostos"</formula>
    </cfRule>
  </conditionalFormatting>
  <conditionalFormatting sqref="V765">
    <cfRule type="cellIs" operator="equal" dxfId="2180" priority="2180">
      <formula>"Mercado Envios por conta do comprador"</formula>
    </cfRule>
  </conditionalFormatting>
  <conditionalFormatting sqref="W765">
    <cfRule type="cellIs" operator="equal" dxfId="2181" priority="2181">
      <formula>"Premium"</formula>
    </cfRule>
  </conditionalFormatting>
  <conditionalFormatting sqref="J766">
    <cfRule type="cellIs" operator="equal" dxfId="2182" priority="2182">
      <formula>"R$"</formula>
    </cfRule>
  </conditionalFormatting>
  <conditionalFormatting sqref="K766">
    <cfRule type="cellIs" operator="equal" dxfId="2183" priority="2183">
      <formula>"Com impostos"</formula>
    </cfRule>
  </conditionalFormatting>
  <conditionalFormatting sqref="V766">
    <cfRule type="cellIs" operator="equal" dxfId="2184" priority="2184">
      <formula>"Mercado Envios grátis"</formula>
    </cfRule>
  </conditionalFormatting>
  <conditionalFormatting sqref="W766">
    <cfRule type="cellIs" operator="equal" dxfId="2185" priority="2185">
      <formula>"Clássico"</formula>
    </cfRule>
  </conditionalFormatting>
  <conditionalFormatting sqref="J767">
    <cfRule type="cellIs" operator="equal" dxfId="2186" priority="2186">
      <formula>"R$"</formula>
    </cfRule>
  </conditionalFormatting>
  <conditionalFormatting sqref="K767">
    <cfRule type="cellIs" operator="equal" dxfId="2187" priority="2187">
      <formula>"Com impostos"</formula>
    </cfRule>
  </conditionalFormatting>
  <conditionalFormatting sqref="V767">
    <cfRule type="cellIs" operator="equal" dxfId="2188" priority="2188">
      <formula>"Mercado Envios grátis"</formula>
    </cfRule>
  </conditionalFormatting>
  <conditionalFormatting sqref="W767">
    <cfRule type="cellIs" operator="equal" dxfId="2189" priority="2189">
      <formula>"Clássico"</formula>
    </cfRule>
  </conditionalFormatting>
  <conditionalFormatting sqref="J768">
    <cfRule type="cellIs" operator="equal" dxfId="2190" priority="2190">
      <formula>"R$"</formula>
    </cfRule>
  </conditionalFormatting>
  <conditionalFormatting sqref="K768">
    <cfRule type="cellIs" operator="equal" dxfId="2191" priority="2191">
      <formula>"Com impostos"</formula>
    </cfRule>
  </conditionalFormatting>
  <conditionalFormatting sqref="V768">
    <cfRule type="cellIs" operator="equal" dxfId="2192" priority="2192">
      <formula>"Mercado Envios grátis"</formula>
    </cfRule>
  </conditionalFormatting>
  <conditionalFormatting sqref="W768">
    <cfRule type="cellIs" operator="equal" dxfId="2193" priority="2193">
      <formula>"Clássico"</formula>
    </cfRule>
  </conditionalFormatting>
  <conditionalFormatting sqref="J769">
    <cfRule type="cellIs" operator="equal" dxfId="2194" priority="2194">
      <formula>"R$"</formula>
    </cfRule>
  </conditionalFormatting>
  <conditionalFormatting sqref="K769">
    <cfRule type="cellIs" operator="equal" dxfId="2195" priority="2195">
      <formula>"Com impostos"</formula>
    </cfRule>
  </conditionalFormatting>
  <conditionalFormatting sqref="V769">
    <cfRule type="cellIs" operator="equal" dxfId="2196" priority="2196">
      <formula>"Mercado Envios grátis"</formula>
    </cfRule>
  </conditionalFormatting>
  <conditionalFormatting sqref="W769">
    <cfRule type="cellIs" operator="equal" dxfId="2197" priority="2197">
      <formula>"Clássico"</formula>
    </cfRule>
  </conditionalFormatting>
  <conditionalFormatting sqref="J770">
    <cfRule type="cellIs" operator="equal" dxfId="2198" priority="2198">
      <formula>"R$"</formula>
    </cfRule>
  </conditionalFormatting>
  <conditionalFormatting sqref="K770">
    <cfRule type="cellIs" operator="equal" dxfId="2199" priority="2199">
      <formula>"Com impostos"</formula>
    </cfRule>
  </conditionalFormatting>
  <conditionalFormatting sqref="V770">
    <cfRule type="cellIs" operator="equal" dxfId="2200" priority="2200">
      <formula>"Mercado Envios grátis"</formula>
    </cfRule>
  </conditionalFormatting>
  <conditionalFormatting sqref="W770">
    <cfRule type="cellIs" operator="equal" dxfId="2201" priority="2201">
      <formula>"Clássico"</formula>
    </cfRule>
  </conditionalFormatting>
  <conditionalFormatting sqref="J771">
    <cfRule type="cellIs" operator="equal" dxfId="2202" priority="2202">
      <formula>"R$"</formula>
    </cfRule>
  </conditionalFormatting>
  <conditionalFormatting sqref="V771">
    <cfRule type="cellIs" operator="equal" dxfId="2203" priority="2203">
      <formula>"Mercado Envios grátis"</formula>
    </cfRule>
  </conditionalFormatting>
  <conditionalFormatting sqref="W771">
    <cfRule type="cellIs" operator="equal" dxfId="2204" priority="2204">
      <formula>"Premium"</formula>
    </cfRule>
  </conditionalFormatting>
  <conditionalFormatting sqref="J774">
    <cfRule type="cellIs" operator="equal" dxfId="2205" priority="2205">
      <formula>"R$"</formula>
    </cfRule>
  </conditionalFormatting>
  <conditionalFormatting sqref="K774">
    <cfRule type="cellIs" operator="equal" dxfId="2206" priority="2206">
      <formula>"Com impostos"</formula>
    </cfRule>
  </conditionalFormatting>
  <conditionalFormatting sqref="V774">
    <cfRule type="cellIs" operator="equal" dxfId="2207" priority="2207">
      <formula>"Mercado Envios grátis"</formula>
    </cfRule>
  </conditionalFormatting>
  <conditionalFormatting sqref="W774">
    <cfRule type="cellIs" operator="equal" dxfId="2208" priority="2208">
      <formula>"Clássico"</formula>
    </cfRule>
  </conditionalFormatting>
  <conditionalFormatting sqref="J775">
    <cfRule type="cellIs" operator="equal" dxfId="2209" priority="2209">
      <formula>"R$"</formula>
    </cfRule>
  </conditionalFormatting>
  <conditionalFormatting sqref="V775">
    <cfRule type="cellIs" operator="equal" dxfId="2210" priority="2210">
      <formula>"Mercado Envios por conta do comprador"</formula>
    </cfRule>
  </conditionalFormatting>
  <conditionalFormatting sqref="W775">
    <cfRule type="cellIs" operator="equal" dxfId="2211" priority="2211">
      <formula>"Clássico"</formula>
    </cfRule>
  </conditionalFormatting>
  <conditionalFormatting sqref="J776">
    <cfRule type="cellIs" operator="equal" dxfId="2212" priority="2212">
      <formula>"R$"</formula>
    </cfRule>
  </conditionalFormatting>
  <conditionalFormatting sqref="K776">
    <cfRule type="cellIs" operator="equal" dxfId="2213" priority="2213">
      <formula>"Com impostos"</formula>
    </cfRule>
  </conditionalFormatting>
  <conditionalFormatting sqref="V776">
    <cfRule type="cellIs" operator="equal" dxfId="2214" priority="2214">
      <formula>"Mercado Envios grátis"</formula>
    </cfRule>
  </conditionalFormatting>
  <conditionalFormatting sqref="W776">
    <cfRule type="cellIs" operator="equal" dxfId="2215" priority="2215">
      <formula>"Clássico"</formula>
    </cfRule>
  </conditionalFormatting>
  <conditionalFormatting sqref="J777">
    <cfRule type="cellIs" operator="equal" dxfId="2216" priority="2216">
      <formula>"R$"</formula>
    </cfRule>
  </conditionalFormatting>
  <conditionalFormatting sqref="K777">
    <cfRule type="cellIs" operator="equal" dxfId="2217" priority="2217">
      <formula>"Com impostos"</formula>
    </cfRule>
  </conditionalFormatting>
  <conditionalFormatting sqref="V777">
    <cfRule type="cellIs" operator="equal" dxfId="2218" priority="2218">
      <formula>"Mercado Envios grátis"</formula>
    </cfRule>
  </conditionalFormatting>
  <conditionalFormatting sqref="W777">
    <cfRule type="cellIs" operator="equal" dxfId="2219" priority="2219">
      <formula>"Premium"</formula>
    </cfRule>
  </conditionalFormatting>
  <conditionalFormatting sqref="J778">
    <cfRule type="cellIs" operator="equal" dxfId="2220" priority="2220">
      <formula>"R$"</formula>
    </cfRule>
  </conditionalFormatting>
  <conditionalFormatting sqref="K778">
    <cfRule type="cellIs" operator="equal" dxfId="2221" priority="2221">
      <formula>"Com impostos"</formula>
    </cfRule>
  </conditionalFormatting>
  <conditionalFormatting sqref="V778">
    <cfRule type="cellIs" operator="equal" dxfId="2222" priority="2222">
      <formula>"Mercado Envios grátis"</formula>
    </cfRule>
  </conditionalFormatting>
  <conditionalFormatting sqref="W778">
    <cfRule type="cellIs" operator="equal" dxfId="2223" priority="2223">
      <formula>"Clássico"</formula>
    </cfRule>
  </conditionalFormatting>
  <conditionalFormatting sqref="J779">
    <cfRule type="cellIs" operator="equal" dxfId="2224" priority="2224">
      <formula>"R$"</formula>
    </cfRule>
  </conditionalFormatting>
  <conditionalFormatting sqref="K779">
    <cfRule type="cellIs" operator="equal" dxfId="2225" priority="2225">
      <formula>"Com impostos"</formula>
    </cfRule>
  </conditionalFormatting>
  <conditionalFormatting sqref="V779">
    <cfRule type="cellIs" operator="equal" dxfId="2226" priority="2226">
      <formula>"Mercado Envios por conta do comprador"</formula>
    </cfRule>
  </conditionalFormatting>
  <conditionalFormatting sqref="W779">
    <cfRule type="cellIs" operator="equal" dxfId="2227" priority="2227">
      <formula>"Clássico"</formula>
    </cfRule>
  </conditionalFormatting>
  <conditionalFormatting sqref="J780">
    <cfRule type="cellIs" operator="equal" dxfId="2228" priority="2228">
      <formula>"R$"</formula>
    </cfRule>
  </conditionalFormatting>
  <conditionalFormatting sqref="K780">
    <cfRule type="cellIs" operator="equal" dxfId="2229" priority="2229">
      <formula>"Com impostos"</formula>
    </cfRule>
  </conditionalFormatting>
  <conditionalFormatting sqref="V780">
    <cfRule type="cellIs" operator="equal" dxfId="2230" priority="2230">
      <formula>"Mercado Envios grátis"</formula>
    </cfRule>
  </conditionalFormatting>
  <conditionalFormatting sqref="W780">
    <cfRule type="cellIs" operator="equal" dxfId="2231" priority="2231">
      <formula>"Premium"</formula>
    </cfRule>
  </conditionalFormatting>
  <conditionalFormatting sqref="J781">
    <cfRule type="cellIs" operator="equal" dxfId="2232" priority="2232">
      <formula>"R$"</formula>
    </cfRule>
  </conditionalFormatting>
  <conditionalFormatting sqref="K781">
    <cfRule type="cellIs" operator="equal" dxfId="2233" priority="2233">
      <formula>"Com impostos"</formula>
    </cfRule>
  </conditionalFormatting>
  <conditionalFormatting sqref="V781">
    <cfRule type="cellIs" operator="equal" dxfId="2234" priority="2234">
      <formula>"Mercado Envios grátis"</formula>
    </cfRule>
  </conditionalFormatting>
  <conditionalFormatting sqref="W781">
    <cfRule type="cellIs" operator="equal" dxfId="2235" priority="2235">
      <formula>"Clássico"</formula>
    </cfRule>
  </conditionalFormatting>
  <conditionalFormatting sqref="J782">
    <cfRule type="cellIs" operator="equal" dxfId="2236" priority="2236">
      <formula>"R$"</formula>
    </cfRule>
  </conditionalFormatting>
  <conditionalFormatting sqref="K782">
    <cfRule type="cellIs" operator="equal" dxfId="2237" priority="2237">
      <formula>"Com impostos"</formula>
    </cfRule>
  </conditionalFormatting>
  <conditionalFormatting sqref="V782">
    <cfRule type="cellIs" operator="equal" dxfId="2238" priority="2238">
      <formula>"Mercado Envios grátis"</formula>
    </cfRule>
  </conditionalFormatting>
  <conditionalFormatting sqref="W782">
    <cfRule type="cellIs" operator="equal" dxfId="2239" priority="2239">
      <formula>"Clássico"</formula>
    </cfRule>
  </conditionalFormatting>
  <conditionalFormatting sqref="J783">
    <cfRule type="cellIs" operator="equal" dxfId="2240" priority="2240">
      <formula>"R$"</formula>
    </cfRule>
  </conditionalFormatting>
  <conditionalFormatting sqref="K783">
    <cfRule type="cellIs" operator="equal" dxfId="2241" priority="2241">
      <formula>"Com impostos"</formula>
    </cfRule>
  </conditionalFormatting>
  <conditionalFormatting sqref="V783">
    <cfRule type="cellIs" operator="equal" dxfId="2242" priority="2242">
      <formula>"Mercado Envios grátis"</formula>
    </cfRule>
  </conditionalFormatting>
  <conditionalFormatting sqref="W783">
    <cfRule type="cellIs" operator="equal" dxfId="2243" priority="2243">
      <formula>"Premium"</formula>
    </cfRule>
  </conditionalFormatting>
  <conditionalFormatting sqref="J784">
    <cfRule type="cellIs" operator="equal" dxfId="2244" priority="2244">
      <formula>"R$"</formula>
    </cfRule>
  </conditionalFormatting>
  <conditionalFormatting sqref="K784">
    <cfRule type="cellIs" operator="equal" dxfId="2245" priority="2245">
      <formula>"Com impostos"</formula>
    </cfRule>
  </conditionalFormatting>
  <conditionalFormatting sqref="V784">
    <cfRule type="cellIs" operator="equal" dxfId="2246" priority="2246">
      <formula>"Mercado Envios grátis"</formula>
    </cfRule>
  </conditionalFormatting>
  <conditionalFormatting sqref="W784">
    <cfRule type="cellIs" operator="equal" dxfId="2247" priority="2247">
      <formula>"Premium"</formula>
    </cfRule>
  </conditionalFormatting>
  <conditionalFormatting sqref="J785">
    <cfRule type="cellIs" operator="equal" dxfId="2248" priority="2248">
      <formula>"R$"</formula>
    </cfRule>
  </conditionalFormatting>
  <conditionalFormatting sqref="K785">
    <cfRule type="cellIs" operator="equal" dxfId="2249" priority="2249">
      <formula>"Com impostos"</formula>
    </cfRule>
  </conditionalFormatting>
  <conditionalFormatting sqref="V785">
    <cfRule type="cellIs" operator="equal" dxfId="2250" priority="2250">
      <formula>"Mercado Envios grátis"</formula>
    </cfRule>
  </conditionalFormatting>
  <conditionalFormatting sqref="W785">
    <cfRule type="cellIs" operator="equal" dxfId="2251" priority="2251">
      <formula>"Premium"</formula>
    </cfRule>
  </conditionalFormatting>
  <conditionalFormatting sqref="J786">
    <cfRule type="cellIs" operator="equal" dxfId="2252" priority="2252">
      <formula>"R$"</formula>
    </cfRule>
  </conditionalFormatting>
  <conditionalFormatting sqref="K786">
    <cfRule type="cellIs" operator="equal" dxfId="2253" priority="2253">
      <formula>"Com impostos"</formula>
    </cfRule>
  </conditionalFormatting>
  <conditionalFormatting sqref="V786">
    <cfRule type="cellIs" operator="equal" dxfId="2254" priority="2254">
      <formula>"Mercado Envios grátis"</formula>
    </cfRule>
  </conditionalFormatting>
  <conditionalFormatting sqref="W786">
    <cfRule type="cellIs" operator="equal" dxfId="2255" priority="2255">
      <formula>"Clássico"</formula>
    </cfRule>
  </conditionalFormatting>
  <conditionalFormatting sqref="J787">
    <cfRule type="cellIs" operator="equal" dxfId="2256" priority="2256">
      <formula>"R$"</formula>
    </cfRule>
  </conditionalFormatting>
  <conditionalFormatting sqref="K787">
    <cfRule type="cellIs" operator="equal" dxfId="2257" priority="2257">
      <formula>"Com impostos"</formula>
    </cfRule>
  </conditionalFormatting>
  <conditionalFormatting sqref="V787">
    <cfRule type="cellIs" operator="equal" dxfId="2258" priority="2258">
      <formula>"Mercado Envios grátis"</formula>
    </cfRule>
  </conditionalFormatting>
  <conditionalFormatting sqref="W787">
    <cfRule type="cellIs" operator="equal" dxfId="2259" priority="2259">
      <formula>"Clássico"</formula>
    </cfRule>
  </conditionalFormatting>
  <conditionalFormatting sqref="J788">
    <cfRule type="cellIs" operator="equal" dxfId="2260" priority="2260">
      <formula>"R$"</formula>
    </cfRule>
  </conditionalFormatting>
  <conditionalFormatting sqref="K788">
    <cfRule type="cellIs" operator="equal" dxfId="2261" priority="2261">
      <formula>"Com impostos"</formula>
    </cfRule>
  </conditionalFormatting>
  <conditionalFormatting sqref="V788">
    <cfRule type="cellIs" operator="equal" dxfId="2262" priority="2262">
      <formula>"Mercado Envios grátis"</formula>
    </cfRule>
  </conditionalFormatting>
  <conditionalFormatting sqref="W788">
    <cfRule type="cellIs" operator="equal" dxfId="2263" priority="2263">
      <formula>"Clássico"</formula>
    </cfRule>
  </conditionalFormatting>
  <conditionalFormatting sqref="J789">
    <cfRule type="cellIs" operator="equal" dxfId="2264" priority="2264">
      <formula>"R$"</formula>
    </cfRule>
  </conditionalFormatting>
  <conditionalFormatting sqref="K789">
    <cfRule type="cellIs" operator="equal" dxfId="2265" priority="2265">
      <formula>"Com impostos"</formula>
    </cfRule>
  </conditionalFormatting>
  <conditionalFormatting sqref="V789">
    <cfRule type="cellIs" operator="equal" dxfId="2266" priority="2266">
      <formula>"Mercado Envios grátis"</formula>
    </cfRule>
  </conditionalFormatting>
  <conditionalFormatting sqref="W789">
    <cfRule type="cellIs" operator="equal" dxfId="2267" priority="2267">
      <formula>"Clássico"</formula>
    </cfRule>
  </conditionalFormatting>
  <conditionalFormatting sqref="J790">
    <cfRule type="cellIs" operator="equal" dxfId="2268" priority="2268">
      <formula>"R$"</formula>
    </cfRule>
  </conditionalFormatting>
  <conditionalFormatting sqref="K790">
    <cfRule type="cellIs" operator="equal" dxfId="2269" priority="2269">
      <formula>"Com impostos"</formula>
    </cfRule>
  </conditionalFormatting>
  <conditionalFormatting sqref="V790">
    <cfRule type="cellIs" operator="equal" dxfId="2270" priority="2270">
      <formula>"Mercado Envios grátis"</formula>
    </cfRule>
  </conditionalFormatting>
  <conditionalFormatting sqref="W790">
    <cfRule type="cellIs" operator="equal" dxfId="2271" priority="2271">
      <formula>"Premium"</formula>
    </cfRule>
  </conditionalFormatting>
  <conditionalFormatting sqref="J791">
    <cfRule type="cellIs" operator="equal" dxfId="2272" priority="2272">
      <formula>"R$"</formula>
    </cfRule>
  </conditionalFormatting>
  <conditionalFormatting sqref="K791">
    <cfRule type="cellIs" operator="equal" dxfId="2273" priority="2273">
      <formula>"Com impostos"</formula>
    </cfRule>
  </conditionalFormatting>
  <conditionalFormatting sqref="V791">
    <cfRule type="cellIs" operator="equal" dxfId="2274" priority="2274">
      <formula>"Mercado Envios grátis"</formula>
    </cfRule>
  </conditionalFormatting>
  <conditionalFormatting sqref="W791">
    <cfRule type="cellIs" operator="equal" dxfId="2275" priority="2275">
      <formula>"Premium"</formula>
    </cfRule>
  </conditionalFormatting>
  <conditionalFormatting sqref="J792">
    <cfRule type="cellIs" operator="equal" dxfId="2276" priority="2276">
      <formula>"R$"</formula>
    </cfRule>
  </conditionalFormatting>
  <conditionalFormatting sqref="K792">
    <cfRule type="cellIs" operator="equal" dxfId="2277" priority="2277">
      <formula>"Com impostos"</formula>
    </cfRule>
  </conditionalFormatting>
  <conditionalFormatting sqref="V792">
    <cfRule type="cellIs" operator="equal" dxfId="2278" priority="2278">
      <formula>"Mercado Envios grátis"</formula>
    </cfRule>
  </conditionalFormatting>
  <conditionalFormatting sqref="W792">
    <cfRule type="cellIs" operator="equal" dxfId="2279" priority="2279">
      <formula>"Premium"</formula>
    </cfRule>
  </conditionalFormatting>
  <conditionalFormatting sqref="J793">
    <cfRule type="cellIs" operator="equal" dxfId="2280" priority="2280">
      <formula>"R$"</formula>
    </cfRule>
  </conditionalFormatting>
  <conditionalFormatting sqref="K793">
    <cfRule type="cellIs" operator="equal" dxfId="2281" priority="2281">
      <formula>"Com impostos"</formula>
    </cfRule>
  </conditionalFormatting>
  <conditionalFormatting sqref="V793">
    <cfRule type="cellIs" operator="equal" dxfId="2282" priority="2282">
      <formula>"Mercado Envios grátis"</formula>
    </cfRule>
  </conditionalFormatting>
  <conditionalFormatting sqref="W793">
    <cfRule type="cellIs" operator="equal" dxfId="2283" priority="2283">
      <formula>"Clássico"</formula>
    </cfRule>
  </conditionalFormatting>
  <conditionalFormatting sqref="J794">
    <cfRule type="cellIs" operator="equal" dxfId="2284" priority="2284">
      <formula>"R$"</formula>
    </cfRule>
  </conditionalFormatting>
  <conditionalFormatting sqref="K794">
    <cfRule type="cellIs" operator="equal" dxfId="2285" priority="2285">
      <formula>"Com impostos"</formula>
    </cfRule>
  </conditionalFormatting>
  <conditionalFormatting sqref="V794">
    <cfRule type="cellIs" operator="equal" dxfId="2286" priority="2286">
      <formula>"Mercado Envios grátis"</formula>
    </cfRule>
  </conditionalFormatting>
  <conditionalFormatting sqref="W794">
    <cfRule type="cellIs" operator="equal" dxfId="2287" priority="2287">
      <formula>"Clássico"</formula>
    </cfRule>
  </conditionalFormatting>
  <conditionalFormatting sqref="J795">
    <cfRule type="cellIs" operator="equal" dxfId="2288" priority="2288">
      <formula>"R$"</formula>
    </cfRule>
  </conditionalFormatting>
  <conditionalFormatting sqref="K795">
    <cfRule type="cellIs" operator="equal" dxfId="2289" priority="2289">
      <formula>"Com impostos"</formula>
    </cfRule>
  </conditionalFormatting>
  <conditionalFormatting sqref="V795">
    <cfRule type="cellIs" operator="equal" dxfId="2290" priority="2290">
      <formula>"Mercado Envios grátis"</formula>
    </cfRule>
  </conditionalFormatting>
  <conditionalFormatting sqref="W795">
    <cfRule type="cellIs" operator="equal" dxfId="2291" priority="2291">
      <formula>"Premium"</formula>
    </cfRule>
  </conditionalFormatting>
  <conditionalFormatting sqref="J796">
    <cfRule type="cellIs" operator="equal" dxfId="2292" priority="2292">
      <formula>"R$"</formula>
    </cfRule>
  </conditionalFormatting>
  <conditionalFormatting sqref="K796">
    <cfRule type="cellIs" operator="equal" dxfId="2293" priority="2293">
      <formula>"Com impostos"</formula>
    </cfRule>
  </conditionalFormatting>
  <conditionalFormatting sqref="V796">
    <cfRule type="cellIs" operator="equal" dxfId="2294" priority="2294">
      <formula>"Mercado Envios grátis"</formula>
    </cfRule>
  </conditionalFormatting>
  <conditionalFormatting sqref="W796">
    <cfRule type="cellIs" operator="equal" dxfId="2295" priority="2295">
      <formula>"Premium"</formula>
    </cfRule>
  </conditionalFormatting>
  <conditionalFormatting sqref="J797">
    <cfRule type="cellIs" operator="equal" dxfId="2296" priority="2296">
      <formula>"R$"</formula>
    </cfRule>
  </conditionalFormatting>
  <conditionalFormatting sqref="K797">
    <cfRule type="cellIs" operator="equal" dxfId="2297" priority="2297">
      <formula>"Com impostos"</formula>
    </cfRule>
  </conditionalFormatting>
  <conditionalFormatting sqref="V797">
    <cfRule type="cellIs" operator="equal" dxfId="2298" priority="2298">
      <formula>"Mercado Envios grátis"</formula>
    </cfRule>
  </conditionalFormatting>
  <conditionalFormatting sqref="W797">
    <cfRule type="cellIs" operator="equal" dxfId="2299" priority="2299">
      <formula>"Clássico"</formula>
    </cfRule>
  </conditionalFormatting>
  <conditionalFormatting sqref="J798">
    <cfRule type="cellIs" operator="equal" dxfId="2300" priority="2300">
      <formula>"R$"</formula>
    </cfRule>
  </conditionalFormatting>
  <conditionalFormatting sqref="K798">
    <cfRule type="cellIs" operator="equal" dxfId="2301" priority="2301">
      <formula>"Com impostos"</formula>
    </cfRule>
  </conditionalFormatting>
  <conditionalFormatting sqref="V798">
    <cfRule type="cellIs" operator="equal" dxfId="2302" priority="2302">
      <formula>"Mercado Envios grátis"</formula>
    </cfRule>
  </conditionalFormatting>
  <conditionalFormatting sqref="W798">
    <cfRule type="cellIs" operator="equal" dxfId="2303" priority="2303">
      <formula>"Clássico"</formula>
    </cfRule>
  </conditionalFormatting>
  <conditionalFormatting sqref="J799">
    <cfRule type="cellIs" operator="equal" dxfId="2304" priority="2304">
      <formula>"R$"</formula>
    </cfRule>
  </conditionalFormatting>
  <conditionalFormatting sqref="K799">
    <cfRule type="cellIs" operator="equal" dxfId="2305" priority="2305">
      <formula>"Com impostos"</formula>
    </cfRule>
  </conditionalFormatting>
  <conditionalFormatting sqref="V799">
    <cfRule type="cellIs" operator="equal" dxfId="2306" priority="2306">
      <formula>"Mercado Envios grátis"</formula>
    </cfRule>
  </conditionalFormatting>
  <conditionalFormatting sqref="W799">
    <cfRule type="cellIs" operator="equal" dxfId="2307" priority="2307">
      <formula>"Clássico"</formula>
    </cfRule>
  </conditionalFormatting>
  <conditionalFormatting sqref="J800">
    <cfRule type="cellIs" operator="equal" dxfId="2308" priority="2308">
      <formula>"R$"</formula>
    </cfRule>
  </conditionalFormatting>
  <conditionalFormatting sqref="K800">
    <cfRule type="cellIs" operator="equal" dxfId="2309" priority="2309">
      <formula>"Com impostos"</formula>
    </cfRule>
  </conditionalFormatting>
  <conditionalFormatting sqref="V800">
    <cfRule type="cellIs" operator="equal" dxfId="2310" priority="2310">
      <formula>"Mercado Envios grátis"</formula>
    </cfRule>
  </conditionalFormatting>
  <conditionalFormatting sqref="W800">
    <cfRule type="cellIs" operator="equal" dxfId="2311" priority="2311">
      <formula>"Premium"</formula>
    </cfRule>
  </conditionalFormatting>
  <conditionalFormatting sqref="J801">
    <cfRule type="cellIs" operator="equal" dxfId="2312" priority="2312">
      <formula>"R$"</formula>
    </cfRule>
  </conditionalFormatting>
  <conditionalFormatting sqref="K801">
    <cfRule type="cellIs" operator="equal" dxfId="2313" priority="2313">
      <formula>"Com impostos"</formula>
    </cfRule>
  </conditionalFormatting>
  <conditionalFormatting sqref="V801">
    <cfRule type="cellIs" operator="equal" dxfId="2314" priority="2314">
      <formula>"Mercado Envios por conta do comprador"</formula>
    </cfRule>
  </conditionalFormatting>
  <conditionalFormatting sqref="W801">
    <cfRule type="cellIs" operator="equal" dxfId="2315" priority="2315">
      <formula>"Clássico"</formula>
    </cfRule>
  </conditionalFormatting>
  <conditionalFormatting sqref="J802">
    <cfRule type="cellIs" operator="equal" dxfId="2316" priority="2316">
      <formula>"R$"</formula>
    </cfRule>
  </conditionalFormatting>
  <conditionalFormatting sqref="K802">
    <cfRule type="cellIs" operator="equal" dxfId="2317" priority="2317">
      <formula>"Com impostos"</formula>
    </cfRule>
  </conditionalFormatting>
  <conditionalFormatting sqref="V802">
    <cfRule type="cellIs" operator="equal" dxfId="2318" priority="2318">
      <formula>"Mercado Envios grátis"</formula>
    </cfRule>
  </conditionalFormatting>
  <conditionalFormatting sqref="W802">
    <cfRule type="cellIs" operator="equal" dxfId="2319" priority="2319">
      <formula>"Clássico"</formula>
    </cfRule>
  </conditionalFormatting>
  <conditionalFormatting sqref="J803">
    <cfRule type="cellIs" operator="equal" dxfId="2320" priority="2320">
      <formula>"R$"</formula>
    </cfRule>
  </conditionalFormatting>
  <conditionalFormatting sqref="K803">
    <cfRule type="cellIs" operator="equal" dxfId="2321" priority="2321">
      <formula>"Com impostos"</formula>
    </cfRule>
  </conditionalFormatting>
  <conditionalFormatting sqref="V803">
    <cfRule type="cellIs" operator="equal" dxfId="2322" priority="2322">
      <formula>"Mercado Envios grátis"</formula>
    </cfRule>
  </conditionalFormatting>
  <conditionalFormatting sqref="W803">
    <cfRule type="cellIs" operator="equal" dxfId="2323" priority="2323">
      <formula>"Premium"</formula>
    </cfRule>
  </conditionalFormatting>
  <conditionalFormatting sqref="J804">
    <cfRule type="cellIs" operator="equal" dxfId="2324" priority="2324">
      <formula>"R$"</formula>
    </cfRule>
  </conditionalFormatting>
  <conditionalFormatting sqref="K804">
    <cfRule type="cellIs" operator="equal" dxfId="2325" priority="2325">
      <formula>"Com impostos"</formula>
    </cfRule>
  </conditionalFormatting>
  <conditionalFormatting sqref="V804">
    <cfRule type="cellIs" operator="equal" dxfId="2326" priority="2326">
      <formula>"Mercado Envios grátis"</formula>
    </cfRule>
  </conditionalFormatting>
  <conditionalFormatting sqref="W804">
    <cfRule type="cellIs" operator="equal" dxfId="2327" priority="2327">
      <formula>"Clássico"</formula>
    </cfRule>
  </conditionalFormatting>
  <conditionalFormatting sqref="J805">
    <cfRule type="cellIs" operator="equal" dxfId="2328" priority="2328">
      <formula>"R$"</formula>
    </cfRule>
  </conditionalFormatting>
  <conditionalFormatting sqref="K805">
    <cfRule type="cellIs" operator="equal" dxfId="2329" priority="2329">
      <formula>"Com impostos"</formula>
    </cfRule>
  </conditionalFormatting>
  <conditionalFormatting sqref="V805">
    <cfRule type="cellIs" operator="equal" dxfId="2330" priority="2330">
      <formula>"Mercado Envios grátis"</formula>
    </cfRule>
  </conditionalFormatting>
  <conditionalFormatting sqref="W805">
    <cfRule type="cellIs" operator="equal" dxfId="2331" priority="2331">
      <formula>"Clássico"</formula>
    </cfRule>
  </conditionalFormatting>
  <conditionalFormatting sqref="J806">
    <cfRule type="cellIs" operator="equal" dxfId="2332" priority="2332">
      <formula>"R$"</formula>
    </cfRule>
  </conditionalFormatting>
  <conditionalFormatting sqref="K806">
    <cfRule type="cellIs" operator="equal" dxfId="2333" priority="2333">
      <formula>"Com impostos"</formula>
    </cfRule>
  </conditionalFormatting>
  <conditionalFormatting sqref="V806">
    <cfRule type="cellIs" operator="equal" dxfId="2334" priority="2334">
      <formula>"Mercado Envios grátis"</formula>
    </cfRule>
  </conditionalFormatting>
  <conditionalFormatting sqref="W806">
    <cfRule type="cellIs" operator="equal" dxfId="2335" priority="2335">
      <formula>"Premium"</formula>
    </cfRule>
  </conditionalFormatting>
  <conditionalFormatting sqref="J807">
    <cfRule type="cellIs" operator="equal" dxfId="2336" priority="2336">
      <formula>"R$"</formula>
    </cfRule>
  </conditionalFormatting>
  <conditionalFormatting sqref="K807">
    <cfRule type="cellIs" operator="equal" dxfId="2337" priority="2337">
      <formula>"Com impostos"</formula>
    </cfRule>
  </conditionalFormatting>
  <conditionalFormatting sqref="V807">
    <cfRule type="cellIs" operator="equal" dxfId="2338" priority="2338">
      <formula>"Mercado Envios grátis"</formula>
    </cfRule>
  </conditionalFormatting>
  <conditionalFormatting sqref="W807">
    <cfRule type="cellIs" operator="equal" dxfId="2339" priority="2339">
      <formula>"Premium"</formula>
    </cfRule>
  </conditionalFormatting>
  <conditionalFormatting sqref="J808">
    <cfRule type="cellIs" operator="equal" dxfId="2340" priority="2340">
      <formula>"R$"</formula>
    </cfRule>
  </conditionalFormatting>
  <conditionalFormatting sqref="V808">
    <cfRule type="cellIs" operator="equal" dxfId="2341" priority="2341">
      <formula>"Mercado Envios por conta do comprador"</formula>
    </cfRule>
  </conditionalFormatting>
  <conditionalFormatting sqref="W808">
    <cfRule type="cellIs" operator="equal" dxfId="2342" priority="2342">
      <formula>"Clássico"</formula>
    </cfRule>
  </conditionalFormatting>
  <conditionalFormatting sqref="J809">
    <cfRule type="cellIs" operator="equal" dxfId="2343" priority="2343">
      <formula>"R$"</formula>
    </cfRule>
  </conditionalFormatting>
  <conditionalFormatting sqref="K809">
    <cfRule type="cellIs" operator="equal" dxfId="2344" priority="2344">
      <formula>"Com impostos"</formula>
    </cfRule>
  </conditionalFormatting>
  <conditionalFormatting sqref="V809">
    <cfRule type="cellIs" operator="equal" dxfId="2345" priority="2345">
      <formula>"Mercado Envios grátis"</formula>
    </cfRule>
  </conditionalFormatting>
  <conditionalFormatting sqref="W809">
    <cfRule type="cellIs" operator="equal" dxfId="2346" priority="2346">
      <formula>"Premium"</formula>
    </cfRule>
  </conditionalFormatting>
  <conditionalFormatting sqref="J810">
    <cfRule type="cellIs" operator="equal" dxfId="2347" priority="2347">
      <formula>"R$"</formula>
    </cfRule>
  </conditionalFormatting>
  <conditionalFormatting sqref="K810">
    <cfRule type="cellIs" operator="equal" dxfId="2348" priority="2348">
      <formula>"Com impostos"</formula>
    </cfRule>
  </conditionalFormatting>
  <conditionalFormatting sqref="V810">
    <cfRule type="cellIs" operator="equal" dxfId="2349" priority="2349">
      <formula>"Mercado Envios por conta do comprador"</formula>
    </cfRule>
  </conditionalFormatting>
  <conditionalFormatting sqref="W810">
    <cfRule type="cellIs" operator="equal" dxfId="2350" priority="2350">
      <formula>"Clássico"</formula>
    </cfRule>
  </conditionalFormatting>
  <conditionalFormatting sqref="J811">
    <cfRule type="cellIs" operator="equal" dxfId="2351" priority="2351">
      <formula>"R$"</formula>
    </cfRule>
  </conditionalFormatting>
  <conditionalFormatting sqref="K811">
    <cfRule type="cellIs" operator="equal" dxfId="2352" priority="2352">
      <formula>"Com impostos"</formula>
    </cfRule>
  </conditionalFormatting>
  <conditionalFormatting sqref="V811">
    <cfRule type="cellIs" operator="equal" dxfId="2353" priority="2353">
      <formula>"Mercado Envios por conta do comprador"</formula>
    </cfRule>
  </conditionalFormatting>
  <conditionalFormatting sqref="W811">
    <cfRule type="cellIs" operator="equal" dxfId="2354" priority="2354">
      <formula>"Clássico"</formula>
    </cfRule>
  </conditionalFormatting>
  <conditionalFormatting sqref="J812">
    <cfRule type="cellIs" operator="equal" dxfId="2355" priority="2355">
      <formula>"R$"</formula>
    </cfRule>
  </conditionalFormatting>
  <conditionalFormatting sqref="K812">
    <cfRule type="cellIs" operator="equal" dxfId="2356" priority="2356">
      <formula>"Com impostos"</formula>
    </cfRule>
  </conditionalFormatting>
  <conditionalFormatting sqref="V812">
    <cfRule type="cellIs" operator="equal" dxfId="2357" priority="2357">
      <formula>"Mercado Envios grátis"</formula>
    </cfRule>
  </conditionalFormatting>
  <conditionalFormatting sqref="W812">
    <cfRule type="cellIs" operator="equal" dxfId="2358" priority="2358">
      <formula>"Premium"</formula>
    </cfRule>
  </conditionalFormatting>
  <conditionalFormatting sqref="J813">
    <cfRule type="cellIs" operator="equal" dxfId="2359" priority="2359">
      <formula>"R$"</formula>
    </cfRule>
  </conditionalFormatting>
  <conditionalFormatting sqref="V813">
    <cfRule type="cellIs" operator="equal" dxfId="2360" priority="2360">
      <formula>"Mercado Envios grátis"</formula>
    </cfRule>
  </conditionalFormatting>
  <conditionalFormatting sqref="W813">
    <cfRule type="cellIs" operator="equal" dxfId="2361" priority="2361">
      <formula>"Clássico"</formula>
    </cfRule>
  </conditionalFormatting>
  <conditionalFormatting sqref="J814">
    <cfRule type="cellIs" operator="equal" dxfId="2362" priority="2362">
      <formula>"R$"</formula>
    </cfRule>
  </conditionalFormatting>
  <conditionalFormatting sqref="K814">
    <cfRule type="cellIs" operator="equal" dxfId="2363" priority="2363">
      <formula>"Com impostos"</formula>
    </cfRule>
  </conditionalFormatting>
  <conditionalFormatting sqref="V814">
    <cfRule type="cellIs" operator="equal" dxfId="2364" priority="2364">
      <formula>"Mercado Envios grátis"</formula>
    </cfRule>
  </conditionalFormatting>
  <conditionalFormatting sqref="W814">
    <cfRule type="cellIs" operator="equal" dxfId="2365" priority="2365">
      <formula>"Premium"</formula>
    </cfRule>
  </conditionalFormatting>
  <conditionalFormatting sqref="J815">
    <cfRule type="cellIs" operator="equal" dxfId="2366" priority="2366">
      <formula>"R$"</formula>
    </cfRule>
  </conditionalFormatting>
  <conditionalFormatting sqref="K815">
    <cfRule type="cellIs" operator="equal" dxfId="2367" priority="2367">
      <formula>"Com impostos"</formula>
    </cfRule>
  </conditionalFormatting>
  <conditionalFormatting sqref="V815">
    <cfRule type="cellIs" operator="equal" dxfId="2368" priority="2368">
      <formula>"Mercado Envios por conta do comprador"</formula>
    </cfRule>
  </conditionalFormatting>
  <conditionalFormatting sqref="W815">
    <cfRule type="cellIs" operator="equal" dxfId="2369" priority="2369">
      <formula>"Premium"</formula>
    </cfRule>
  </conditionalFormatting>
  <conditionalFormatting sqref="J816">
    <cfRule type="cellIs" operator="equal" dxfId="2370" priority="2370">
      <formula>"R$"</formula>
    </cfRule>
  </conditionalFormatting>
  <conditionalFormatting sqref="V816">
    <cfRule type="cellIs" operator="equal" dxfId="2371" priority="2371">
      <formula>"Envios por conta própria"</formula>
    </cfRule>
  </conditionalFormatting>
  <conditionalFormatting sqref="W816">
    <cfRule type="cellIs" operator="equal" dxfId="2372" priority="2372">
      <formula>"Clássico"</formula>
    </cfRule>
  </conditionalFormatting>
  <conditionalFormatting sqref="J817">
    <cfRule type="cellIs" operator="equal" dxfId="2373" priority="2373">
      <formula>"R$"</formula>
    </cfRule>
  </conditionalFormatting>
  <conditionalFormatting sqref="K817">
    <cfRule type="cellIs" operator="equal" dxfId="2374" priority="2374">
      <formula>"Com impostos"</formula>
    </cfRule>
  </conditionalFormatting>
  <conditionalFormatting sqref="V817">
    <cfRule type="cellIs" operator="equal" dxfId="2375" priority="2375">
      <formula>"Mercado Envios grátis"</formula>
    </cfRule>
  </conditionalFormatting>
  <conditionalFormatting sqref="W817">
    <cfRule type="cellIs" operator="equal" dxfId="2376" priority="2376">
      <formula>"Premium"</formula>
    </cfRule>
  </conditionalFormatting>
  <conditionalFormatting sqref="J818">
    <cfRule type="cellIs" operator="equal" dxfId="2377" priority="2377">
      <formula>"R$"</formula>
    </cfRule>
  </conditionalFormatting>
  <conditionalFormatting sqref="K818">
    <cfRule type="cellIs" operator="equal" dxfId="2378" priority="2378">
      <formula>"Com impostos"</formula>
    </cfRule>
  </conditionalFormatting>
  <conditionalFormatting sqref="V818">
    <cfRule type="cellIs" operator="equal" dxfId="2379" priority="2379">
      <formula>"Mercado Envios grátis"</formula>
    </cfRule>
  </conditionalFormatting>
  <conditionalFormatting sqref="W818">
    <cfRule type="cellIs" operator="equal" dxfId="2380" priority="2380">
      <formula>"Clássico"</formula>
    </cfRule>
  </conditionalFormatting>
  <conditionalFormatting sqref="J819">
    <cfRule type="cellIs" operator="equal" dxfId="2381" priority="2381">
      <formula>"R$"</formula>
    </cfRule>
  </conditionalFormatting>
  <conditionalFormatting sqref="V819">
    <cfRule type="cellIs" operator="equal" dxfId="2382" priority="2382">
      <formula>"Mercado Envios por conta do comprador"</formula>
    </cfRule>
  </conditionalFormatting>
  <conditionalFormatting sqref="W819">
    <cfRule type="cellIs" operator="equal" dxfId="2383" priority="2383">
      <formula>"Clássico"</formula>
    </cfRule>
  </conditionalFormatting>
  <conditionalFormatting sqref="J820">
    <cfRule type="cellIs" operator="equal" dxfId="2384" priority="2384">
      <formula>"R$"</formula>
    </cfRule>
  </conditionalFormatting>
  <conditionalFormatting sqref="V820">
    <cfRule type="cellIs" operator="equal" dxfId="2385" priority="2385">
      <formula>"Mercado Envios por conta do comprador"</formula>
    </cfRule>
  </conditionalFormatting>
  <conditionalFormatting sqref="W820">
    <cfRule type="cellIs" operator="equal" dxfId="2386" priority="2386">
      <formula>"Premium"</formula>
    </cfRule>
  </conditionalFormatting>
  <conditionalFormatting sqref="J821">
    <cfRule type="cellIs" operator="equal" dxfId="2387" priority="2387">
      <formula>"R$"</formula>
    </cfRule>
  </conditionalFormatting>
  <conditionalFormatting sqref="K821">
    <cfRule type="cellIs" operator="equal" dxfId="2388" priority="2388">
      <formula>"Com impostos"</formula>
    </cfRule>
  </conditionalFormatting>
  <conditionalFormatting sqref="V821">
    <cfRule type="cellIs" operator="equal" dxfId="2389" priority="2389">
      <formula>"Mercado Envios grátis"</formula>
    </cfRule>
  </conditionalFormatting>
  <conditionalFormatting sqref="W821">
    <cfRule type="cellIs" operator="equal" dxfId="2390" priority="2390">
      <formula>"Clássico"</formula>
    </cfRule>
  </conditionalFormatting>
  <conditionalFormatting sqref="J822">
    <cfRule type="cellIs" operator="equal" dxfId="2391" priority="2391">
      <formula>"R$"</formula>
    </cfRule>
  </conditionalFormatting>
  <conditionalFormatting sqref="K822">
    <cfRule type="cellIs" operator="equal" dxfId="2392" priority="2392">
      <formula>"Com impostos"</formula>
    </cfRule>
  </conditionalFormatting>
  <conditionalFormatting sqref="V822">
    <cfRule type="cellIs" operator="equal" dxfId="2393" priority="2393">
      <formula>"Mercado Envios grátis"</formula>
    </cfRule>
  </conditionalFormatting>
  <conditionalFormatting sqref="W822">
    <cfRule type="cellIs" operator="equal" dxfId="2394" priority="2394">
      <formula>"Premium"</formula>
    </cfRule>
  </conditionalFormatting>
  <conditionalFormatting sqref="J823">
    <cfRule type="cellIs" operator="equal" dxfId="2395" priority="2395">
      <formula>"R$"</formula>
    </cfRule>
  </conditionalFormatting>
  <conditionalFormatting sqref="K823">
    <cfRule type="cellIs" operator="equal" dxfId="2396" priority="2396">
      <formula>"Com impostos"</formula>
    </cfRule>
  </conditionalFormatting>
  <conditionalFormatting sqref="V823">
    <cfRule type="cellIs" operator="equal" dxfId="2397" priority="2397">
      <formula>"Mercado Envios grátis"</formula>
    </cfRule>
  </conditionalFormatting>
  <conditionalFormatting sqref="W823">
    <cfRule type="cellIs" operator="equal" dxfId="2398" priority="2398">
      <formula>"Premium"</formula>
    </cfRule>
  </conditionalFormatting>
  <conditionalFormatting sqref="J824">
    <cfRule type="cellIs" operator="equal" dxfId="2399" priority="2399">
      <formula>"R$"</formula>
    </cfRule>
  </conditionalFormatting>
  <conditionalFormatting sqref="K824">
    <cfRule type="cellIs" operator="equal" dxfId="2400" priority="2400">
      <formula>"Com impostos"</formula>
    </cfRule>
  </conditionalFormatting>
  <conditionalFormatting sqref="V824">
    <cfRule type="cellIs" operator="equal" dxfId="2401" priority="2401">
      <formula>"Mercado Envios por conta do comprador"</formula>
    </cfRule>
  </conditionalFormatting>
  <conditionalFormatting sqref="W824">
    <cfRule type="cellIs" operator="equal" dxfId="2402" priority="2402">
      <formula>"Premium"</formula>
    </cfRule>
  </conditionalFormatting>
  <conditionalFormatting sqref="J825">
    <cfRule type="cellIs" operator="equal" dxfId="2403" priority="2403">
      <formula>"R$"</formula>
    </cfRule>
  </conditionalFormatting>
  <conditionalFormatting sqref="V825">
    <cfRule type="cellIs" operator="equal" dxfId="2404" priority="2404">
      <formula>"Mercado Envios grátis"</formula>
    </cfRule>
  </conditionalFormatting>
  <conditionalFormatting sqref="W825">
    <cfRule type="cellIs" operator="equal" dxfId="2405" priority="2405">
      <formula>"Premium"</formula>
    </cfRule>
  </conditionalFormatting>
  <conditionalFormatting sqref="J826">
    <cfRule type="cellIs" operator="equal" dxfId="2406" priority="2406">
      <formula>"R$"</formula>
    </cfRule>
  </conditionalFormatting>
  <conditionalFormatting sqref="V826">
    <cfRule type="cellIs" operator="equal" dxfId="2407" priority="2407">
      <formula>"Mercado Envios grátis"</formula>
    </cfRule>
  </conditionalFormatting>
  <conditionalFormatting sqref="W826">
    <cfRule type="cellIs" operator="equal" dxfId="2408" priority="2408">
      <formula>"Clássico"</formula>
    </cfRule>
  </conditionalFormatting>
  <conditionalFormatting sqref="J827">
    <cfRule type="cellIs" operator="equal" dxfId="2409" priority="2409">
      <formula>"R$"</formula>
    </cfRule>
  </conditionalFormatting>
  <conditionalFormatting sqref="K827">
    <cfRule type="cellIs" operator="equal" dxfId="2410" priority="2410">
      <formula>"Com impostos"</formula>
    </cfRule>
  </conditionalFormatting>
  <conditionalFormatting sqref="V827">
    <cfRule type="cellIs" operator="equal" dxfId="2411" priority="2411">
      <formula>"Mercado Envios grátis"</formula>
    </cfRule>
  </conditionalFormatting>
  <conditionalFormatting sqref="W827">
    <cfRule type="cellIs" operator="equal" dxfId="2412" priority="2412">
      <formula>"Premium"</formula>
    </cfRule>
  </conditionalFormatting>
  <conditionalFormatting sqref="J828">
    <cfRule type="cellIs" operator="equal" dxfId="2413" priority="2413">
      <formula>"R$"</formula>
    </cfRule>
  </conditionalFormatting>
  <conditionalFormatting sqref="K828">
    <cfRule type="cellIs" operator="equal" dxfId="2414" priority="2414">
      <formula>"Com impostos"</formula>
    </cfRule>
  </conditionalFormatting>
  <conditionalFormatting sqref="V828">
    <cfRule type="cellIs" operator="equal" dxfId="2415" priority="2415">
      <formula>"Mercado Envios grátis"</formula>
    </cfRule>
  </conditionalFormatting>
  <conditionalFormatting sqref="W828">
    <cfRule type="cellIs" operator="equal" dxfId="2416" priority="2416">
      <formula>"Premium"</formula>
    </cfRule>
  </conditionalFormatting>
  <conditionalFormatting sqref="J829">
    <cfRule type="cellIs" operator="equal" dxfId="2417" priority="2417">
      <formula>"R$"</formula>
    </cfRule>
  </conditionalFormatting>
  <conditionalFormatting sqref="K829">
    <cfRule type="cellIs" operator="equal" dxfId="2418" priority="2418">
      <formula>"Com impostos"</formula>
    </cfRule>
  </conditionalFormatting>
  <conditionalFormatting sqref="V829">
    <cfRule type="cellIs" operator="equal" dxfId="2419" priority="2419">
      <formula>"Mercado Envios grátis"</formula>
    </cfRule>
  </conditionalFormatting>
  <conditionalFormatting sqref="W829">
    <cfRule type="cellIs" operator="equal" dxfId="2420" priority="2420">
      <formula>"Premium"</formula>
    </cfRule>
  </conditionalFormatting>
  <conditionalFormatting sqref="J830">
    <cfRule type="cellIs" operator="equal" dxfId="2421" priority="2421">
      <formula>"R$"</formula>
    </cfRule>
  </conditionalFormatting>
  <conditionalFormatting sqref="V830">
    <cfRule type="cellIs" operator="equal" dxfId="2422" priority="2422">
      <formula>"Mercado Envios por conta do comprador"</formula>
    </cfRule>
  </conditionalFormatting>
  <conditionalFormatting sqref="W830">
    <cfRule type="cellIs" operator="equal" dxfId="2423" priority="2423">
      <formula>"Clássico"</formula>
    </cfRule>
  </conditionalFormatting>
  <conditionalFormatting sqref="J831">
    <cfRule type="cellIs" operator="equal" dxfId="2424" priority="2424">
      <formula>"R$"</formula>
    </cfRule>
  </conditionalFormatting>
  <conditionalFormatting sqref="V831">
    <cfRule type="cellIs" operator="equal" dxfId="2425" priority="2425">
      <formula>"Mercado Envios por conta do comprador"</formula>
    </cfRule>
  </conditionalFormatting>
  <conditionalFormatting sqref="W831">
    <cfRule type="cellIs" operator="equal" dxfId="2426" priority="2426">
      <formula>"Clássico"</formula>
    </cfRule>
  </conditionalFormatting>
  <conditionalFormatting sqref="J832">
    <cfRule type="cellIs" operator="equal" dxfId="2427" priority="2427">
      <formula>"R$"</formula>
    </cfRule>
  </conditionalFormatting>
  <conditionalFormatting sqref="V832">
    <cfRule type="cellIs" operator="equal" dxfId="2428" priority="2428">
      <formula>"Mercado Envios por conta do comprador"</formula>
    </cfRule>
  </conditionalFormatting>
  <conditionalFormatting sqref="W832">
    <cfRule type="cellIs" operator="equal" dxfId="2429" priority="2429">
      <formula>"Clássico"</formula>
    </cfRule>
  </conditionalFormatting>
  <conditionalFormatting sqref="J833">
    <cfRule type="cellIs" operator="equal" dxfId="2430" priority="2430">
      <formula>"R$"</formula>
    </cfRule>
  </conditionalFormatting>
  <conditionalFormatting sqref="K833">
    <cfRule type="cellIs" operator="equal" dxfId="2431" priority="2431">
      <formula>"Com impostos"</formula>
    </cfRule>
  </conditionalFormatting>
  <conditionalFormatting sqref="V833">
    <cfRule type="cellIs" operator="equal" dxfId="2432" priority="2432">
      <formula>"Mercado Envios grátis"</formula>
    </cfRule>
  </conditionalFormatting>
  <conditionalFormatting sqref="W833">
    <cfRule type="cellIs" operator="equal" dxfId="2433" priority="2433">
      <formula>"Premium"</formula>
    </cfRule>
  </conditionalFormatting>
  <conditionalFormatting sqref="J834">
    <cfRule type="cellIs" operator="equal" dxfId="2434" priority="2434">
      <formula>"R$"</formula>
    </cfRule>
  </conditionalFormatting>
  <conditionalFormatting sqref="K834">
    <cfRule type="cellIs" operator="equal" dxfId="2435" priority="2435">
      <formula>"Com impostos"</formula>
    </cfRule>
  </conditionalFormatting>
  <conditionalFormatting sqref="V834">
    <cfRule type="cellIs" operator="equal" dxfId="2436" priority="2436">
      <formula>"Mercado Envios grátis"</formula>
    </cfRule>
  </conditionalFormatting>
  <conditionalFormatting sqref="W834">
    <cfRule type="cellIs" operator="equal" dxfId="2437" priority="2437">
      <formula>"Premium"</formula>
    </cfRule>
  </conditionalFormatting>
  <conditionalFormatting sqref="J835">
    <cfRule type="cellIs" operator="equal" dxfId="2438" priority="2438">
      <formula>"R$"</formula>
    </cfRule>
  </conditionalFormatting>
  <conditionalFormatting sqref="V835">
    <cfRule type="cellIs" operator="equal" dxfId="2439" priority="2439">
      <formula>"Mercado Envios grátis"</formula>
    </cfRule>
  </conditionalFormatting>
  <conditionalFormatting sqref="W835">
    <cfRule type="cellIs" operator="equal" dxfId="2440" priority="2440">
      <formula>"Premium"</formula>
    </cfRule>
  </conditionalFormatting>
  <conditionalFormatting sqref="J836">
    <cfRule type="cellIs" operator="equal" dxfId="2441" priority="2441">
      <formula>"R$"</formula>
    </cfRule>
  </conditionalFormatting>
  <conditionalFormatting sqref="K836">
    <cfRule type="cellIs" operator="equal" dxfId="2442" priority="2442">
      <formula>"Com impostos"</formula>
    </cfRule>
  </conditionalFormatting>
  <conditionalFormatting sqref="V836">
    <cfRule type="cellIs" operator="equal" dxfId="2443" priority="2443">
      <formula>"Mercado Envios grátis"</formula>
    </cfRule>
  </conditionalFormatting>
  <conditionalFormatting sqref="W836">
    <cfRule type="cellIs" operator="equal" dxfId="2444" priority="2444">
      <formula>"Premium"</formula>
    </cfRule>
  </conditionalFormatting>
  <conditionalFormatting sqref="J837">
    <cfRule type="cellIs" operator="equal" dxfId="2445" priority="2445">
      <formula>"R$"</formula>
    </cfRule>
  </conditionalFormatting>
  <conditionalFormatting sqref="K837">
    <cfRule type="cellIs" operator="equal" dxfId="2446" priority="2446">
      <formula>"Com impostos"</formula>
    </cfRule>
  </conditionalFormatting>
  <conditionalFormatting sqref="V837">
    <cfRule type="cellIs" operator="equal" dxfId="2447" priority="2447">
      <formula>"Mercado Envios grátis"</formula>
    </cfRule>
  </conditionalFormatting>
  <conditionalFormatting sqref="W837">
    <cfRule type="cellIs" operator="equal" dxfId="2448" priority="2448">
      <formula>"Clássico"</formula>
    </cfRule>
  </conditionalFormatting>
  <conditionalFormatting sqref="J838">
    <cfRule type="cellIs" operator="equal" dxfId="2449" priority="2449">
      <formula>"R$"</formula>
    </cfRule>
  </conditionalFormatting>
  <conditionalFormatting sqref="K838">
    <cfRule type="cellIs" operator="equal" dxfId="2450" priority="2450">
      <formula>"Com impostos"</formula>
    </cfRule>
  </conditionalFormatting>
  <conditionalFormatting sqref="V838">
    <cfRule type="cellIs" operator="equal" dxfId="2451" priority="2451">
      <formula>"Mercado Envios grátis"</formula>
    </cfRule>
  </conditionalFormatting>
  <conditionalFormatting sqref="W838">
    <cfRule type="cellIs" operator="equal" dxfId="2452" priority="2452">
      <formula>"Clássico"</formula>
    </cfRule>
  </conditionalFormatting>
  <conditionalFormatting sqref="J839">
    <cfRule type="cellIs" operator="equal" dxfId="2453" priority="2453">
      <formula>"R$"</formula>
    </cfRule>
  </conditionalFormatting>
  <conditionalFormatting sqref="K839">
    <cfRule type="cellIs" operator="equal" dxfId="2454" priority="2454">
      <formula>"Com impostos"</formula>
    </cfRule>
  </conditionalFormatting>
  <conditionalFormatting sqref="V839">
    <cfRule type="cellIs" operator="equal" dxfId="2455" priority="2455">
      <formula>"Mercado Envios grátis"</formula>
    </cfRule>
  </conditionalFormatting>
  <conditionalFormatting sqref="W839">
    <cfRule type="cellIs" operator="equal" dxfId="2456" priority="2456">
      <formula>"Premium"</formula>
    </cfRule>
  </conditionalFormatting>
  <conditionalFormatting sqref="J840">
    <cfRule type="cellIs" operator="equal" dxfId="2457" priority="2457">
      <formula>"R$"</formula>
    </cfRule>
  </conditionalFormatting>
  <conditionalFormatting sqref="V840">
    <cfRule type="cellIs" operator="equal" dxfId="2458" priority="2458">
      <formula>"Envios por conta própria"</formula>
    </cfRule>
  </conditionalFormatting>
  <conditionalFormatting sqref="W840">
    <cfRule type="cellIs" operator="equal" dxfId="2459" priority="2459">
      <formula>"Clássico"</formula>
    </cfRule>
  </conditionalFormatting>
  <conditionalFormatting sqref="J841">
    <cfRule type="cellIs" operator="equal" dxfId="2460" priority="2460">
      <formula>"R$"</formula>
    </cfRule>
  </conditionalFormatting>
  <conditionalFormatting sqref="V841">
    <cfRule type="cellIs" operator="equal" dxfId="2461" priority="2461">
      <formula>"Envios por conta própria"</formula>
    </cfRule>
  </conditionalFormatting>
  <conditionalFormatting sqref="W841">
    <cfRule type="cellIs" operator="equal" dxfId="2462" priority="2462">
      <formula>"Premium"</formula>
    </cfRule>
  </conditionalFormatting>
  <conditionalFormatting sqref="J842">
    <cfRule type="cellIs" operator="equal" dxfId="2463" priority="2463">
      <formula>"R$"</formula>
    </cfRule>
  </conditionalFormatting>
  <conditionalFormatting sqref="K842">
    <cfRule type="cellIs" operator="equal" dxfId="2464" priority="2464">
      <formula>"Com impostos"</formula>
    </cfRule>
  </conditionalFormatting>
  <conditionalFormatting sqref="V842">
    <cfRule type="cellIs" operator="equal" dxfId="2465" priority="2465">
      <formula>"Mercado Envios grátis"</formula>
    </cfRule>
  </conditionalFormatting>
  <conditionalFormatting sqref="W842">
    <cfRule type="cellIs" operator="equal" dxfId="2466" priority="2466">
      <formula>"Premium"</formula>
    </cfRule>
  </conditionalFormatting>
  <conditionalFormatting sqref="J843">
    <cfRule type="cellIs" operator="equal" dxfId="2467" priority="2467">
      <formula>"R$"</formula>
    </cfRule>
  </conditionalFormatting>
  <conditionalFormatting sqref="K843">
    <cfRule type="cellIs" operator="equal" dxfId="2468" priority="2468">
      <formula>"Com impostos"</formula>
    </cfRule>
  </conditionalFormatting>
  <conditionalFormatting sqref="V843">
    <cfRule type="cellIs" operator="equal" dxfId="2469" priority="2469">
      <formula>"Mercado Envios grátis"</formula>
    </cfRule>
  </conditionalFormatting>
  <conditionalFormatting sqref="W843">
    <cfRule type="cellIs" operator="equal" dxfId="2470" priority="2470">
      <formula>"Premium"</formula>
    </cfRule>
  </conditionalFormatting>
  <conditionalFormatting sqref="J844">
    <cfRule type="cellIs" operator="equal" dxfId="2471" priority="2471">
      <formula>"R$"</formula>
    </cfRule>
  </conditionalFormatting>
  <conditionalFormatting sqref="K844">
    <cfRule type="cellIs" operator="equal" dxfId="2472" priority="2472">
      <formula>"Com impostos"</formula>
    </cfRule>
  </conditionalFormatting>
  <conditionalFormatting sqref="V844">
    <cfRule type="cellIs" operator="equal" dxfId="2473" priority="2473">
      <formula>"Mercado Envios grátis"</formula>
    </cfRule>
  </conditionalFormatting>
  <conditionalFormatting sqref="W844">
    <cfRule type="cellIs" operator="equal" dxfId="2474" priority="2474">
      <formula>"Clássico"</formula>
    </cfRule>
  </conditionalFormatting>
  <conditionalFormatting sqref="J845">
    <cfRule type="cellIs" operator="equal" dxfId="2475" priority="2475">
      <formula>"R$"</formula>
    </cfRule>
  </conditionalFormatting>
  <conditionalFormatting sqref="V845">
    <cfRule type="cellIs" operator="equal" dxfId="2476" priority="2476">
      <formula>"Mercado Envios por conta do comprador"</formula>
    </cfRule>
  </conditionalFormatting>
  <conditionalFormatting sqref="W845">
    <cfRule type="cellIs" operator="equal" dxfId="2477" priority="2477">
      <formula>"Clássico"</formula>
    </cfRule>
  </conditionalFormatting>
  <conditionalFormatting sqref="J846">
    <cfRule type="cellIs" operator="equal" dxfId="2478" priority="2478">
      <formula>"R$"</formula>
    </cfRule>
  </conditionalFormatting>
  <conditionalFormatting sqref="V846">
    <cfRule type="cellIs" operator="equal" dxfId="2479" priority="2479">
      <formula>"Mercado Envios por conta do comprador"</formula>
    </cfRule>
  </conditionalFormatting>
  <conditionalFormatting sqref="W846">
    <cfRule type="cellIs" operator="equal" dxfId="2480" priority="2480">
      <formula>"Premium"</formula>
    </cfRule>
  </conditionalFormatting>
  <conditionalFormatting sqref="J847">
    <cfRule type="cellIs" operator="equal" dxfId="2481" priority="2481">
      <formula>"R$"</formula>
    </cfRule>
  </conditionalFormatting>
  <conditionalFormatting sqref="V847">
    <cfRule type="cellIs" operator="equal" dxfId="2482" priority="2482">
      <formula>"Mercado Envios grátis"</formula>
    </cfRule>
  </conditionalFormatting>
  <conditionalFormatting sqref="W847">
    <cfRule type="cellIs" operator="equal" dxfId="2483" priority="2483">
      <formula>"Premium"</formula>
    </cfRule>
  </conditionalFormatting>
  <conditionalFormatting sqref="J848">
    <cfRule type="cellIs" operator="equal" dxfId="2484" priority="2484">
      <formula>"R$"</formula>
    </cfRule>
  </conditionalFormatting>
  <conditionalFormatting sqref="V848">
    <cfRule type="cellIs" operator="equal" dxfId="2485" priority="2485">
      <formula>"Mercado Envios grátis"</formula>
    </cfRule>
  </conditionalFormatting>
  <conditionalFormatting sqref="W848">
    <cfRule type="cellIs" operator="equal" dxfId="2486" priority="2486">
      <formula>"Clássico"</formula>
    </cfRule>
  </conditionalFormatting>
  <conditionalFormatting sqref="J853">
    <cfRule type="cellIs" operator="equal" dxfId="2487" priority="2487">
      <formula>"R$"</formula>
    </cfRule>
  </conditionalFormatting>
  <conditionalFormatting sqref="V853">
    <cfRule type="cellIs" operator="equal" dxfId="2488" priority="2488">
      <formula>"Mercado Envios grátis"</formula>
    </cfRule>
  </conditionalFormatting>
  <conditionalFormatting sqref="W853">
    <cfRule type="cellIs" operator="equal" dxfId="2489" priority="2489">
      <formula>"Clássico"</formula>
    </cfRule>
  </conditionalFormatting>
  <conditionalFormatting sqref="J859">
    <cfRule type="cellIs" operator="equal" dxfId="2490" priority="2490">
      <formula>"R$"</formula>
    </cfRule>
  </conditionalFormatting>
  <conditionalFormatting sqref="V859">
    <cfRule type="cellIs" operator="equal" dxfId="2491" priority="2491">
      <formula>"Mercado Envios grátis"</formula>
    </cfRule>
  </conditionalFormatting>
  <conditionalFormatting sqref="W859">
    <cfRule type="cellIs" operator="equal" dxfId="2492" priority="2492">
      <formula>"Premium"</formula>
    </cfRule>
  </conditionalFormatting>
  <conditionalFormatting sqref="J864">
    <cfRule type="cellIs" operator="equal" dxfId="2493" priority="2493">
      <formula>"R$"</formula>
    </cfRule>
  </conditionalFormatting>
  <conditionalFormatting sqref="V864">
    <cfRule type="cellIs" operator="equal" dxfId="2494" priority="2494">
      <formula>"Mercado Envios grátis"</formula>
    </cfRule>
  </conditionalFormatting>
  <conditionalFormatting sqref="W864">
    <cfRule type="cellIs" operator="equal" dxfId="2495" priority="2495">
      <formula>"Clássico"</formula>
    </cfRule>
  </conditionalFormatting>
  <conditionalFormatting sqref="J870">
    <cfRule type="cellIs" operator="equal" dxfId="2496" priority="2496">
      <formula>"R$"</formula>
    </cfRule>
  </conditionalFormatting>
  <conditionalFormatting sqref="V870">
    <cfRule type="cellIs" operator="equal" dxfId="2497" priority="2497">
      <formula>"Mercado Envios grátis"</formula>
    </cfRule>
  </conditionalFormatting>
  <conditionalFormatting sqref="W870">
    <cfRule type="cellIs" operator="equal" dxfId="2498" priority="2498">
      <formula>"Clássico"</formula>
    </cfRule>
  </conditionalFormatting>
  <conditionalFormatting sqref="J876">
    <cfRule type="cellIs" operator="equal" dxfId="2499" priority="2499">
      <formula>"R$"</formula>
    </cfRule>
  </conditionalFormatting>
  <conditionalFormatting sqref="V876">
    <cfRule type="cellIs" operator="equal" dxfId="2500" priority="2500">
      <formula>"Mercado Envios grátis"</formula>
    </cfRule>
  </conditionalFormatting>
  <conditionalFormatting sqref="W876">
    <cfRule type="cellIs" operator="equal" dxfId="2501" priority="2501">
      <formula>"Clássico"</formula>
    </cfRule>
  </conditionalFormatting>
  <conditionalFormatting sqref="J882">
    <cfRule type="cellIs" operator="equal" dxfId="2502" priority="2502">
      <formula>"R$"</formula>
    </cfRule>
  </conditionalFormatting>
  <conditionalFormatting sqref="V882">
    <cfRule type="cellIs" operator="equal" dxfId="2503" priority="2503">
      <formula>"Mercado Envios grátis"</formula>
    </cfRule>
  </conditionalFormatting>
  <conditionalFormatting sqref="W882">
    <cfRule type="cellIs" operator="equal" dxfId="2504" priority="2504">
      <formula>"Clássico"</formula>
    </cfRule>
  </conditionalFormatting>
  <conditionalFormatting sqref="J887">
    <cfRule type="cellIs" operator="equal" dxfId="2505" priority="2505">
      <formula>"R$"</formula>
    </cfRule>
  </conditionalFormatting>
  <conditionalFormatting sqref="V887">
    <cfRule type="cellIs" operator="equal" dxfId="2506" priority="2506">
      <formula>"Mercado Envios grátis"</formula>
    </cfRule>
  </conditionalFormatting>
  <conditionalFormatting sqref="W887">
    <cfRule type="cellIs" operator="equal" dxfId="2507" priority="2507">
      <formula>"Clássico"</formula>
    </cfRule>
  </conditionalFormatting>
  <conditionalFormatting sqref="J893">
    <cfRule type="cellIs" operator="equal" dxfId="2508" priority="2508">
      <formula>"R$"</formula>
    </cfRule>
  </conditionalFormatting>
  <conditionalFormatting sqref="V893">
    <cfRule type="cellIs" operator="equal" dxfId="2509" priority="2509">
      <formula>"Mercado Envios grátis"</formula>
    </cfRule>
  </conditionalFormatting>
  <conditionalFormatting sqref="W893">
    <cfRule type="cellIs" operator="equal" dxfId="2510" priority="2510">
      <formula>"Clássico"</formula>
    </cfRule>
  </conditionalFormatting>
  <conditionalFormatting sqref="J899">
    <cfRule type="cellIs" operator="equal" dxfId="2511" priority="2511">
      <formula>"R$"</formula>
    </cfRule>
  </conditionalFormatting>
  <conditionalFormatting sqref="V899">
    <cfRule type="cellIs" operator="equal" dxfId="2512" priority="2512">
      <formula>"Mercado Envios grátis"</formula>
    </cfRule>
  </conditionalFormatting>
  <conditionalFormatting sqref="W899">
    <cfRule type="cellIs" operator="equal" dxfId="2513" priority="2513">
      <formula>"Clássico"</formula>
    </cfRule>
  </conditionalFormatting>
  <conditionalFormatting sqref="J904">
    <cfRule type="cellIs" operator="equal" dxfId="2514" priority="2514">
      <formula>"R$"</formula>
    </cfRule>
  </conditionalFormatting>
  <conditionalFormatting sqref="V904">
    <cfRule type="cellIs" operator="equal" dxfId="2515" priority="2515">
      <formula>"Mercado Envios grátis"</formula>
    </cfRule>
  </conditionalFormatting>
  <conditionalFormatting sqref="W904">
    <cfRule type="cellIs" operator="equal" dxfId="2516" priority="2516">
      <formula>"Clássico"</formula>
    </cfRule>
  </conditionalFormatting>
  <conditionalFormatting sqref="J909">
    <cfRule type="cellIs" operator="equal" dxfId="2517" priority="2517">
      <formula>"R$"</formula>
    </cfRule>
  </conditionalFormatting>
  <conditionalFormatting sqref="V909">
    <cfRule type="cellIs" operator="equal" dxfId="2518" priority="2518">
      <formula>"Mercado Envios grátis"</formula>
    </cfRule>
  </conditionalFormatting>
  <conditionalFormatting sqref="W909">
    <cfRule type="cellIs" operator="equal" dxfId="2519" priority="2519">
      <formula>"Clássico"</formula>
    </cfRule>
  </conditionalFormatting>
  <conditionalFormatting sqref="J915">
    <cfRule type="cellIs" operator="equal" dxfId="2520" priority="2520">
      <formula>"R$"</formula>
    </cfRule>
  </conditionalFormatting>
  <conditionalFormatting sqref="V915">
    <cfRule type="cellIs" operator="equal" dxfId="2521" priority="2521">
      <formula>"Mercado Envios grátis"</formula>
    </cfRule>
  </conditionalFormatting>
  <conditionalFormatting sqref="W915">
    <cfRule type="cellIs" operator="equal" dxfId="2522" priority="2522">
      <formula>"Clássico"</formula>
    </cfRule>
  </conditionalFormatting>
  <conditionalFormatting sqref="J921">
    <cfRule type="cellIs" operator="equal" dxfId="2523" priority="2523">
      <formula>"R$"</formula>
    </cfRule>
  </conditionalFormatting>
  <conditionalFormatting sqref="K921">
    <cfRule type="cellIs" operator="equal" dxfId="2524" priority="2524">
      <formula>"Com impostos"</formula>
    </cfRule>
  </conditionalFormatting>
  <conditionalFormatting sqref="V921">
    <cfRule type="cellIs" operator="equal" dxfId="2525" priority="2525">
      <formula>"Mercado Envios por conta do comprador"</formula>
    </cfRule>
  </conditionalFormatting>
  <conditionalFormatting sqref="W921">
    <cfRule type="cellIs" operator="equal" dxfId="2526" priority="2526">
      <formula>"Clássico"</formula>
    </cfRule>
  </conditionalFormatting>
  <conditionalFormatting sqref="J922">
    <cfRule type="cellIs" operator="equal" dxfId="2527" priority="2527">
      <formula>"R$"</formula>
    </cfRule>
  </conditionalFormatting>
  <conditionalFormatting sqref="K922">
    <cfRule type="cellIs" operator="equal" dxfId="2528" priority="2528">
      <formula>"Com impostos"</formula>
    </cfRule>
  </conditionalFormatting>
  <conditionalFormatting sqref="V922">
    <cfRule type="cellIs" operator="equal" dxfId="2529" priority="2529">
      <formula>"Mercado Envios por conta do comprador"</formula>
    </cfRule>
  </conditionalFormatting>
  <conditionalFormatting sqref="W922">
    <cfRule type="cellIs" operator="equal" dxfId="2530" priority="2530">
      <formula>"Clássico"</formula>
    </cfRule>
  </conditionalFormatting>
  <conditionalFormatting sqref="J923">
    <cfRule type="cellIs" operator="equal" dxfId="2531" priority="2531">
      <formula>"R$"</formula>
    </cfRule>
  </conditionalFormatting>
  <conditionalFormatting sqref="K923">
    <cfRule type="cellIs" operator="equal" dxfId="2532" priority="2532">
      <formula>"Com impostos"</formula>
    </cfRule>
  </conditionalFormatting>
  <conditionalFormatting sqref="V923">
    <cfRule type="cellIs" operator="equal" dxfId="2533" priority="2533">
      <formula>"Mercado Envios por conta do comprador"</formula>
    </cfRule>
  </conditionalFormatting>
  <conditionalFormatting sqref="W923">
    <cfRule type="cellIs" operator="equal" dxfId="2534" priority="2534">
      <formula>"Clássico"</formula>
    </cfRule>
  </conditionalFormatting>
  <conditionalFormatting sqref="J924">
    <cfRule type="cellIs" operator="equal" dxfId="2535" priority="2535">
      <formula>"R$"</formula>
    </cfRule>
  </conditionalFormatting>
  <conditionalFormatting sqref="K924">
    <cfRule type="cellIs" operator="equal" dxfId="2536" priority="2536">
      <formula>"Com impostos"</formula>
    </cfRule>
  </conditionalFormatting>
  <conditionalFormatting sqref="V924">
    <cfRule type="cellIs" operator="equal" dxfId="2537" priority="2537">
      <formula>"Mercado Envios por conta do comprador"</formula>
    </cfRule>
  </conditionalFormatting>
  <conditionalFormatting sqref="W924">
    <cfRule type="cellIs" operator="equal" dxfId="2538" priority="2538">
      <formula>"Clássico"</formula>
    </cfRule>
  </conditionalFormatting>
  <conditionalFormatting sqref="J925">
    <cfRule type="cellIs" operator="equal" dxfId="2539" priority="2539">
      <formula>"R$"</formula>
    </cfRule>
  </conditionalFormatting>
  <conditionalFormatting sqref="K925">
    <cfRule type="cellIs" operator="equal" dxfId="2540" priority="2540">
      <formula>"Com impostos"</formula>
    </cfRule>
  </conditionalFormatting>
  <conditionalFormatting sqref="V925">
    <cfRule type="cellIs" operator="equal" dxfId="2541" priority="2541">
      <formula>"Mercado Envios por conta do comprador"</formula>
    </cfRule>
  </conditionalFormatting>
  <conditionalFormatting sqref="W925">
    <cfRule type="cellIs" operator="equal" dxfId="2542" priority="2542">
      <formula>"Clássico"</formula>
    </cfRule>
  </conditionalFormatting>
  <conditionalFormatting sqref="J926">
    <cfRule type="cellIs" operator="equal" dxfId="2543" priority="2543">
      <formula>"R$"</formula>
    </cfRule>
  </conditionalFormatting>
  <conditionalFormatting sqref="K926">
    <cfRule type="cellIs" operator="equal" dxfId="2544" priority="2544">
      <formula>"Com impostos"</formula>
    </cfRule>
  </conditionalFormatting>
  <conditionalFormatting sqref="V926">
    <cfRule type="cellIs" operator="equal" dxfId="2545" priority="2545">
      <formula>"Mercado Envios grátis"</formula>
    </cfRule>
  </conditionalFormatting>
  <conditionalFormatting sqref="W926">
    <cfRule type="cellIs" operator="equal" dxfId="2546" priority="2546">
      <formula>"Premium"</formula>
    </cfRule>
  </conditionalFormatting>
  <conditionalFormatting sqref="J927">
    <cfRule type="cellIs" operator="equal" dxfId="2547" priority="2547">
      <formula>"R$"</formula>
    </cfRule>
  </conditionalFormatting>
  <conditionalFormatting sqref="K927">
    <cfRule type="cellIs" operator="equal" dxfId="2548" priority="2548">
      <formula>"Com impostos"</formula>
    </cfRule>
  </conditionalFormatting>
  <conditionalFormatting sqref="V927">
    <cfRule type="cellIs" operator="equal" dxfId="2549" priority="2549">
      <formula>"Mercado Envios por conta do comprador"</formula>
    </cfRule>
  </conditionalFormatting>
  <conditionalFormatting sqref="W927">
    <cfRule type="cellIs" operator="equal" dxfId="2550" priority="2550">
      <formula>"Clássico"</formula>
    </cfRule>
  </conditionalFormatting>
  <conditionalFormatting sqref="J928">
    <cfRule type="cellIs" operator="equal" dxfId="2551" priority="2551">
      <formula>"R$"</formula>
    </cfRule>
  </conditionalFormatting>
  <conditionalFormatting sqref="K928">
    <cfRule type="cellIs" operator="equal" dxfId="2552" priority="2552">
      <formula>"Com impostos"</formula>
    </cfRule>
  </conditionalFormatting>
  <conditionalFormatting sqref="V928">
    <cfRule type="cellIs" operator="equal" dxfId="2553" priority="2553">
      <formula>"Mercado Envios grátis"</formula>
    </cfRule>
  </conditionalFormatting>
  <conditionalFormatting sqref="W928">
    <cfRule type="cellIs" operator="equal" dxfId="2554" priority="2554">
      <formula>"Premium"</formula>
    </cfRule>
  </conditionalFormatting>
  <conditionalFormatting sqref="J929">
    <cfRule type="cellIs" operator="equal" dxfId="2555" priority="2555">
      <formula>"R$"</formula>
    </cfRule>
  </conditionalFormatting>
  <conditionalFormatting sqref="K929">
    <cfRule type="cellIs" operator="equal" dxfId="2556" priority="2556">
      <formula>"Com impostos"</formula>
    </cfRule>
  </conditionalFormatting>
  <conditionalFormatting sqref="V929">
    <cfRule type="cellIs" operator="equal" dxfId="2557" priority="2557">
      <formula>"Mercado Envios grátis"</formula>
    </cfRule>
  </conditionalFormatting>
  <conditionalFormatting sqref="W929">
    <cfRule type="cellIs" operator="equal" dxfId="2558" priority="2558">
      <formula>"Premium"</formula>
    </cfRule>
  </conditionalFormatting>
  <conditionalFormatting sqref="J930">
    <cfRule type="cellIs" operator="equal" dxfId="2559" priority="2559">
      <formula>"R$"</formula>
    </cfRule>
  </conditionalFormatting>
  <conditionalFormatting sqref="K930">
    <cfRule type="cellIs" operator="equal" dxfId="2560" priority="2560">
      <formula>"Com impostos"</formula>
    </cfRule>
  </conditionalFormatting>
  <conditionalFormatting sqref="V930">
    <cfRule type="cellIs" operator="equal" dxfId="2561" priority="2561">
      <formula>"Mercado Envios grátis"</formula>
    </cfRule>
  </conditionalFormatting>
  <conditionalFormatting sqref="W930">
    <cfRule type="cellIs" operator="equal" dxfId="2562" priority="2562">
      <formula>"Clássico"</formula>
    </cfRule>
  </conditionalFormatting>
  <conditionalFormatting sqref="J931">
    <cfRule type="cellIs" operator="equal" dxfId="2563" priority="2563">
      <formula>"R$"</formula>
    </cfRule>
  </conditionalFormatting>
  <conditionalFormatting sqref="K931">
    <cfRule type="cellIs" operator="equal" dxfId="2564" priority="2564">
      <formula>"Com impostos"</formula>
    </cfRule>
  </conditionalFormatting>
  <conditionalFormatting sqref="V931">
    <cfRule type="cellIs" operator="equal" dxfId="2565" priority="2565">
      <formula>"Mercado Envios por conta do comprador"</formula>
    </cfRule>
  </conditionalFormatting>
  <conditionalFormatting sqref="W931">
    <cfRule type="cellIs" operator="equal" dxfId="2566" priority="2566">
      <formula>"Clássico"</formula>
    </cfRule>
  </conditionalFormatting>
  <conditionalFormatting sqref="J932">
    <cfRule type="cellIs" operator="equal" dxfId="2567" priority="2567">
      <formula>"R$"</formula>
    </cfRule>
  </conditionalFormatting>
  <conditionalFormatting sqref="K932">
    <cfRule type="cellIs" operator="equal" dxfId="2568" priority="2568">
      <formula>"Com impostos"</formula>
    </cfRule>
  </conditionalFormatting>
  <conditionalFormatting sqref="V932">
    <cfRule type="cellIs" operator="equal" dxfId="2569" priority="2569">
      <formula>"Mercado Envios grátis"</formula>
    </cfRule>
  </conditionalFormatting>
  <conditionalFormatting sqref="W932">
    <cfRule type="cellIs" operator="equal" dxfId="2570" priority="2570">
      <formula>"Clássico"</formula>
    </cfRule>
  </conditionalFormatting>
  <conditionalFormatting sqref="J933">
    <cfRule type="cellIs" operator="equal" dxfId="2571" priority="2571">
      <formula>"R$"</formula>
    </cfRule>
  </conditionalFormatting>
  <conditionalFormatting sqref="K933">
    <cfRule type="cellIs" operator="equal" dxfId="2572" priority="2572">
      <formula>"Com impostos"</formula>
    </cfRule>
  </conditionalFormatting>
  <conditionalFormatting sqref="V933">
    <cfRule type="cellIs" operator="equal" dxfId="2573" priority="2573">
      <formula>"Mercado Envios grátis"</formula>
    </cfRule>
  </conditionalFormatting>
  <conditionalFormatting sqref="W933">
    <cfRule type="cellIs" operator="equal" dxfId="2574" priority="2574">
      <formula>"Clássico"</formula>
    </cfRule>
  </conditionalFormatting>
  <conditionalFormatting sqref="J934">
    <cfRule type="cellIs" operator="equal" dxfId="2575" priority="2575">
      <formula>"R$"</formula>
    </cfRule>
  </conditionalFormatting>
  <conditionalFormatting sqref="K934">
    <cfRule type="cellIs" operator="equal" dxfId="2576" priority="2576">
      <formula>"Com impostos"</formula>
    </cfRule>
  </conditionalFormatting>
  <conditionalFormatting sqref="V934">
    <cfRule type="cellIs" operator="equal" dxfId="2577" priority="2577">
      <formula>"Mercado Envios por conta do comprador"</formula>
    </cfRule>
  </conditionalFormatting>
  <conditionalFormatting sqref="W934">
    <cfRule type="cellIs" operator="equal" dxfId="2578" priority="2578">
      <formula>"Clássico"</formula>
    </cfRule>
  </conditionalFormatting>
  <conditionalFormatting sqref="J935">
    <cfRule type="cellIs" operator="equal" dxfId="2579" priority="2579">
      <formula>"R$"</formula>
    </cfRule>
  </conditionalFormatting>
  <conditionalFormatting sqref="K935">
    <cfRule type="cellIs" operator="equal" dxfId="2580" priority="2580">
      <formula>"Com impostos"</formula>
    </cfRule>
  </conditionalFormatting>
  <conditionalFormatting sqref="V935">
    <cfRule type="cellIs" operator="equal" dxfId="2581" priority="2581">
      <formula>"Mercado Envios por conta do comprador"</formula>
    </cfRule>
  </conditionalFormatting>
  <conditionalFormatting sqref="W935">
    <cfRule type="cellIs" operator="equal" dxfId="2582" priority="2582">
      <formula>"Clássico"</formula>
    </cfRule>
  </conditionalFormatting>
  <conditionalFormatting sqref="J936">
    <cfRule type="cellIs" operator="equal" dxfId="2583" priority="2583">
      <formula>"R$"</formula>
    </cfRule>
  </conditionalFormatting>
  <conditionalFormatting sqref="K936">
    <cfRule type="cellIs" operator="equal" dxfId="2584" priority="2584">
      <formula>"Com impostos"</formula>
    </cfRule>
  </conditionalFormatting>
  <conditionalFormatting sqref="V936">
    <cfRule type="cellIs" operator="equal" dxfId="2585" priority="2585">
      <formula>"Mercado Envios grátis"</formula>
    </cfRule>
  </conditionalFormatting>
  <conditionalFormatting sqref="W936">
    <cfRule type="cellIs" operator="equal" dxfId="2586" priority="2586">
      <formula>"Clássico"</formula>
    </cfRule>
  </conditionalFormatting>
  <conditionalFormatting sqref="J937">
    <cfRule type="cellIs" operator="equal" dxfId="2587" priority="2587">
      <formula>"R$"</formula>
    </cfRule>
  </conditionalFormatting>
  <conditionalFormatting sqref="K937">
    <cfRule type="cellIs" operator="equal" dxfId="2588" priority="2588">
      <formula>"Com impostos"</formula>
    </cfRule>
  </conditionalFormatting>
  <conditionalFormatting sqref="V937">
    <cfRule type="cellIs" operator="equal" dxfId="2589" priority="2589">
      <formula>"Mercado Envios grátis"</formula>
    </cfRule>
  </conditionalFormatting>
  <conditionalFormatting sqref="W937">
    <cfRule type="cellIs" operator="equal" dxfId="2590" priority="2590">
      <formula>"Premium"</formula>
    </cfRule>
  </conditionalFormatting>
  <conditionalFormatting sqref="J938">
    <cfRule type="cellIs" operator="equal" dxfId="2591" priority="2591">
      <formula>"R$"</formula>
    </cfRule>
  </conditionalFormatting>
  <conditionalFormatting sqref="K938">
    <cfRule type="cellIs" operator="equal" dxfId="2592" priority="2592">
      <formula>"Com impostos"</formula>
    </cfRule>
  </conditionalFormatting>
  <conditionalFormatting sqref="V938">
    <cfRule type="cellIs" operator="equal" dxfId="2593" priority="2593">
      <formula>"Mercado Envios por conta do comprador"</formula>
    </cfRule>
  </conditionalFormatting>
  <conditionalFormatting sqref="W938">
    <cfRule type="cellIs" operator="equal" dxfId="2594" priority="2594">
      <formula>"Clássico"</formula>
    </cfRule>
  </conditionalFormatting>
  <conditionalFormatting sqref="J939">
    <cfRule type="cellIs" operator="equal" dxfId="2595" priority="2595">
      <formula>"R$"</formula>
    </cfRule>
  </conditionalFormatting>
  <conditionalFormatting sqref="K939">
    <cfRule type="cellIs" operator="equal" dxfId="2596" priority="2596">
      <formula>"Com impostos"</formula>
    </cfRule>
  </conditionalFormatting>
  <conditionalFormatting sqref="V939">
    <cfRule type="cellIs" operator="equal" dxfId="2597" priority="2597">
      <formula>"Mercado Envios por conta do comprador"</formula>
    </cfRule>
  </conditionalFormatting>
  <conditionalFormatting sqref="W939">
    <cfRule type="cellIs" operator="equal" dxfId="2598" priority="2598">
      <formula>"Clássico"</formula>
    </cfRule>
  </conditionalFormatting>
  <conditionalFormatting sqref="J940">
    <cfRule type="cellIs" operator="equal" dxfId="2599" priority="2599">
      <formula>"R$"</formula>
    </cfRule>
  </conditionalFormatting>
  <conditionalFormatting sqref="K940">
    <cfRule type="cellIs" operator="equal" dxfId="2600" priority="2600">
      <formula>"Com impostos"</formula>
    </cfRule>
  </conditionalFormatting>
  <conditionalFormatting sqref="V940">
    <cfRule type="cellIs" operator="equal" dxfId="2601" priority="2601">
      <formula>"Mercado Envios por conta do comprador"</formula>
    </cfRule>
  </conditionalFormatting>
  <conditionalFormatting sqref="W940">
    <cfRule type="cellIs" operator="equal" dxfId="2602" priority="2602">
      <formula>"Clássico"</formula>
    </cfRule>
  </conditionalFormatting>
  <conditionalFormatting sqref="J941">
    <cfRule type="cellIs" operator="equal" dxfId="2603" priority="2603">
      <formula>"R$"</formula>
    </cfRule>
  </conditionalFormatting>
  <conditionalFormatting sqref="K941">
    <cfRule type="cellIs" operator="equal" dxfId="2604" priority="2604">
      <formula>"Com impostos"</formula>
    </cfRule>
  </conditionalFormatting>
  <conditionalFormatting sqref="V941">
    <cfRule type="cellIs" operator="equal" dxfId="2605" priority="2605">
      <formula>"Mercado Envios grátis"</formula>
    </cfRule>
  </conditionalFormatting>
  <conditionalFormatting sqref="W941">
    <cfRule type="cellIs" operator="equal" dxfId="2606" priority="2606">
      <formula>"Clássico"</formula>
    </cfRule>
  </conditionalFormatting>
  <conditionalFormatting sqref="J942">
    <cfRule type="cellIs" operator="equal" dxfId="2607" priority="2607">
      <formula>"R$"</formula>
    </cfRule>
  </conditionalFormatting>
  <conditionalFormatting sqref="K942">
    <cfRule type="cellIs" operator="equal" dxfId="2608" priority="2608">
      <formula>"Com impostos"</formula>
    </cfRule>
  </conditionalFormatting>
  <conditionalFormatting sqref="V942">
    <cfRule type="cellIs" operator="equal" dxfId="2609" priority="2609">
      <formula>"Mercado Envios grátis"</formula>
    </cfRule>
  </conditionalFormatting>
  <conditionalFormatting sqref="W942">
    <cfRule type="cellIs" operator="equal" dxfId="2610" priority="2610">
      <formula>"Premium"</formula>
    </cfRule>
  </conditionalFormatting>
  <conditionalFormatting sqref="J943">
    <cfRule type="cellIs" operator="equal" dxfId="2611" priority="2611">
      <formula>"R$"</formula>
    </cfRule>
  </conditionalFormatting>
  <conditionalFormatting sqref="K943">
    <cfRule type="cellIs" operator="equal" dxfId="2612" priority="2612">
      <formula>"Com impostos"</formula>
    </cfRule>
  </conditionalFormatting>
  <conditionalFormatting sqref="V943">
    <cfRule type="cellIs" operator="equal" dxfId="2613" priority="2613">
      <formula>"Mercado Envios grátis"</formula>
    </cfRule>
  </conditionalFormatting>
  <conditionalFormatting sqref="W943">
    <cfRule type="cellIs" operator="equal" dxfId="2614" priority="2614">
      <formula>"Premium"</formula>
    </cfRule>
  </conditionalFormatting>
  <conditionalFormatting sqref="J944">
    <cfRule type="cellIs" operator="equal" dxfId="2615" priority="2615">
      <formula>"R$"</formula>
    </cfRule>
  </conditionalFormatting>
  <conditionalFormatting sqref="K944">
    <cfRule type="cellIs" operator="equal" dxfId="2616" priority="2616">
      <formula>"Com impostos"</formula>
    </cfRule>
  </conditionalFormatting>
  <conditionalFormatting sqref="V944">
    <cfRule type="cellIs" operator="equal" dxfId="2617" priority="2617">
      <formula>"Mercado Envios por conta do comprador"</formula>
    </cfRule>
  </conditionalFormatting>
  <conditionalFormatting sqref="W944">
    <cfRule type="cellIs" operator="equal" dxfId="2618" priority="2618">
      <formula>"Clássico"</formula>
    </cfRule>
  </conditionalFormatting>
  <conditionalFormatting sqref="J945">
    <cfRule type="cellIs" operator="equal" dxfId="2619" priority="2619">
      <formula>"R$"</formula>
    </cfRule>
  </conditionalFormatting>
  <conditionalFormatting sqref="K945">
    <cfRule type="cellIs" operator="equal" dxfId="2620" priority="2620">
      <formula>"Com impostos"</formula>
    </cfRule>
  </conditionalFormatting>
  <conditionalFormatting sqref="V945">
    <cfRule type="cellIs" operator="equal" dxfId="2621" priority="2621">
      <formula>"Mercado Envios por conta do comprador"</formula>
    </cfRule>
  </conditionalFormatting>
  <conditionalFormatting sqref="W945">
    <cfRule type="cellIs" operator="equal" dxfId="2622" priority="2622">
      <formula>"Clássico"</formula>
    </cfRule>
  </conditionalFormatting>
  <conditionalFormatting sqref="J946">
    <cfRule type="cellIs" operator="equal" dxfId="2623" priority="2623">
      <formula>"R$"</formula>
    </cfRule>
  </conditionalFormatting>
  <conditionalFormatting sqref="K946">
    <cfRule type="cellIs" operator="equal" dxfId="2624" priority="2624">
      <formula>"Com impostos"</formula>
    </cfRule>
  </conditionalFormatting>
  <conditionalFormatting sqref="V946">
    <cfRule type="cellIs" operator="equal" dxfId="2625" priority="2625">
      <formula>"Mercado Envios grátis"</formula>
    </cfRule>
  </conditionalFormatting>
  <conditionalFormatting sqref="W946">
    <cfRule type="cellIs" operator="equal" dxfId="2626" priority="2626">
      <formula>"Premium"</formula>
    </cfRule>
  </conditionalFormatting>
  <conditionalFormatting sqref="J947">
    <cfRule type="cellIs" operator="equal" dxfId="2627" priority="2627">
      <formula>"R$"</formula>
    </cfRule>
  </conditionalFormatting>
  <conditionalFormatting sqref="K947">
    <cfRule type="cellIs" operator="equal" dxfId="2628" priority="2628">
      <formula>"Com impostos"</formula>
    </cfRule>
  </conditionalFormatting>
  <conditionalFormatting sqref="V947">
    <cfRule type="cellIs" operator="equal" dxfId="2629" priority="2629">
      <formula>"Mercado Envios grátis"</formula>
    </cfRule>
  </conditionalFormatting>
  <conditionalFormatting sqref="W947">
    <cfRule type="cellIs" operator="equal" dxfId="2630" priority="2630">
      <formula>"Clássico"</formula>
    </cfRule>
  </conditionalFormatting>
  <conditionalFormatting sqref="J948">
    <cfRule type="cellIs" operator="equal" dxfId="2631" priority="2631">
      <formula>"R$"</formula>
    </cfRule>
  </conditionalFormatting>
  <conditionalFormatting sqref="K948">
    <cfRule type="cellIs" operator="equal" dxfId="2632" priority="2632">
      <formula>"Com impostos"</formula>
    </cfRule>
  </conditionalFormatting>
  <conditionalFormatting sqref="V948">
    <cfRule type="cellIs" operator="equal" dxfId="2633" priority="2633">
      <formula>"Mercado Envios por conta do comprador"</formula>
    </cfRule>
  </conditionalFormatting>
  <conditionalFormatting sqref="W948">
    <cfRule type="cellIs" operator="equal" dxfId="2634" priority="2634">
      <formula>"Clássico"</formula>
    </cfRule>
  </conditionalFormatting>
  <conditionalFormatting sqref="J949">
    <cfRule type="cellIs" operator="equal" dxfId="2635" priority="2635">
      <formula>"R$"</formula>
    </cfRule>
  </conditionalFormatting>
  <conditionalFormatting sqref="K949">
    <cfRule type="cellIs" operator="equal" dxfId="2636" priority="2636">
      <formula>"Com impostos"</formula>
    </cfRule>
  </conditionalFormatting>
  <conditionalFormatting sqref="V949">
    <cfRule type="cellIs" operator="equal" dxfId="2637" priority="2637">
      <formula>"Mercado Envios grátis"</formula>
    </cfRule>
  </conditionalFormatting>
  <conditionalFormatting sqref="W949">
    <cfRule type="cellIs" operator="equal" dxfId="2638" priority="2638">
      <formula>"Clássico"</formula>
    </cfRule>
  </conditionalFormatting>
  <conditionalFormatting sqref="J950">
    <cfRule type="cellIs" operator="equal" dxfId="2639" priority="2639">
      <formula>"R$"</formula>
    </cfRule>
  </conditionalFormatting>
  <conditionalFormatting sqref="K950">
    <cfRule type="cellIs" operator="equal" dxfId="2640" priority="2640">
      <formula>"Com impostos"</formula>
    </cfRule>
  </conditionalFormatting>
  <conditionalFormatting sqref="V950">
    <cfRule type="cellIs" operator="equal" dxfId="2641" priority="2641">
      <formula>"Mercado Envios por conta do comprador"</formula>
    </cfRule>
  </conditionalFormatting>
  <conditionalFormatting sqref="W950">
    <cfRule type="cellIs" operator="equal" dxfId="2642" priority="2642">
      <formula>"Clássico"</formula>
    </cfRule>
  </conditionalFormatting>
  <conditionalFormatting sqref="J951">
    <cfRule type="cellIs" operator="equal" dxfId="2643" priority="2643">
      <formula>"R$"</formula>
    </cfRule>
  </conditionalFormatting>
  <conditionalFormatting sqref="K951">
    <cfRule type="cellIs" operator="equal" dxfId="2644" priority="2644">
      <formula>"Com impostos"</formula>
    </cfRule>
  </conditionalFormatting>
  <conditionalFormatting sqref="V951">
    <cfRule type="cellIs" operator="equal" dxfId="2645" priority="2645">
      <formula>"Mercado Envios grátis"</formula>
    </cfRule>
  </conditionalFormatting>
  <conditionalFormatting sqref="W951">
    <cfRule type="cellIs" operator="equal" dxfId="2646" priority="2646">
      <formula>"Clássico"</formula>
    </cfRule>
  </conditionalFormatting>
  <conditionalFormatting sqref="J952">
    <cfRule type="cellIs" operator="equal" dxfId="2647" priority="2647">
      <formula>"R$"</formula>
    </cfRule>
  </conditionalFormatting>
  <conditionalFormatting sqref="K952">
    <cfRule type="cellIs" operator="equal" dxfId="2648" priority="2648">
      <formula>"Com impostos"</formula>
    </cfRule>
  </conditionalFormatting>
  <conditionalFormatting sqref="V952">
    <cfRule type="cellIs" operator="equal" dxfId="2649" priority="2649">
      <formula>"Mercado Envios grátis"</formula>
    </cfRule>
  </conditionalFormatting>
  <conditionalFormatting sqref="W952">
    <cfRule type="cellIs" operator="equal" dxfId="2650" priority="2650">
      <formula>"Clássico"</formula>
    </cfRule>
  </conditionalFormatting>
  <conditionalFormatting sqref="J953">
    <cfRule type="cellIs" operator="equal" dxfId="2651" priority="2651">
      <formula>"R$"</formula>
    </cfRule>
  </conditionalFormatting>
  <conditionalFormatting sqref="K953">
    <cfRule type="cellIs" operator="equal" dxfId="2652" priority="2652">
      <formula>"Com impostos"</formula>
    </cfRule>
  </conditionalFormatting>
  <conditionalFormatting sqref="V953">
    <cfRule type="cellIs" operator="equal" dxfId="2653" priority="2653">
      <formula>"Mercado Envios grátis"</formula>
    </cfRule>
  </conditionalFormatting>
  <conditionalFormatting sqref="W953">
    <cfRule type="cellIs" operator="equal" dxfId="2654" priority="2654">
      <formula>"Clássico"</formula>
    </cfRule>
  </conditionalFormatting>
  <conditionalFormatting sqref="J954">
    <cfRule type="cellIs" operator="equal" dxfId="2655" priority="2655">
      <formula>"R$"</formula>
    </cfRule>
  </conditionalFormatting>
  <conditionalFormatting sqref="K954">
    <cfRule type="cellIs" operator="equal" dxfId="2656" priority="2656">
      <formula>"Com impostos"</formula>
    </cfRule>
  </conditionalFormatting>
  <conditionalFormatting sqref="V954">
    <cfRule type="cellIs" operator="equal" dxfId="2657" priority="2657">
      <formula>"Mercado Envios por conta do comprador"</formula>
    </cfRule>
  </conditionalFormatting>
  <conditionalFormatting sqref="W954">
    <cfRule type="cellIs" operator="equal" dxfId="2658" priority="2658">
      <formula>"Clássico"</formula>
    </cfRule>
  </conditionalFormatting>
  <conditionalFormatting sqref="J955">
    <cfRule type="cellIs" operator="equal" dxfId="2659" priority="2659">
      <formula>"R$"</formula>
    </cfRule>
  </conditionalFormatting>
  <conditionalFormatting sqref="K955">
    <cfRule type="cellIs" operator="equal" dxfId="2660" priority="2660">
      <formula>"Com impostos"</formula>
    </cfRule>
  </conditionalFormatting>
  <conditionalFormatting sqref="V955">
    <cfRule type="cellIs" operator="equal" dxfId="2661" priority="2661">
      <formula>"Mercado Envios grátis"</formula>
    </cfRule>
  </conditionalFormatting>
  <conditionalFormatting sqref="W955">
    <cfRule type="cellIs" operator="equal" dxfId="2662" priority="2662">
      <formula>"Premium"</formula>
    </cfRule>
  </conditionalFormatting>
  <conditionalFormatting sqref="J956">
    <cfRule type="cellIs" operator="equal" dxfId="2663" priority="2663">
      <formula>"R$"</formula>
    </cfRule>
  </conditionalFormatting>
  <conditionalFormatting sqref="V956">
    <cfRule type="cellIs" operator="equal" dxfId="2664" priority="2664">
      <formula>"Mercado Envios grátis"</formula>
    </cfRule>
  </conditionalFormatting>
  <conditionalFormatting sqref="W956">
    <cfRule type="cellIs" operator="equal" dxfId="2665" priority="2665">
      <formula>"Clássico"</formula>
    </cfRule>
  </conditionalFormatting>
  <conditionalFormatting sqref="J959">
    <cfRule type="cellIs" operator="equal" dxfId="2666" priority="2666">
      <formula>"R$"</formula>
    </cfRule>
  </conditionalFormatting>
  <conditionalFormatting sqref="K959">
    <cfRule type="cellIs" operator="equal" dxfId="2667" priority="2667">
      <formula>"Com impostos"</formula>
    </cfRule>
  </conditionalFormatting>
  <conditionalFormatting sqref="V959">
    <cfRule type="cellIs" operator="equal" dxfId="2668" priority="2668">
      <formula>"Mercado Envios grátis"</formula>
    </cfRule>
  </conditionalFormatting>
  <conditionalFormatting sqref="W959">
    <cfRule type="cellIs" operator="equal" dxfId="2669" priority="2669">
      <formula>"Clássico"</formula>
    </cfRule>
  </conditionalFormatting>
  <conditionalFormatting sqref="J960">
    <cfRule type="cellIs" operator="equal" dxfId="2670" priority="2670">
      <formula>"R$"</formula>
    </cfRule>
  </conditionalFormatting>
  <conditionalFormatting sqref="K960">
    <cfRule type="cellIs" operator="equal" dxfId="2671" priority="2671">
      <formula>"Com impostos"</formula>
    </cfRule>
  </conditionalFormatting>
  <conditionalFormatting sqref="V960">
    <cfRule type="cellIs" operator="equal" dxfId="2672" priority="2672">
      <formula>"Mercado Envios por conta do comprador"</formula>
    </cfRule>
  </conditionalFormatting>
  <conditionalFormatting sqref="W960">
    <cfRule type="cellIs" operator="equal" dxfId="2673" priority="2673">
      <formula>"Premium"</formula>
    </cfRule>
  </conditionalFormatting>
  <conditionalFormatting sqref="J961">
    <cfRule type="cellIs" operator="equal" dxfId="2674" priority="2674">
      <formula>"R$"</formula>
    </cfRule>
  </conditionalFormatting>
  <conditionalFormatting sqref="K961">
    <cfRule type="cellIs" operator="equal" dxfId="2675" priority="2675">
      <formula>"Com impostos"</formula>
    </cfRule>
  </conditionalFormatting>
  <conditionalFormatting sqref="V961">
    <cfRule type="cellIs" operator="equal" dxfId="2676" priority="2676">
      <formula>"Mercado Envios por conta do comprador"</formula>
    </cfRule>
  </conditionalFormatting>
  <conditionalFormatting sqref="W961">
    <cfRule type="cellIs" operator="equal" dxfId="2677" priority="2677">
      <formula>"Clássico"</formula>
    </cfRule>
  </conditionalFormatting>
  <conditionalFormatting sqref="J962">
    <cfRule type="cellIs" operator="equal" dxfId="2678" priority="2678">
      <formula>"R$"</formula>
    </cfRule>
  </conditionalFormatting>
  <conditionalFormatting sqref="K962">
    <cfRule type="cellIs" operator="equal" dxfId="2679" priority="2679">
      <formula>"Com impostos"</formula>
    </cfRule>
  </conditionalFormatting>
  <conditionalFormatting sqref="V962">
    <cfRule type="cellIs" operator="equal" dxfId="2680" priority="2680">
      <formula>"Mercado Envios grátis"</formula>
    </cfRule>
  </conditionalFormatting>
  <conditionalFormatting sqref="W962">
    <cfRule type="cellIs" operator="equal" dxfId="2681" priority="2681">
      <formula>"Premium"</formula>
    </cfRule>
  </conditionalFormatting>
  <conditionalFormatting sqref="J963">
    <cfRule type="cellIs" operator="equal" dxfId="2682" priority="2682">
      <formula>"R$"</formula>
    </cfRule>
  </conditionalFormatting>
  <conditionalFormatting sqref="K963">
    <cfRule type="cellIs" operator="equal" dxfId="2683" priority="2683">
      <formula>"Com impostos"</formula>
    </cfRule>
  </conditionalFormatting>
  <conditionalFormatting sqref="V963">
    <cfRule type="cellIs" operator="equal" dxfId="2684" priority="2684">
      <formula>"Mercado Envios grátis"</formula>
    </cfRule>
  </conditionalFormatting>
  <conditionalFormatting sqref="W963">
    <cfRule type="cellIs" operator="equal" dxfId="2685" priority="2685">
      <formula>"Premium"</formula>
    </cfRule>
  </conditionalFormatting>
  <conditionalFormatting sqref="J964">
    <cfRule type="cellIs" operator="equal" dxfId="2686" priority="2686">
      <formula>"R$"</formula>
    </cfRule>
  </conditionalFormatting>
  <conditionalFormatting sqref="K964">
    <cfRule type="cellIs" operator="equal" dxfId="2687" priority="2687">
      <formula>"Com impostos"</formula>
    </cfRule>
  </conditionalFormatting>
  <conditionalFormatting sqref="V964">
    <cfRule type="cellIs" operator="equal" dxfId="2688" priority="2688">
      <formula>"Mercado Envios grátis"</formula>
    </cfRule>
  </conditionalFormatting>
  <conditionalFormatting sqref="W964">
    <cfRule type="cellIs" operator="equal" dxfId="2689" priority="2689">
      <formula>"Clássico"</formula>
    </cfRule>
  </conditionalFormatting>
  <conditionalFormatting sqref="J965">
    <cfRule type="cellIs" operator="equal" dxfId="2690" priority="2690">
      <formula>"R$"</formula>
    </cfRule>
  </conditionalFormatting>
  <conditionalFormatting sqref="K965">
    <cfRule type="cellIs" operator="equal" dxfId="2691" priority="2691">
      <formula>"Com impostos"</formula>
    </cfRule>
  </conditionalFormatting>
  <conditionalFormatting sqref="V965">
    <cfRule type="cellIs" operator="equal" dxfId="2692" priority="2692">
      <formula>"Mercado Envios grátis"</formula>
    </cfRule>
  </conditionalFormatting>
  <conditionalFormatting sqref="W965">
    <cfRule type="cellIs" operator="equal" dxfId="2693" priority="2693">
      <formula>"Clássico"</formula>
    </cfRule>
  </conditionalFormatting>
  <conditionalFormatting sqref="J966">
    <cfRule type="cellIs" operator="equal" dxfId="2694" priority="2694">
      <formula>"R$"</formula>
    </cfRule>
  </conditionalFormatting>
  <conditionalFormatting sqref="K966">
    <cfRule type="cellIs" operator="equal" dxfId="2695" priority="2695">
      <formula>"Com impostos"</formula>
    </cfRule>
  </conditionalFormatting>
  <conditionalFormatting sqref="V966">
    <cfRule type="cellIs" operator="equal" dxfId="2696" priority="2696">
      <formula>"Mercado Envios grátis"</formula>
    </cfRule>
  </conditionalFormatting>
  <conditionalFormatting sqref="W966">
    <cfRule type="cellIs" operator="equal" dxfId="2697" priority="2697">
      <formula>"Premium"</formula>
    </cfRule>
  </conditionalFormatting>
  <conditionalFormatting sqref="J967">
    <cfRule type="cellIs" operator="equal" dxfId="2698" priority="2698">
      <formula>"R$"</formula>
    </cfRule>
  </conditionalFormatting>
  <conditionalFormatting sqref="K967">
    <cfRule type="cellIs" operator="equal" dxfId="2699" priority="2699">
      <formula>"Com impostos"</formula>
    </cfRule>
  </conditionalFormatting>
  <conditionalFormatting sqref="V967">
    <cfRule type="cellIs" operator="equal" dxfId="2700" priority="2700">
      <formula>"Mercado Envios grátis"</formula>
    </cfRule>
  </conditionalFormatting>
  <conditionalFormatting sqref="W967">
    <cfRule type="cellIs" operator="equal" dxfId="2701" priority="2701">
      <formula>"Premium"</formula>
    </cfRule>
  </conditionalFormatting>
  <conditionalFormatting sqref="J968">
    <cfRule type="cellIs" operator="equal" dxfId="2702" priority="2702">
      <formula>"R$"</formula>
    </cfRule>
  </conditionalFormatting>
  <conditionalFormatting sqref="V968">
    <cfRule type="cellIs" operator="equal" dxfId="2703" priority="2703">
      <formula>"Mercado Envios grátis"</formula>
    </cfRule>
  </conditionalFormatting>
  <conditionalFormatting sqref="W968">
    <cfRule type="cellIs" operator="equal" dxfId="2704" priority="2704">
      <formula>"Premium"</formula>
    </cfRule>
  </conditionalFormatting>
  <conditionalFormatting sqref="J971">
    <cfRule type="cellIs" operator="equal" dxfId="2705" priority="2705">
      <formula>"R$"</formula>
    </cfRule>
  </conditionalFormatting>
  <conditionalFormatting sqref="K971">
    <cfRule type="cellIs" operator="equal" dxfId="2706" priority="2706">
      <formula>"Com impostos"</formula>
    </cfRule>
  </conditionalFormatting>
  <conditionalFormatting sqref="V971">
    <cfRule type="cellIs" operator="equal" dxfId="2707" priority="2707">
      <formula>"Mercado Envios por conta do comprador"</formula>
    </cfRule>
  </conditionalFormatting>
  <conditionalFormatting sqref="W971">
    <cfRule type="cellIs" operator="equal" dxfId="2708" priority="2708">
      <formula>"Premium"</formula>
    </cfRule>
  </conditionalFormatting>
  <conditionalFormatting sqref="J972">
    <cfRule type="cellIs" operator="equal" dxfId="2709" priority="2709">
      <formula>"R$"</formula>
    </cfRule>
  </conditionalFormatting>
  <conditionalFormatting sqref="V972">
    <cfRule type="cellIs" operator="equal" dxfId="2710" priority="2710">
      <formula>"Mercado Envios grátis"</formula>
    </cfRule>
  </conditionalFormatting>
  <conditionalFormatting sqref="W972">
    <cfRule type="cellIs" operator="equal" dxfId="2711" priority="2711">
      <formula>"Premium"</formula>
    </cfRule>
  </conditionalFormatting>
  <conditionalFormatting sqref="J975">
    <cfRule type="cellIs" operator="equal" dxfId="2712" priority="2712">
      <formula>"R$"</formula>
    </cfRule>
  </conditionalFormatting>
  <conditionalFormatting sqref="K975">
    <cfRule type="cellIs" operator="equal" dxfId="2713" priority="2713">
      <formula>"Com impostos"</formula>
    </cfRule>
  </conditionalFormatting>
  <conditionalFormatting sqref="V975">
    <cfRule type="cellIs" operator="equal" dxfId="2714" priority="2714">
      <formula>"Mercado Envios por conta do comprador"</formula>
    </cfRule>
  </conditionalFormatting>
  <conditionalFormatting sqref="W975">
    <cfRule type="cellIs" operator="equal" dxfId="2715" priority="2715">
      <formula>"Premium"</formula>
    </cfRule>
  </conditionalFormatting>
  <conditionalFormatting sqref="J976">
    <cfRule type="cellIs" operator="equal" dxfId="2716" priority="2716">
      <formula>"R$"</formula>
    </cfRule>
  </conditionalFormatting>
  <conditionalFormatting sqref="K976">
    <cfRule type="cellIs" operator="equal" dxfId="2717" priority="2717">
      <formula>"Com impostos"</formula>
    </cfRule>
  </conditionalFormatting>
  <conditionalFormatting sqref="V976">
    <cfRule type="cellIs" operator="equal" dxfId="2718" priority="2718">
      <formula>"Mercado Envios grátis"</formula>
    </cfRule>
  </conditionalFormatting>
  <conditionalFormatting sqref="W976">
    <cfRule type="cellIs" operator="equal" dxfId="2719" priority="2719">
      <formula>"Premium"</formula>
    </cfRule>
  </conditionalFormatting>
  <conditionalFormatting sqref="J977">
    <cfRule type="cellIs" operator="equal" dxfId="2720" priority="2720">
      <formula>"R$"</formula>
    </cfRule>
  </conditionalFormatting>
  <conditionalFormatting sqref="K977">
    <cfRule type="cellIs" operator="equal" dxfId="2721" priority="2721">
      <formula>"Com impostos"</formula>
    </cfRule>
  </conditionalFormatting>
  <conditionalFormatting sqref="V977">
    <cfRule type="cellIs" operator="equal" dxfId="2722" priority="2722">
      <formula>"Mercado Envios grátis"</formula>
    </cfRule>
  </conditionalFormatting>
  <conditionalFormatting sqref="W977">
    <cfRule type="cellIs" operator="equal" dxfId="2723" priority="2723">
      <formula>"Premium"</formula>
    </cfRule>
  </conditionalFormatting>
  <conditionalFormatting sqref="J978">
    <cfRule type="cellIs" operator="equal" dxfId="2724" priority="2724">
      <formula>"R$"</formula>
    </cfRule>
  </conditionalFormatting>
  <conditionalFormatting sqref="K978">
    <cfRule type="cellIs" operator="equal" dxfId="2725" priority="2725">
      <formula>"Com impostos"</formula>
    </cfRule>
  </conditionalFormatting>
  <conditionalFormatting sqref="V978">
    <cfRule type="cellIs" operator="equal" dxfId="2726" priority="2726">
      <formula>"Mercado Envios grátis"</formula>
    </cfRule>
  </conditionalFormatting>
  <conditionalFormatting sqref="W978">
    <cfRule type="cellIs" operator="equal" dxfId="2727" priority="2727">
      <formula>"Premium"</formula>
    </cfRule>
  </conditionalFormatting>
  <conditionalFormatting sqref="J979">
    <cfRule type="cellIs" operator="equal" dxfId="2728" priority="2728">
      <formula>"R$"</formula>
    </cfRule>
  </conditionalFormatting>
  <conditionalFormatting sqref="K979">
    <cfRule type="cellIs" operator="equal" dxfId="2729" priority="2729">
      <formula>"Com impostos"</formula>
    </cfRule>
  </conditionalFormatting>
  <conditionalFormatting sqref="V979">
    <cfRule type="cellIs" operator="equal" dxfId="2730" priority="2730">
      <formula>"Mercado Envios por conta do comprador"</formula>
    </cfRule>
  </conditionalFormatting>
  <conditionalFormatting sqref="W979">
    <cfRule type="cellIs" operator="equal" dxfId="2731" priority="2731">
      <formula>"Premium"</formula>
    </cfRule>
  </conditionalFormatting>
  <conditionalFormatting sqref="J980">
    <cfRule type="cellIs" operator="equal" dxfId="2732" priority="2732">
      <formula>"R$"</formula>
    </cfRule>
  </conditionalFormatting>
  <conditionalFormatting sqref="K980">
    <cfRule type="cellIs" operator="equal" dxfId="2733" priority="2733">
      <formula>"Com impostos"</formula>
    </cfRule>
  </conditionalFormatting>
  <conditionalFormatting sqref="V980">
    <cfRule type="cellIs" operator="equal" dxfId="2734" priority="2734">
      <formula>"Mercado Envios grátis"</formula>
    </cfRule>
  </conditionalFormatting>
  <conditionalFormatting sqref="W980">
    <cfRule type="cellIs" operator="equal" dxfId="2735" priority="2735">
      <formula>"Premium"</formula>
    </cfRule>
  </conditionalFormatting>
  <conditionalFormatting sqref="J981">
    <cfRule type="cellIs" operator="equal" dxfId="2736" priority="2736">
      <formula>"R$"</formula>
    </cfRule>
  </conditionalFormatting>
  <conditionalFormatting sqref="K981">
    <cfRule type="cellIs" operator="equal" dxfId="2737" priority="2737">
      <formula>"Com impostos"</formula>
    </cfRule>
  </conditionalFormatting>
  <conditionalFormatting sqref="V981">
    <cfRule type="cellIs" operator="equal" dxfId="2738" priority="2738">
      <formula>"Mercado Envios grátis"</formula>
    </cfRule>
  </conditionalFormatting>
  <conditionalFormatting sqref="W981">
    <cfRule type="cellIs" operator="equal" dxfId="2739" priority="2739">
      <formula>"Premium"</formula>
    </cfRule>
  </conditionalFormatting>
  <conditionalFormatting sqref="J982">
    <cfRule type="cellIs" operator="equal" dxfId="2740" priority="2740">
      <formula>"R$"</formula>
    </cfRule>
  </conditionalFormatting>
  <conditionalFormatting sqref="K982">
    <cfRule type="cellIs" operator="equal" dxfId="2741" priority="2741">
      <formula>"Com impostos"</formula>
    </cfRule>
  </conditionalFormatting>
  <conditionalFormatting sqref="V982">
    <cfRule type="cellIs" operator="equal" dxfId="2742" priority="2742">
      <formula>"Mercado Envios grátis"</formula>
    </cfRule>
  </conditionalFormatting>
  <conditionalFormatting sqref="W982">
    <cfRule type="cellIs" operator="equal" dxfId="2743" priority="2743">
      <formula>"Premium"</formula>
    </cfRule>
  </conditionalFormatting>
  <conditionalFormatting sqref="J983">
    <cfRule type="cellIs" operator="equal" dxfId="2744" priority="2744">
      <formula>"R$"</formula>
    </cfRule>
  </conditionalFormatting>
  <conditionalFormatting sqref="K983">
    <cfRule type="cellIs" operator="equal" dxfId="2745" priority="2745">
      <formula>"Com impostos"</formula>
    </cfRule>
  </conditionalFormatting>
  <conditionalFormatting sqref="V983">
    <cfRule type="cellIs" operator="equal" dxfId="2746" priority="2746">
      <formula>"Mercado Envios por conta do comprador"</formula>
    </cfRule>
  </conditionalFormatting>
  <conditionalFormatting sqref="W983">
    <cfRule type="cellIs" operator="equal" dxfId="2747" priority="2747">
      <formula>"Clássico"</formula>
    </cfRule>
  </conditionalFormatting>
  <conditionalFormatting sqref="J984">
    <cfRule type="cellIs" operator="equal" dxfId="2748" priority="2748">
      <formula>"R$"</formula>
    </cfRule>
  </conditionalFormatting>
  <conditionalFormatting sqref="K984">
    <cfRule type="cellIs" operator="equal" dxfId="2749" priority="2749">
      <formula>"Com impostos"</formula>
    </cfRule>
  </conditionalFormatting>
  <conditionalFormatting sqref="V984">
    <cfRule type="cellIs" operator="equal" dxfId="2750" priority="2750">
      <formula>"Mercado Envios por conta do comprador"</formula>
    </cfRule>
  </conditionalFormatting>
  <conditionalFormatting sqref="W984">
    <cfRule type="cellIs" operator="equal" dxfId="2751" priority="2751">
      <formula>"Premium"</formula>
    </cfRule>
  </conditionalFormatting>
  <conditionalFormatting sqref="J985">
    <cfRule type="cellIs" operator="equal" dxfId="2752" priority="2752">
      <formula>"R$"</formula>
    </cfRule>
  </conditionalFormatting>
  <conditionalFormatting sqref="K985">
    <cfRule type="cellIs" operator="equal" dxfId="2753" priority="2753">
      <formula>"Com impostos"</formula>
    </cfRule>
  </conditionalFormatting>
  <conditionalFormatting sqref="V985">
    <cfRule type="cellIs" operator="equal" dxfId="2754" priority="2754">
      <formula>"Mercado Envios grátis"</formula>
    </cfRule>
  </conditionalFormatting>
  <conditionalFormatting sqref="W985">
    <cfRule type="cellIs" operator="equal" dxfId="2755" priority="2755">
      <formula>"Premium"</formula>
    </cfRule>
  </conditionalFormatting>
  <conditionalFormatting sqref="J986">
    <cfRule type="cellIs" operator="equal" dxfId="2756" priority="2756">
      <formula>"R$"</formula>
    </cfRule>
  </conditionalFormatting>
  <conditionalFormatting sqref="K986">
    <cfRule type="cellIs" operator="equal" dxfId="2757" priority="2757">
      <formula>"Com impostos"</formula>
    </cfRule>
  </conditionalFormatting>
  <conditionalFormatting sqref="V986">
    <cfRule type="cellIs" operator="equal" dxfId="2758" priority="2758">
      <formula>"Mercado Envios grátis"</formula>
    </cfRule>
  </conditionalFormatting>
  <conditionalFormatting sqref="W986">
    <cfRule type="cellIs" operator="equal" dxfId="2759" priority="2759">
      <formula>"Premium"</formula>
    </cfRule>
  </conditionalFormatting>
  <conditionalFormatting sqref="J987">
    <cfRule type="cellIs" operator="equal" dxfId="2760" priority="2760">
      <formula>"R$"</formula>
    </cfRule>
  </conditionalFormatting>
  <conditionalFormatting sqref="K987">
    <cfRule type="cellIs" operator="equal" dxfId="2761" priority="2761">
      <formula>"Com impostos"</formula>
    </cfRule>
  </conditionalFormatting>
  <conditionalFormatting sqref="V987">
    <cfRule type="cellIs" operator="equal" dxfId="2762" priority="2762">
      <formula>"Mercado Envios grátis"</formula>
    </cfRule>
  </conditionalFormatting>
  <conditionalFormatting sqref="W987">
    <cfRule type="cellIs" operator="equal" dxfId="2763" priority="2763">
      <formula>"Premium"</formula>
    </cfRule>
  </conditionalFormatting>
  <conditionalFormatting sqref="J988">
    <cfRule type="cellIs" operator="equal" dxfId="2764" priority="2764">
      <formula>"R$"</formula>
    </cfRule>
  </conditionalFormatting>
  <conditionalFormatting sqref="V988">
    <cfRule type="cellIs" operator="equal" dxfId="2765" priority="2765">
      <formula>"Mercado Envios grátis"</formula>
    </cfRule>
  </conditionalFormatting>
  <conditionalFormatting sqref="W988">
    <cfRule type="cellIs" operator="equal" dxfId="2766" priority="2766">
      <formula>"Premium"</formula>
    </cfRule>
  </conditionalFormatting>
  <conditionalFormatting sqref="J991">
    <cfRule type="cellIs" operator="equal" dxfId="2767" priority="2767">
      <formula>"R$"</formula>
    </cfRule>
  </conditionalFormatting>
  <conditionalFormatting sqref="K991">
    <cfRule type="cellIs" operator="equal" dxfId="2768" priority="2768">
      <formula>"Com impostos"</formula>
    </cfRule>
  </conditionalFormatting>
  <conditionalFormatting sqref="V991">
    <cfRule type="cellIs" operator="equal" dxfId="2769" priority="2769">
      <formula>"Mercado Envios grátis"</formula>
    </cfRule>
  </conditionalFormatting>
  <conditionalFormatting sqref="W991">
    <cfRule type="cellIs" operator="equal" dxfId="2770" priority="2770">
      <formula>"Clássico"</formula>
    </cfRule>
  </conditionalFormatting>
  <conditionalFormatting sqref="J992">
    <cfRule type="cellIs" operator="equal" dxfId="2771" priority="2771">
      <formula>"R$"</formula>
    </cfRule>
  </conditionalFormatting>
  <conditionalFormatting sqref="K992">
    <cfRule type="cellIs" operator="equal" dxfId="2772" priority="2772">
      <formula>"Com impostos"</formula>
    </cfRule>
  </conditionalFormatting>
  <conditionalFormatting sqref="V992">
    <cfRule type="cellIs" operator="equal" dxfId="2773" priority="2773">
      <formula>"Mercado Envios grátis"</formula>
    </cfRule>
  </conditionalFormatting>
  <conditionalFormatting sqref="W992">
    <cfRule type="cellIs" operator="equal" dxfId="2774" priority="2774">
      <formula>"Premium"</formula>
    </cfRule>
  </conditionalFormatting>
  <conditionalFormatting sqref="J993">
    <cfRule type="cellIs" operator="equal" dxfId="2775" priority="2775">
      <formula>"R$"</formula>
    </cfRule>
  </conditionalFormatting>
  <conditionalFormatting sqref="V993">
    <cfRule type="cellIs" operator="equal" dxfId="2776" priority="2776">
      <formula>"Mercado Envios grátis"</formula>
    </cfRule>
  </conditionalFormatting>
  <conditionalFormatting sqref="W993">
    <cfRule type="cellIs" operator="equal" dxfId="2777" priority="2777">
      <formula>"Clássico"</formula>
    </cfRule>
  </conditionalFormatting>
  <conditionalFormatting sqref="J996">
    <cfRule type="cellIs" operator="equal" dxfId="2778" priority="2778">
      <formula>"R$"</formula>
    </cfRule>
  </conditionalFormatting>
  <conditionalFormatting sqref="K996">
    <cfRule type="cellIs" operator="equal" dxfId="2779" priority="2779">
      <formula>"Com impostos"</formula>
    </cfRule>
  </conditionalFormatting>
  <conditionalFormatting sqref="V996">
    <cfRule type="cellIs" operator="equal" dxfId="2780" priority="2780">
      <formula>"Mercado Envios por conta do comprador"</formula>
    </cfRule>
  </conditionalFormatting>
  <conditionalFormatting sqref="W996">
    <cfRule type="cellIs" operator="equal" dxfId="2781" priority="2781">
      <formula>"Clássico"</formula>
    </cfRule>
  </conditionalFormatting>
  <conditionalFormatting sqref="J997">
    <cfRule type="cellIs" operator="equal" dxfId="2782" priority="2782">
      <formula>"R$"</formula>
    </cfRule>
  </conditionalFormatting>
  <conditionalFormatting sqref="K997">
    <cfRule type="cellIs" operator="equal" dxfId="2783" priority="2783">
      <formula>"Com impostos"</formula>
    </cfRule>
  </conditionalFormatting>
  <conditionalFormatting sqref="V997">
    <cfRule type="cellIs" operator="equal" dxfId="2784" priority="2784">
      <formula>"Mercado Envios grátis"</formula>
    </cfRule>
  </conditionalFormatting>
  <conditionalFormatting sqref="W997">
    <cfRule type="cellIs" operator="equal" dxfId="2785" priority="2785">
      <formula>"Clássico"</formula>
    </cfRule>
  </conditionalFormatting>
  <conditionalFormatting sqref="J998">
    <cfRule type="cellIs" operator="equal" dxfId="2786" priority="2786">
      <formula>"R$"</formula>
    </cfRule>
  </conditionalFormatting>
  <conditionalFormatting sqref="K998">
    <cfRule type="cellIs" operator="equal" dxfId="2787" priority="2787">
      <formula>"Com impostos"</formula>
    </cfRule>
  </conditionalFormatting>
  <conditionalFormatting sqref="V998">
    <cfRule type="cellIs" operator="equal" dxfId="2788" priority="2788">
      <formula>"Mercado Envios grátis"</formula>
    </cfRule>
  </conditionalFormatting>
  <conditionalFormatting sqref="W998">
    <cfRule type="cellIs" operator="equal" dxfId="2789" priority="2789">
      <formula>"Premium"</formula>
    </cfRule>
  </conditionalFormatting>
  <conditionalFormatting sqref="J999">
    <cfRule type="cellIs" operator="equal" dxfId="2790" priority="2790">
      <formula>"R$"</formula>
    </cfRule>
  </conditionalFormatting>
  <conditionalFormatting sqref="K999">
    <cfRule type="cellIs" operator="equal" dxfId="2791" priority="2791">
      <formula>"Com impostos"</formula>
    </cfRule>
  </conditionalFormatting>
  <conditionalFormatting sqref="V999">
    <cfRule type="cellIs" operator="equal" dxfId="2792" priority="2792">
      <formula>"Mercado Envios grátis"</formula>
    </cfRule>
  </conditionalFormatting>
  <conditionalFormatting sqref="W999">
    <cfRule type="cellIs" operator="equal" dxfId="2793" priority="2793">
      <formula>"Clássico"</formula>
    </cfRule>
  </conditionalFormatting>
  <conditionalFormatting sqref="J1000">
    <cfRule type="cellIs" operator="equal" dxfId="2794" priority="2794">
      <formula>"R$"</formula>
    </cfRule>
  </conditionalFormatting>
  <conditionalFormatting sqref="K1000">
    <cfRule type="cellIs" operator="equal" dxfId="2795" priority="2795">
      <formula>"Com impostos"</formula>
    </cfRule>
  </conditionalFormatting>
  <conditionalFormatting sqref="V1000">
    <cfRule type="cellIs" operator="equal" dxfId="2796" priority="2796">
      <formula>"Mercado Envios grátis"</formula>
    </cfRule>
  </conditionalFormatting>
  <conditionalFormatting sqref="W1000">
    <cfRule type="cellIs" operator="equal" dxfId="2797" priority="2797">
      <formula>"Premium"</formula>
    </cfRule>
  </conditionalFormatting>
  <conditionalFormatting sqref="J1001">
    <cfRule type="cellIs" operator="equal" dxfId="2798" priority="2798">
      <formula>"R$"</formula>
    </cfRule>
  </conditionalFormatting>
  <conditionalFormatting sqref="K1001">
    <cfRule type="cellIs" operator="equal" dxfId="2799" priority="2799">
      <formula>"Com impostos"</formula>
    </cfRule>
  </conditionalFormatting>
  <conditionalFormatting sqref="V1001">
    <cfRule type="cellIs" operator="equal" dxfId="2800" priority="2800">
      <formula>"Mercado Envios grátis"</formula>
    </cfRule>
  </conditionalFormatting>
  <conditionalFormatting sqref="W1001">
    <cfRule type="cellIs" operator="equal" dxfId="2801" priority="2801">
      <formula>"Premium"</formula>
    </cfRule>
  </conditionalFormatting>
  <conditionalFormatting sqref="J1002">
    <cfRule type="cellIs" operator="equal" dxfId="2802" priority="2802">
      <formula>"R$"</formula>
    </cfRule>
  </conditionalFormatting>
  <conditionalFormatting sqref="K1002">
    <cfRule type="cellIs" operator="equal" dxfId="2803" priority="2803">
      <formula>"Com impostos"</formula>
    </cfRule>
  </conditionalFormatting>
  <conditionalFormatting sqref="V1002">
    <cfRule type="cellIs" operator="equal" dxfId="2804" priority="2804">
      <formula>"Mercado Envios por conta do comprador"</formula>
    </cfRule>
  </conditionalFormatting>
  <conditionalFormatting sqref="W1002">
    <cfRule type="cellIs" operator="equal" dxfId="2805" priority="2805">
      <formula>"Clássico"</formula>
    </cfRule>
  </conditionalFormatting>
  <conditionalFormatting sqref="J1003">
    <cfRule type="cellIs" operator="equal" dxfId="2806" priority="2806">
      <formula>"R$"</formula>
    </cfRule>
  </conditionalFormatting>
  <conditionalFormatting sqref="K1003">
    <cfRule type="cellIs" operator="equal" dxfId="2807" priority="2807">
      <formula>"Com impostos"</formula>
    </cfRule>
  </conditionalFormatting>
  <conditionalFormatting sqref="V1003">
    <cfRule type="cellIs" operator="equal" dxfId="2808" priority="2808">
      <formula>"Mercado Envios por conta do comprador"</formula>
    </cfRule>
  </conditionalFormatting>
  <conditionalFormatting sqref="W1003">
    <cfRule type="cellIs" operator="equal" dxfId="2809" priority="2809">
      <formula>"Premium"</formula>
    </cfRule>
  </conditionalFormatting>
  <conditionalFormatting sqref="J1004">
    <cfRule type="cellIs" operator="equal" dxfId="2810" priority="2810">
      <formula>"R$"</formula>
    </cfRule>
  </conditionalFormatting>
  <conditionalFormatting sqref="K1004">
    <cfRule type="cellIs" operator="equal" dxfId="2811" priority="2811">
      <formula>"Com impostos"</formula>
    </cfRule>
  </conditionalFormatting>
  <conditionalFormatting sqref="V1004">
    <cfRule type="cellIs" operator="equal" dxfId="2812" priority="2812">
      <formula>"Mercado Envios grátis"</formula>
    </cfRule>
  </conditionalFormatting>
  <conditionalFormatting sqref="W1004">
    <cfRule type="cellIs" operator="equal" dxfId="2813" priority="2813">
      <formula>"Premium"</formula>
    </cfRule>
  </conditionalFormatting>
  <conditionalFormatting sqref="J1005">
    <cfRule type="cellIs" operator="equal" dxfId="2814" priority="2814">
      <formula>"R$"</formula>
    </cfRule>
  </conditionalFormatting>
  <conditionalFormatting sqref="K1005">
    <cfRule type="cellIs" operator="equal" dxfId="2815" priority="2815">
      <formula>"Com impostos"</formula>
    </cfRule>
  </conditionalFormatting>
  <conditionalFormatting sqref="V1005">
    <cfRule type="cellIs" operator="equal" dxfId="2816" priority="2816">
      <formula>"Mercado Envios grátis"</formula>
    </cfRule>
  </conditionalFormatting>
  <conditionalFormatting sqref="W1005">
    <cfRule type="cellIs" operator="equal" dxfId="2817" priority="2817">
      <formula>"Premium"</formula>
    </cfRule>
  </conditionalFormatting>
  <conditionalFormatting sqref="J1006">
    <cfRule type="cellIs" operator="equal" dxfId="2818" priority="2818">
      <formula>"R$"</formula>
    </cfRule>
  </conditionalFormatting>
  <conditionalFormatting sqref="K1006">
    <cfRule type="cellIs" operator="equal" dxfId="2819" priority="2819">
      <formula>"Com impostos"</formula>
    </cfRule>
  </conditionalFormatting>
  <conditionalFormatting sqref="V1006">
    <cfRule type="cellIs" operator="equal" dxfId="2820" priority="2820">
      <formula>"Mercado Envios grátis"</formula>
    </cfRule>
  </conditionalFormatting>
  <conditionalFormatting sqref="W1006">
    <cfRule type="cellIs" operator="equal" dxfId="2821" priority="2821">
      <formula>"Premium"</formula>
    </cfRule>
  </conditionalFormatting>
  <conditionalFormatting sqref="J1007">
    <cfRule type="cellIs" operator="equal" dxfId="2822" priority="2822">
      <formula>"R$"</formula>
    </cfRule>
  </conditionalFormatting>
  <conditionalFormatting sqref="K1007">
    <cfRule type="cellIs" operator="equal" dxfId="2823" priority="2823">
      <formula>"Com impostos"</formula>
    </cfRule>
  </conditionalFormatting>
  <conditionalFormatting sqref="V1007">
    <cfRule type="cellIs" operator="equal" dxfId="2824" priority="2824">
      <formula>"Mercado Envios grátis"</formula>
    </cfRule>
  </conditionalFormatting>
  <conditionalFormatting sqref="W1007">
    <cfRule type="cellIs" operator="equal" dxfId="2825" priority="2825">
      <formula>"Clássico"</formula>
    </cfRule>
  </conditionalFormatting>
  <conditionalFormatting sqref="J1008">
    <cfRule type="cellIs" operator="equal" dxfId="2826" priority="2826">
      <formula>"R$"</formula>
    </cfRule>
  </conditionalFormatting>
  <conditionalFormatting sqref="K1008">
    <cfRule type="cellIs" operator="equal" dxfId="2827" priority="2827">
      <formula>"Com impostos"</formula>
    </cfRule>
  </conditionalFormatting>
  <conditionalFormatting sqref="V1008">
    <cfRule type="cellIs" operator="equal" dxfId="2828" priority="2828">
      <formula>"Mercado Envios grátis"</formula>
    </cfRule>
  </conditionalFormatting>
  <conditionalFormatting sqref="W1008">
    <cfRule type="cellIs" operator="equal" dxfId="2829" priority="2829">
      <formula>"Premium"</formula>
    </cfRule>
  </conditionalFormatting>
  <conditionalFormatting sqref="J1009">
    <cfRule type="cellIs" operator="equal" dxfId="2830" priority="2830">
      <formula>"R$"</formula>
    </cfRule>
  </conditionalFormatting>
  <conditionalFormatting sqref="K1009">
    <cfRule type="cellIs" operator="equal" dxfId="2831" priority="2831">
      <formula>"Com impostos"</formula>
    </cfRule>
  </conditionalFormatting>
  <conditionalFormatting sqref="V1009">
    <cfRule type="cellIs" operator="equal" dxfId="2832" priority="2832">
      <formula>"Mercado Envios grátis"</formula>
    </cfRule>
  </conditionalFormatting>
  <conditionalFormatting sqref="W1009">
    <cfRule type="cellIs" operator="equal" dxfId="2833" priority="2833">
      <formula>"Clássico"</formula>
    </cfRule>
  </conditionalFormatting>
  <conditionalFormatting sqref="J1010">
    <cfRule type="cellIs" operator="equal" dxfId="2834" priority="2834">
      <formula>"R$"</formula>
    </cfRule>
  </conditionalFormatting>
  <conditionalFormatting sqref="K1010">
    <cfRule type="cellIs" operator="equal" dxfId="2835" priority="2835">
      <formula>"Com impostos"</formula>
    </cfRule>
  </conditionalFormatting>
  <conditionalFormatting sqref="V1010">
    <cfRule type="cellIs" operator="equal" dxfId="2836" priority="2836">
      <formula>"Mercado Envios grátis"</formula>
    </cfRule>
  </conditionalFormatting>
  <conditionalFormatting sqref="W1010">
    <cfRule type="cellIs" operator="equal" dxfId="2837" priority="2837">
      <formula>"Premium"</formula>
    </cfRule>
  </conditionalFormatting>
  <conditionalFormatting sqref="J1011">
    <cfRule type="cellIs" operator="equal" dxfId="2838" priority="2838">
      <formula>"R$"</formula>
    </cfRule>
  </conditionalFormatting>
  <conditionalFormatting sqref="V1011">
    <cfRule type="cellIs" operator="equal" dxfId="2839" priority="2839">
      <formula>"Mercado Envios grátis"</formula>
    </cfRule>
  </conditionalFormatting>
  <conditionalFormatting sqref="W1011">
    <cfRule type="cellIs" operator="equal" dxfId="2840" priority="2840">
      <formula>"Premium"</formula>
    </cfRule>
  </conditionalFormatting>
  <conditionalFormatting sqref="J1014">
    <cfRule type="cellIs" operator="equal" dxfId="2841" priority="2841">
      <formula>"R$"</formula>
    </cfRule>
  </conditionalFormatting>
  <conditionalFormatting sqref="K1014">
    <cfRule type="cellIs" operator="equal" dxfId="2842" priority="2842">
      <formula>"Com impostos"</formula>
    </cfRule>
  </conditionalFormatting>
  <conditionalFormatting sqref="V1014">
    <cfRule type="cellIs" operator="equal" dxfId="2843" priority="2843">
      <formula>"Mercado Envios grátis"</formula>
    </cfRule>
  </conditionalFormatting>
  <conditionalFormatting sqref="W1014">
    <cfRule type="cellIs" operator="equal" dxfId="2844" priority="2844">
      <formula>"Clássico"</formula>
    </cfRule>
  </conditionalFormatting>
  <conditionalFormatting sqref="J1015">
    <cfRule type="cellIs" operator="equal" dxfId="2845" priority="2845">
      <formula>"R$"</formula>
    </cfRule>
  </conditionalFormatting>
  <conditionalFormatting sqref="K1015">
    <cfRule type="cellIs" operator="equal" dxfId="2846" priority="2846">
      <formula>"Com impostos"</formula>
    </cfRule>
  </conditionalFormatting>
  <conditionalFormatting sqref="V1015">
    <cfRule type="cellIs" operator="equal" dxfId="2847" priority="2847">
      <formula>"Mercado Envios grátis"</formula>
    </cfRule>
  </conditionalFormatting>
  <conditionalFormatting sqref="W1015">
    <cfRule type="cellIs" operator="equal" dxfId="2848" priority="2848">
      <formula>"Premium"</formula>
    </cfRule>
  </conditionalFormatting>
  <conditionalFormatting sqref="J1016">
    <cfRule type="cellIs" operator="equal" dxfId="2849" priority="2849">
      <formula>"R$"</formula>
    </cfRule>
  </conditionalFormatting>
  <conditionalFormatting sqref="K1016">
    <cfRule type="cellIs" operator="equal" dxfId="2850" priority="2850">
      <formula>"Com impostos"</formula>
    </cfRule>
  </conditionalFormatting>
  <conditionalFormatting sqref="V1016">
    <cfRule type="cellIs" operator="equal" dxfId="2851" priority="2851">
      <formula>"Mercado Envios por conta do comprador"</formula>
    </cfRule>
  </conditionalFormatting>
  <conditionalFormatting sqref="W1016">
    <cfRule type="cellIs" operator="equal" dxfId="2852" priority="2852">
      <formula>"Clássico"</formula>
    </cfRule>
  </conditionalFormatting>
  <conditionalFormatting sqref="J1017">
    <cfRule type="cellIs" operator="equal" dxfId="2853" priority="2853">
      <formula>"R$"</formula>
    </cfRule>
  </conditionalFormatting>
  <conditionalFormatting sqref="K1017">
    <cfRule type="cellIs" operator="equal" dxfId="2854" priority="2854">
      <formula>"Com impostos"</formula>
    </cfRule>
  </conditionalFormatting>
  <conditionalFormatting sqref="V1017">
    <cfRule type="cellIs" operator="equal" dxfId="2855" priority="2855">
      <formula>"Mercado Envios grátis"</formula>
    </cfRule>
  </conditionalFormatting>
  <conditionalFormatting sqref="W1017">
    <cfRule type="cellIs" operator="equal" dxfId="2856" priority="2856">
      <formula>"Premium"</formula>
    </cfRule>
  </conditionalFormatting>
  <conditionalFormatting sqref="J1018">
    <cfRule type="cellIs" operator="equal" dxfId="2857" priority="2857">
      <formula>"R$"</formula>
    </cfRule>
  </conditionalFormatting>
  <conditionalFormatting sqref="K1018">
    <cfRule type="cellIs" operator="equal" dxfId="2858" priority="2858">
      <formula>"Com impostos"</formula>
    </cfRule>
  </conditionalFormatting>
  <conditionalFormatting sqref="V1018">
    <cfRule type="cellIs" operator="equal" dxfId="2859" priority="2859">
      <formula>"Mercado Envios por conta do comprador"</formula>
    </cfRule>
  </conditionalFormatting>
  <conditionalFormatting sqref="W1018">
    <cfRule type="cellIs" operator="equal" dxfId="2860" priority="2860">
      <formula>"Clássico"</formula>
    </cfRule>
  </conditionalFormatting>
  <conditionalFormatting sqref="J1019">
    <cfRule type="cellIs" operator="equal" dxfId="2861" priority="2861">
      <formula>"R$"</formula>
    </cfRule>
  </conditionalFormatting>
  <conditionalFormatting sqref="V1019">
    <cfRule type="cellIs" operator="equal" dxfId="2862" priority="2862">
      <formula>"Mercado Envios grátis"</formula>
    </cfRule>
  </conditionalFormatting>
  <conditionalFormatting sqref="W1019">
    <cfRule type="cellIs" operator="equal" dxfId="2863" priority="2863">
      <formula>"Premium"</formula>
    </cfRule>
  </conditionalFormatting>
  <conditionalFormatting sqref="J1022">
    <cfRule type="cellIs" operator="equal" dxfId="2864" priority="2864">
      <formula>"R$"</formula>
    </cfRule>
  </conditionalFormatting>
  <conditionalFormatting sqref="K1022">
    <cfRule type="cellIs" operator="equal" dxfId="2865" priority="2865">
      <formula>"Com impostos"</formula>
    </cfRule>
  </conditionalFormatting>
  <conditionalFormatting sqref="V1022">
    <cfRule type="cellIs" operator="equal" dxfId="2866" priority="2866">
      <formula>"Mercado Envios por conta do comprador"</formula>
    </cfRule>
  </conditionalFormatting>
  <conditionalFormatting sqref="W1022">
    <cfRule type="cellIs" operator="equal" dxfId="2867" priority="2867">
      <formula>"Clássico"</formula>
    </cfRule>
  </conditionalFormatting>
  <conditionalFormatting sqref="J1023">
    <cfRule type="cellIs" operator="equal" dxfId="2868" priority="2868">
      <formula>"R$"</formula>
    </cfRule>
  </conditionalFormatting>
  <conditionalFormatting sqref="K1023">
    <cfRule type="cellIs" operator="equal" dxfId="2869" priority="2869">
      <formula>"Com impostos"</formula>
    </cfRule>
  </conditionalFormatting>
  <conditionalFormatting sqref="V1023">
    <cfRule type="cellIs" operator="equal" dxfId="2870" priority="2870">
      <formula>"Mercado Envios grátis"</formula>
    </cfRule>
  </conditionalFormatting>
  <conditionalFormatting sqref="W1023">
    <cfRule type="cellIs" operator="equal" dxfId="2871" priority="2871">
      <formula>"Clássico"</formula>
    </cfRule>
  </conditionalFormatting>
  <conditionalFormatting sqref="J1024">
    <cfRule type="cellIs" operator="equal" dxfId="2872" priority="2872">
      <formula>"R$"</formula>
    </cfRule>
  </conditionalFormatting>
  <conditionalFormatting sqref="K1024">
    <cfRule type="cellIs" operator="equal" dxfId="2873" priority="2873">
      <formula>"Com impostos"</formula>
    </cfRule>
  </conditionalFormatting>
  <conditionalFormatting sqref="V1024">
    <cfRule type="cellIs" operator="equal" dxfId="2874" priority="2874">
      <formula>"Mercado Envios grátis"</formula>
    </cfRule>
  </conditionalFormatting>
  <conditionalFormatting sqref="W1024">
    <cfRule type="cellIs" operator="equal" dxfId="2875" priority="2875">
      <formula>"Clássico"</formula>
    </cfRule>
  </conditionalFormatting>
  <conditionalFormatting sqref="J1025">
    <cfRule type="cellIs" operator="equal" dxfId="2876" priority="2876">
      <formula>"R$"</formula>
    </cfRule>
  </conditionalFormatting>
  <conditionalFormatting sqref="K1025">
    <cfRule type="cellIs" operator="equal" dxfId="2877" priority="2877">
      <formula>"Com impostos"</formula>
    </cfRule>
  </conditionalFormatting>
  <conditionalFormatting sqref="V1025">
    <cfRule type="cellIs" operator="equal" dxfId="2878" priority="2878">
      <formula>"Mercado Envios grátis"</formula>
    </cfRule>
  </conditionalFormatting>
  <conditionalFormatting sqref="W1025">
    <cfRule type="cellIs" operator="equal" dxfId="2879" priority="2879">
      <formula>"Premium"</formula>
    </cfRule>
  </conditionalFormatting>
  <conditionalFormatting sqref="J1026">
    <cfRule type="cellIs" operator="equal" dxfId="2880" priority="2880">
      <formula>"R$"</formula>
    </cfRule>
  </conditionalFormatting>
  <conditionalFormatting sqref="K1026">
    <cfRule type="cellIs" operator="equal" dxfId="2881" priority="2881">
      <formula>"Com impostos"</formula>
    </cfRule>
  </conditionalFormatting>
  <conditionalFormatting sqref="V1026">
    <cfRule type="cellIs" operator="equal" dxfId="2882" priority="2882">
      <formula>"Mercado Envios grátis"</formula>
    </cfRule>
  </conditionalFormatting>
  <conditionalFormatting sqref="W1026">
    <cfRule type="cellIs" operator="equal" dxfId="2883" priority="2883">
      <formula>"Clássico"</formula>
    </cfRule>
  </conditionalFormatting>
  <conditionalFormatting sqref="J1027">
    <cfRule type="cellIs" operator="equal" dxfId="2884" priority="2884">
      <formula>"R$"</formula>
    </cfRule>
  </conditionalFormatting>
  <conditionalFormatting sqref="K1027">
    <cfRule type="cellIs" operator="equal" dxfId="2885" priority="2885">
      <formula>"Com impostos"</formula>
    </cfRule>
  </conditionalFormatting>
  <conditionalFormatting sqref="V1027">
    <cfRule type="cellIs" operator="equal" dxfId="2886" priority="2886">
      <formula>"Mercado Envios grátis"</formula>
    </cfRule>
  </conditionalFormatting>
  <conditionalFormatting sqref="W1027">
    <cfRule type="cellIs" operator="equal" dxfId="2887" priority="2887">
      <formula>"Clássico"</formula>
    </cfRule>
  </conditionalFormatting>
  <conditionalFormatting sqref="J1028">
    <cfRule type="cellIs" operator="equal" dxfId="2888" priority="2888">
      <formula>"R$"</formula>
    </cfRule>
  </conditionalFormatting>
  <conditionalFormatting sqref="K1028">
    <cfRule type="cellIs" operator="equal" dxfId="2889" priority="2889">
      <formula>"Com impostos"</formula>
    </cfRule>
  </conditionalFormatting>
  <conditionalFormatting sqref="V1028">
    <cfRule type="cellIs" operator="equal" dxfId="2890" priority="2890">
      <formula>"Mercado Envios grátis"</formula>
    </cfRule>
  </conditionalFormatting>
  <conditionalFormatting sqref="W1028">
    <cfRule type="cellIs" operator="equal" dxfId="2891" priority="2891">
      <formula>"Clássico"</formula>
    </cfRule>
  </conditionalFormatting>
  <conditionalFormatting sqref="J1029">
    <cfRule type="cellIs" operator="equal" dxfId="2892" priority="2892">
      <formula>"R$"</formula>
    </cfRule>
  </conditionalFormatting>
  <conditionalFormatting sqref="K1029">
    <cfRule type="cellIs" operator="equal" dxfId="2893" priority="2893">
      <formula>"Com impostos"</formula>
    </cfRule>
  </conditionalFormatting>
  <conditionalFormatting sqref="V1029">
    <cfRule type="cellIs" operator="equal" dxfId="2894" priority="2894">
      <formula>"Mercado Envios grátis"</formula>
    </cfRule>
  </conditionalFormatting>
  <conditionalFormatting sqref="W1029">
    <cfRule type="cellIs" operator="equal" dxfId="2895" priority="2895">
      <formula>"Clássico"</formula>
    </cfRule>
  </conditionalFormatting>
  <conditionalFormatting sqref="J1030">
    <cfRule type="cellIs" operator="equal" dxfId="2896" priority="2896">
      <formula>"R$"</formula>
    </cfRule>
  </conditionalFormatting>
  <conditionalFormatting sqref="K1030">
    <cfRule type="cellIs" operator="equal" dxfId="2897" priority="2897">
      <formula>"Com impostos"</formula>
    </cfRule>
  </conditionalFormatting>
  <conditionalFormatting sqref="V1030">
    <cfRule type="cellIs" operator="equal" dxfId="2898" priority="2898">
      <formula>"Mercado Envios grátis"</formula>
    </cfRule>
  </conditionalFormatting>
  <conditionalFormatting sqref="W1030">
    <cfRule type="cellIs" operator="equal" dxfId="2899" priority="2899">
      <formula>"Premium"</formula>
    </cfRule>
  </conditionalFormatting>
  <conditionalFormatting sqref="J1031">
    <cfRule type="cellIs" operator="equal" dxfId="2900" priority="2900">
      <formula>"R$"</formula>
    </cfRule>
  </conditionalFormatting>
  <conditionalFormatting sqref="K1031">
    <cfRule type="cellIs" operator="equal" dxfId="2901" priority="2901">
      <formula>"Com impostos"</formula>
    </cfRule>
  </conditionalFormatting>
  <conditionalFormatting sqref="V1031">
    <cfRule type="cellIs" operator="equal" dxfId="2902" priority="2902">
      <formula>"Mercado Envios grátis"</formula>
    </cfRule>
  </conditionalFormatting>
  <conditionalFormatting sqref="W1031">
    <cfRule type="cellIs" operator="equal" dxfId="2903" priority="2903">
      <formula>"Clássico"</formula>
    </cfRule>
  </conditionalFormatting>
  <conditionalFormatting sqref="J1032">
    <cfRule type="cellIs" operator="equal" dxfId="2904" priority="2904">
      <formula>"R$"</formula>
    </cfRule>
  </conditionalFormatting>
  <conditionalFormatting sqref="K1032">
    <cfRule type="cellIs" operator="equal" dxfId="2905" priority="2905">
      <formula>"Com impostos"</formula>
    </cfRule>
  </conditionalFormatting>
  <conditionalFormatting sqref="V1032">
    <cfRule type="cellIs" operator="equal" dxfId="2906" priority="2906">
      <formula>"Mercado Envios grátis"</formula>
    </cfRule>
  </conditionalFormatting>
  <conditionalFormatting sqref="W1032">
    <cfRule type="cellIs" operator="equal" dxfId="2907" priority="2907">
      <formula>"Clássico"</formula>
    </cfRule>
  </conditionalFormatting>
  <conditionalFormatting sqref="J1033">
    <cfRule type="cellIs" operator="equal" dxfId="2908" priority="2908">
      <formula>"R$"</formula>
    </cfRule>
  </conditionalFormatting>
  <conditionalFormatting sqref="V1033">
    <cfRule type="cellIs" operator="equal" dxfId="2909" priority="2909">
      <formula>"Mercado Envios grátis"</formula>
    </cfRule>
  </conditionalFormatting>
  <conditionalFormatting sqref="W1033">
    <cfRule type="cellIs" operator="equal" dxfId="2910" priority="2910">
      <formula>"Premium"</formula>
    </cfRule>
  </conditionalFormatting>
  <conditionalFormatting sqref="J1036">
    <cfRule type="cellIs" operator="equal" dxfId="2911" priority="2911">
      <formula>"R$"</formula>
    </cfRule>
  </conditionalFormatting>
  <conditionalFormatting sqref="K1036">
    <cfRule type="cellIs" operator="equal" dxfId="2912" priority="2912">
      <formula>"Com impostos"</formula>
    </cfRule>
  </conditionalFormatting>
  <conditionalFormatting sqref="V1036">
    <cfRule type="cellIs" operator="equal" dxfId="2913" priority="2913">
      <formula>"Mercado Envios grátis"</formula>
    </cfRule>
  </conditionalFormatting>
  <conditionalFormatting sqref="W1036">
    <cfRule type="cellIs" operator="equal" dxfId="2914" priority="2914">
      <formula>"Premium"</formula>
    </cfRule>
  </conditionalFormatting>
  <conditionalFormatting sqref="J1037">
    <cfRule type="cellIs" operator="equal" dxfId="2915" priority="2915">
      <formula>"R$"</formula>
    </cfRule>
  </conditionalFormatting>
  <conditionalFormatting sqref="K1037">
    <cfRule type="cellIs" operator="equal" dxfId="2916" priority="2916">
      <formula>"Com impostos"</formula>
    </cfRule>
  </conditionalFormatting>
  <conditionalFormatting sqref="V1037">
    <cfRule type="cellIs" operator="equal" dxfId="2917" priority="2917">
      <formula>"Mercado Envios grátis"</formula>
    </cfRule>
  </conditionalFormatting>
  <conditionalFormatting sqref="W1037">
    <cfRule type="cellIs" operator="equal" dxfId="2918" priority="2918">
      <formula>"Premium"</formula>
    </cfRule>
  </conditionalFormatting>
  <conditionalFormatting sqref="J1038">
    <cfRule type="cellIs" operator="equal" dxfId="2919" priority="2919">
      <formula>"R$"</formula>
    </cfRule>
  </conditionalFormatting>
  <conditionalFormatting sqref="K1038">
    <cfRule type="cellIs" operator="equal" dxfId="2920" priority="2920">
      <formula>"Com impostos"</formula>
    </cfRule>
  </conditionalFormatting>
  <conditionalFormatting sqref="V1038">
    <cfRule type="cellIs" operator="equal" dxfId="2921" priority="2921">
      <formula>"Mercado Envios grátis"</formula>
    </cfRule>
  </conditionalFormatting>
  <conditionalFormatting sqref="W1038">
    <cfRule type="cellIs" operator="equal" dxfId="2922" priority="2922">
      <formula>"Premium"</formula>
    </cfRule>
  </conditionalFormatting>
  <conditionalFormatting sqref="J1039">
    <cfRule type="cellIs" operator="equal" dxfId="2923" priority="2923">
      <formula>"R$"</formula>
    </cfRule>
  </conditionalFormatting>
  <conditionalFormatting sqref="K1039">
    <cfRule type="cellIs" operator="equal" dxfId="2924" priority="2924">
      <formula>"Com impostos"</formula>
    </cfRule>
  </conditionalFormatting>
  <conditionalFormatting sqref="V1039">
    <cfRule type="cellIs" operator="equal" dxfId="2925" priority="2925">
      <formula>"Mercado Envios grátis"</formula>
    </cfRule>
  </conditionalFormatting>
  <conditionalFormatting sqref="W1039">
    <cfRule type="cellIs" operator="equal" dxfId="2926" priority="2926">
      <formula>"Premium"</formula>
    </cfRule>
  </conditionalFormatting>
  <conditionalFormatting sqref="J1040">
    <cfRule type="cellIs" operator="equal" dxfId="2927" priority="2927">
      <formula>"R$"</formula>
    </cfRule>
  </conditionalFormatting>
  <conditionalFormatting sqref="K1040">
    <cfRule type="cellIs" operator="equal" dxfId="2928" priority="2928">
      <formula>"Com impostos"</formula>
    </cfRule>
  </conditionalFormatting>
  <conditionalFormatting sqref="V1040">
    <cfRule type="cellIs" operator="equal" dxfId="2929" priority="2929">
      <formula>"Mercado Envios grátis"</formula>
    </cfRule>
  </conditionalFormatting>
  <conditionalFormatting sqref="W1040">
    <cfRule type="cellIs" operator="equal" dxfId="2930" priority="2930">
      <formula>"Clássico"</formula>
    </cfRule>
  </conditionalFormatting>
  <conditionalFormatting sqref="J1041">
    <cfRule type="cellIs" operator="equal" dxfId="2931" priority="2931">
      <formula>"R$"</formula>
    </cfRule>
  </conditionalFormatting>
  <conditionalFormatting sqref="K1041">
    <cfRule type="cellIs" operator="equal" dxfId="2932" priority="2932">
      <formula>"Com impostos"</formula>
    </cfRule>
  </conditionalFormatting>
  <conditionalFormatting sqref="V1041">
    <cfRule type="cellIs" operator="equal" dxfId="2933" priority="2933">
      <formula>"Mercado Envios grátis"</formula>
    </cfRule>
  </conditionalFormatting>
  <conditionalFormatting sqref="W1041">
    <cfRule type="cellIs" operator="equal" dxfId="2934" priority="2934">
      <formula>"Clássico"</formula>
    </cfRule>
  </conditionalFormatting>
  <conditionalFormatting sqref="J1042">
    <cfRule type="cellIs" operator="equal" dxfId="2935" priority="2935">
      <formula>"R$"</formula>
    </cfRule>
  </conditionalFormatting>
  <conditionalFormatting sqref="K1042">
    <cfRule type="cellIs" operator="equal" dxfId="2936" priority="2936">
      <formula>"Com impostos"</formula>
    </cfRule>
  </conditionalFormatting>
  <conditionalFormatting sqref="V1042">
    <cfRule type="cellIs" operator="equal" dxfId="2937" priority="2937">
      <formula>"Mercado Envios grátis"</formula>
    </cfRule>
  </conditionalFormatting>
  <conditionalFormatting sqref="W1042">
    <cfRule type="cellIs" operator="equal" dxfId="2938" priority="2938">
      <formula>"Clássico"</formula>
    </cfRule>
  </conditionalFormatting>
  <conditionalFormatting sqref="J1043">
    <cfRule type="cellIs" operator="equal" dxfId="2939" priority="2939">
      <formula>"R$"</formula>
    </cfRule>
  </conditionalFormatting>
  <conditionalFormatting sqref="K1043">
    <cfRule type="cellIs" operator="equal" dxfId="2940" priority="2940">
      <formula>"Com impostos"</formula>
    </cfRule>
  </conditionalFormatting>
  <conditionalFormatting sqref="V1043">
    <cfRule type="cellIs" operator="equal" dxfId="2941" priority="2941">
      <formula>"Mercado Envios por conta do comprador"</formula>
    </cfRule>
  </conditionalFormatting>
  <conditionalFormatting sqref="W1043">
    <cfRule type="cellIs" operator="equal" dxfId="2942" priority="2942">
      <formula>"Premium"</formula>
    </cfRule>
  </conditionalFormatting>
  <conditionalFormatting sqref="J1044">
    <cfRule type="cellIs" operator="equal" dxfId="2943" priority="2943">
      <formula>"R$"</formula>
    </cfRule>
  </conditionalFormatting>
  <conditionalFormatting sqref="K1044">
    <cfRule type="cellIs" operator="equal" dxfId="2944" priority="2944">
      <formula>"Com impostos"</formula>
    </cfRule>
  </conditionalFormatting>
  <conditionalFormatting sqref="V1044">
    <cfRule type="cellIs" operator="equal" dxfId="2945" priority="2945">
      <formula>"Mercado Envios grátis"</formula>
    </cfRule>
  </conditionalFormatting>
  <conditionalFormatting sqref="W1044">
    <cfRule type="cellIs" operator="equal" dxfId="2946" priority="2946">
      <formula>"Premium"</formula>
    </cfRule>
  </conditionalFormatting>
  <conditionalFormatting sqref="J1045">
    <cfRule type="cellIs" operator="equal" dxfId="2947" priority="2947">
      <formula>"R$"</formula>
    </cfRule>
  </conditionalFormatting>
  <conditionalFormatting sqref="K1045">
    <cfRule type="cellIs" operator="equal" dxfId="2948" priority="2948">
      <formula>"Com impostos"</formula>
    </cfRule>
  </conditionalFormatting>
  <conditionalFormatting sqref="V1045">
    <cfRule type="cellIs" operator="equal" dxfId="2949" priority="2949">
      <formula>"Mercado Envios grátis"</formula>
    </cfRule>
  </conditionalFormatting>
  <conditionalFormatting sqref="W1045">
    <cfRule type="cellIs" operator="equal" dxfId="2950" priority="2950">
      <formula>"Clássico"</formula>
    </cfRule>
  </conditionalFormatting>
  <conditionalFormatting sqref="J1046">
    <cfRule type="cellIs" operator="equal" dxfId="2951" priority="2951">
      <formula>"R$"</formula>
    </cfRule>
  </conditionalFormatting>
  <conditionalFormatting sqref="K1046">
    <cfRule type="cellIs" operator="equal" dxfId="2952" priority="2952">
      <formula>"Com impostos"</formula>
    </cfRule>
  </conditionalFormatting>
  <conditionalFormatting sqref="V1046">
    <cfRule type="cellIs" operator="equal" dxfId="2953" priority="2953">
      <formula>"Mercado Envios grátis"</formula>
    </cfRule>
  </conditionalFormatting>
  <conditionalFormatting sqref="W1046">
    <cfRule type="cellIs" operator="equal" dxfId="2954" priority="2954">
      <formula>"Premium"</formula>
    </cfRule>
  </conditionalFormatting>
  <conditionalFormatting sqref="J1047">
    <cfRule type="cellIs" operator="equal" dxfId="2955" priority="2955">
      <formula>"R$"</formula>
    </cfRule>
  </conditionalFormatting>
  <conditionalFormatting sqref="K1047">
    <cfRule type="cellIs" operator="equal" dxfId="2956" priority="2956">
      <formula>"Com impostos"</formula>
    </cfRule>
  </conditionalFormatting>
  <conditionalFormatting sqref="V1047">
    <cfRule type="cellIs" operator="equal" dxfId="2957" priority="2957">
      <formula>"Mercado Envios grátis"</formula>
    </cfRule>
  </conditionalFormatting>
  <conditionalFormatting sqref="W1047">
    <cfRule type="cellIs" operator="equal" dxfId="2958" priority="2958">
      <formula>"Premium"</formula>
    </cfRule>
  </conditionalFormatting>
  <conditionalFormatting sqref="J1048">
    <cfRule type="cellIs" operator="equal" dxfId="2959" priority="2959">
      <formula>"R$"</formula>
    </cfRule>
  </conditionalFormatting>
  <conditionalFormatting sqref="K1048">
    <cfRule type="cellIs" operator="equal" dxfId="2960" priority="2960">
      <formula>"Com impostos"</formula>
    </cfRule>
  </conditionalFormatting>
  <conditionalFormatting sqref="V1048">
    <cfRule type="cellIs" operator="equal" dxfId="2961" priority="2961">
      <formula>"Mercado Envios grátis"</formula>
    </cfRule>
  </conditionalFormatting>
  <conditionalFormatting sqref="W1048">
    <cfRule type="cellIs" operator="equal" dxfId="2962" priority="2962">
      <formula>"Clássico"</formula>
    </cfRule>
  </conditionalFormatting>
  <conditionalFormatting sqref="J1049">
    <cfRule type="cellIs" operator="equal" dxfId="2963" priority="2963">
      <formula>"R$"</formula>
    </cfRule>
  </conditionalFormatting>
  <conditionalFormatting sqref="K1049">
    <cfRule type="cellIs" operator="equal" dxfId="2964" priority="2964">
      <formula>"Com impostos"</formula>
    </cfRule>
  </conditionalFormatting>
  <conditionalFormatting sqref="V1049">
    <cfRule type="cellIs" operator="equal" dxfId="2965" priority="2965">
      <formula>"Mercado Envios grátis"</formula>
    </cfRule>
  </conditionalFormatting>
  <conditionalFormatting sqref="W1049">
    <cfRule type="cellIs" operator="equal" dxfId="2966" priority="2966">
      <formula>"Premium"</formula>
    </cfRule>
  </conditionalFormatting>
  <conditionalFormatting sqref="J1050">
    <cfRule type="cellIs" operator="equal" dxfId="2967" priority="2967">
      <formula>"R$"</formula>
    </cfRule>
  </conditionalFormatting>
  <conditionalFormatting sqref="K1050">
    <cfRule type="cellIs" operator="equal" dxfId="2968" priority="2968">
      <formula>"Com impostos"</formula>
    </cfRule>
  </conditionalFormatting>
  <conditionalFormatting sqref="V1050">
    <cfRule type="cellIs" operator="equal" dxfId="2969" priority="2969">
      <formula>"Mercado Envios grátis"</formula>
    </cfRule>
  </conditionalFormatting>
  <conditionalFormatting sqref="W1050">
    <cfRule type="cellIs" operator="equal" dxfId="2970" priority="2970">
      <formula>"Clássico"</formula>
    </cfRule>
  </conditionalFormatting>
  <conditionalFormatting sqref="J1051">
    <cfRule type="cellIs" operator="equal" dxfId="2971" priority="2971">
      <formula>"R$"</formula>
    </cfRule>
  </conditionalFormatting>
  <conditionalFormatting sqref="K1051">
    <cfRule type="cellIs" operator="equal" dxfId="2972" priority="2972">
      <formula>"Com impostos"</formula>
    </cfRule>
  </conditionalFormatting>
  <conditionalFormatting sqref="V1051">
    <cfRule type="cellIs" operator="equal" dxfId="2973" priority="2973">
      <formula>"Mercado Envios por conta do comprador"</formula>
    </cfRule>
  </conditionalFormatting>
  <conditionalFormatting sqref="W1051">
    <cfRule type="cellIs" operator="equal" dxfId="2974" priority="2974">
      <formula>"Clássico"</formula>
    </cfRule>
  </conditionalFormatting>
  <conditionalFormatting sqref="J1052">
    <cfRule type="cellIs" operator="equal" dxfId="2975" priority="2975">
      <formula>"R$"</formula>
    </cfRule>
  </conditionalFormatting>
  <conditionalFormatting sqref="K1052">
    <cfRule type="cellIs" operator="equal" dxfId="2976" priority="2976">
      <formula>"Com impostos"</formula>
    </cfRule>
  </conditionalFormatting>
  <conditionalFormatting sqref="V1052">
    <cfRule type="cellIs" operator="equal" dxfId="2977" priority="2977">
      <formula>"Mercado Envios grátis"</formula>
    </cfRule>
  </conditionalFormatting>
  <conditionalFormatting sqref="W1052">
    <cfRule type="cellIs" operator="equal" dxfId="2978" priority="2978">
      <formula>"Clássico"</formula>
    </cfRule>
  </conditionalFormatting>
  <conditionalFormatting sqref="J1053">
    <cfRule type="cellIs" operator="equal" dxfId="2979" priority="2979">
      <formula>"R$"</formula>
    </cfRule>
  </conditionalFormatting>
  <conditionalFormatting sqref="V1053">
    <cfRule type="cellIs" operator="equal" dxfId="2980" priority="2980">
      <formula>"Mercado Envios grátis"</formula>
    </cfRule>
  </conditionalFormatting>
  <conditionalFormatting sqref="W1053">
    <cfRule type="cellIs" operator="equal" dxfId="2981" priority="2981">
      <formula>"Premium"</formula>
    </cfRule>
  </conditionalFormatting>
  <conditionalFormatting sqref="J1056">
    <cfRule type="cellIs" operator="equal" dxfId="2982" priority="2982">
      <formula>"R$"</formula>
    </cfRule>
  </conditionalFormatting>
  <conditionalFormatting sqref="K1056">
    <cfRule type="cellIs" operator="equal" dxfId="2983" priority="2983">
      <formula>"Com impostos"</formula>
    </cfRule>
  </conditionalFormatting>
  <conditionalFormatting sqref="V1056">
    <cfRule type="cellIs" operator="equal" dxfId="2984" priority="2984">
      <formula>"Mercado Envios grátis"</formula>
    </cfRule>
  </conditionalFormatting>
  <conditionalFormatting sqref="W1056">
    <cfRule type="cellIs" operator="equal" dxfId="2985" priority="2985">
      <formula>"Premium"</formula>
    </cfRule>
  </conditionalFormatting>
  <conditionalFormatting sqref="J1057">
    <cfRule type="cellIs" operator="equal" dxfId="2986" priority="2986">
      <formula>"R$"</formula>
    </cfRule>
  </conditionalFormatting>
  <conditionalFormatting sqref="K1057">
    <cfRule type="cellIs" operator="equal" dxfId="2987" priority="2987">
      <formula>"Com impostos"</formula>
    </cfRule>
  </conditionalFormatting>
  <conditionalFormatting sqref="V1057">
    <cfRule type="cellIs" operator="equal" dxfId="2988" priority="2988">
      <formula>"Mercado Envios grátis"</formula>
    </cfRule>
  </conditionalFormatting>
  <conditionalFormatting sqref="W1057">
    <cfRule type="cellIs" operator="equal" dxfId="2989" priority="2989">
      <formula>"Premium"</formula>
    </cfRule>
  </conditionalFormatting>
  <conditionalFormatting sqref="J1058">
    <cfRule type="cellIs" operator="equal" dxfId="2990" priority="2990">
      <formula>"R$"</formula>
    </cfRule>
  </conditionalFormatting>
  <conditionalFormatting sqref="K1058">
    <cfRule type="cellIs" operator="equal" dxfId="2991" priority="2991">
      <formula>"Com impostos"</formula>
    </cfRule>
  </conditionalFormatting>
  <conditionalFormatting sqref="V1058">
    <cfRule type="cellIs" operator="equal" dxfId="2992" priority="2992">
      <formula>"Mercado Envios grátis"</formula>
    </cfRule>
  </conditionalFormatting>
  <conditionalFormatting sqref="W1058">
    <cfRule type="cellIs" operator="equal" dxfId="2993" priority="2993">
      <formula>"Clássico"</formula>
    </cfRule>
  </conditionalFormatting>
  <conditionalFormatting sqref="J1059">
    <cfRule type="cellIs" operator="equal" dxfId="2994" priority="2994">
      <formula>"R$"</formula>
    </cfRule>
  </conditionalFormatting>
  <conditionalFormatting sqref="K1059">
    <cfRule type="cellIs" operator="equal" dxfId="2995" priority="2995">
      <formula>"Com impostos"</formula>
    </cfRule>
  </conditionalFormatting>
  <conditionalFormatting sqref="V1059">
    <cfRule type="cellIs" operator="equal" dxfId="2996" priority="2996">
      <formula>"Mercado Envios grátis"</formula>
    </cfRule>
  </conditionalFormatting>
  <conditionalFormatting sqref="W1059">
    <cfRule type="cellIs" operator="equal" dxfId="2997" priority="2997">
      <formula>"Clássico"</formula>
    </cfRule>
  </conditionalFormatting>
  <conditionalFormatting sqref="J1060">
    <cfRule type="cellIs" operator="equal" dxfId="2998" priority="2998">
      <formula>"R$"</formula>
    </cfRule>
  </conditionalFormatting>
  <conditionalFormatting sqref="K1060">
    <cfRule type="cellIs" operator="equal" dxfId="2999" priority="2999">
      <formula>"Com impostos"</formula>
    </cfRule>
  </conditionalFormatting>
  <conditionalFormatting sqref="V1060">
    <cfRule type="cellIs" operator="equal" dxfId="3000" priority="3000">
      <formula>"Mercado Envios grátis"</formula>
    </cfRule>
  </conditionalFormatting>
  <conditionalFormatting sqref="W1060">
    <cfRule type="cellIs" operator="equal" dxfId="3001" priority="3001">
      <formula>"Premium"</formula>
    </cfRule>
  </conditionalFormatting>
  <conditionalFormatting sqref="J1061">
    <cfRule type="cellIs" operator="equal" dxfId="3002" priority="3002">
      <formula>"R$"</formula>
    </cfRule>
  </conditionalFormatting>
  <conditionalFormatting sqref="K1061">
    <cfRule type="cellIs" operator="equal" dxfId="3003" priority="3003">
      <formula>"Com impostos"</formula>
    </cfRule>
  </conditionalFormatting>
  <conditionalFormatting sqref="V1061">
    <cfRule type="cellIs" operator="equal" dxfId="3004" priority="3004">
      <formula>"Mercado Envios grátis"</formula>
    </cfRule>
  </conditionalFormatting>
  <conditionalFormatting sqref="W1061">
    <cfRule type="cellIs" operator="equal" dxfId="3005" priority="3005">
      <formula>"Premium"</formula>
    </cfRule>
  </conditionalFormatting>
  <conditionalFormatting sqref="J1062">
    <cfRule type="cellIs" operator="equal" dxfId="3006" priority="3006">
      <formula>"R$"</formula>
    </cfRule>
  </conditionalFormatting>
  <conditionalFormatting sqref="K1062">
    <cfRule type="cellIs" operator="equal" dxfId="3007" priority="3007">
      <formula>"Com impostos"</formula>
    </cfRule>
  </conditionalFormatting>
  <conditionalFormatting sqref="V1062">
    <cfRule type="cellIs" operator="equal" dxfId="3008" priority="3008">
      <formula>"Mercado Envios grátis"</formula>
    </cfRule>
  </conditionalFormatting>
  <conditionalFormatting sqref="W1062">
    <cfRule type="cellIs" operator="equal" dxfId="3009" priority="3009">
      <formula>"Clássico"</formula>
    </cfRule>
  </conditionalFormatting>
  <conditionalFormatting sqref="J1063">
    <cfRule type="cellIs" operator="equal" dxfId="3010" priority="3010">
      <formula>"R$"</formula>
    </cfRule>
  </conditionalFormatting>
  <conditionalFormatting sqref="K1063">
    <cfRule type="cellIs" operator="equal" dxfId="3011" priority="3011">
      <formula>"Com impostos"</formula>
    </cfRule>
  </conditionalFormatting>
  <conditionalFormatting sqref="V1063">
    <cfRule type="cellIs" operator="equal" dxfId="3012" priority="3012">
      <formula>"Mercado Envios grátis"</formula>
    </cfRule>
  </conditionalFormatting>
  <conditionalFormatting sqref="W1063">
    <cfRule type="cellIs" operator="equal" dxfId="3013" priority="3013">
      <formula>"Premium"</formula>
    </cfRule>
  </conditionalFormatting>
  <conditionalFormatting sqref="J1064">
    <cfRule type="cellIs" operator="equal" dxfId="3014" priority="3014">
      <formula>"R$"</formula>
    </cfRule>
  </conditionalFormatting>
  <conditionalFormatting sqref="K1064">
    <cfRule type="cellIs" operator="equal" dxfId="3015" priority="3015">
      <formula>"Com impostos"</formula>
    </cfRule>
  </conditionalFormatting>
  <conditionalFormatting sqref="V1064">
    <cfRule type="cellIs" operator="equal" dxfId="3016" priority="3016">
      <formula>"Mercado Envios por conta do comprador"</formula>
    </cfRule>
  </conditionalFormatting>
  <conditionalFormatting sqref="W1064">
    <cfRule type="cellIs" operator="equal" dxfId="3017" priority="3017">
      <formula>"Clássico"</formula>
    </cfRule>
  </conditionalFormatting>
  <conditionalFormatting sqref="J1065">
    <cfRule type="cellIs" operator="equal" dxfId="3018" priority="3018">
      <formula>"R$"</formula>
    </cfRule>
  </conditionalFormatting>
  <conditionalFormatting sqref="K1065">
    <cfRule type="cellIs" operator="equal" dxfId="3019" priority="3019">
      <formula>"Com impostos"</formula>
    </cfRule>
  </conditionalFormatting>
  <conditionalFormatting sqref="V1065">
    <cfRule type="cellIs" operator="equal" dxfId="3020" priority="3020">
      <formula>"Mercado Envios grátis"</formula>
    </cfRule>
  </conditionalFormatting>
  <conditionalFormatting sqref="W1065">
    <cfRule type="cellIs" operator="equal" dxfId="3021" priority="3021">
      <formula>"Clássico"</formula>
    </cfRule>
  </conditionalFormatting>
  <conditionalFormatting sqref="J1066">
    <cfRule type="cellIs" operator="equal" dxfId="3022" priority="3022">
      <formula>"R$"</formula>
    </cfRule>
  </conditionalFormatting>
  <conditionalFormatting sqref="K1066">
    <cfRule type="cellIs" operator="equal" dxfId="3023" priority="3023">
      <formula>"Com impostos"</formula>
    </cfRule>
  </conditionalFormatting>
  <conditionalFormatting sqref="V1066">
    <cfRule type="cellIs" operator="equal" dxfId="3024" priority="3024">
      <formula>"Mercado Envios por conta do comprador"</formula>
    </cfRule>
  </conditionalFormatting>
  <conditionalFormatting sqref="W1066">
    <cfRule type="cellIs" operator="equal" dxfId="3025" priority="3025">
      <formula>"Clássico"</formula>
    </cfRule>
  </conditionalFormatting>
  <conditionalFormatting sqref="J1067">
    <cfRule type="cellIs" operator="equal" dxfId="3026" priority="3026">
      <formula>"R$"</formula>
    </cfRule>
  </conditionalFormatting>
  <conditionalFormatting sqref="K1067">
    <cfRule type="cellIs" operator="equal" dxfId="3027" priority="3027">
      <formula>"Com impostos"</formula>
    </cfRule>
  </conditionalFormatting>
  <conditionalFormatting sqref="V1067">
    <cfRule type="cellIs" operator="equal" dxfId="3028" priority="3028">
      <formula>"Mercado Envios grátis"</formula>
    </cfRule>
  </conditionalFormatting>
  <conditionalFormatting sqref="W1067">
    <cfRule type="cellIs" operator="equal" dxfId="3029" priority="3029">
      <formula>"Premium"</formula>
    </cfRule>
  </conditionalFormatting>
  <conditionalFormatting sqref="J1068">
    <cfRule type="cellIs" operator="equal" dxfId="3030" priority="3030">
      <formula>"R$"</formula>
    </cfRule>
  </conditionalFormatting>
  <conditionalFormatting sqref="K1068">
    <cfRule type="cellIs" operator="equal" dxfId="3031" priority="3031">
      <formula>"Com impostos"</formula>
    </cfRule>
  </conditionalFormatting>
  <conditionalFormatting sqref="V1068">
    <cfRule type="cellIs" operator="equal" dxfId="3032" priority="3032">
      <formula>"Mercado Envios por conta do comprador"</formula>
    </cfRule>
  </conditionalFormatting>
  <conditionalFormatting sqref="W1068">
    <cfRule type="cellIs" operator="equal" dxfId="3033" priority="3033">
      <formula>"Clássico"</formula>
    </cfRule>
  </conditionalFormatting>
  <conditionalFormatting sqref="J1069">
    <cfRule type="cellIs" operator="equal" dxfId="3034" priority="3034">
      <formula>"R$"</formula>
    </cfRule>
  </conditionalFormatting>
  <conditionalFormatting sqref="K1069">
    <cfRule type="cellIs" operator="equal" dxfId="3035" priority="3035">
      <formula>"Com impostos"</formula>
    </cfRule>
  </conditionalFormatting>
  <conditionalFormatting sqref="V1069">
    <cfRule type="cellIs" operator="equal" dxfId="3036" priority="3036">
      <formula>"Mercado Envios grátis"</formula>
    </cfRule>
  </conditionalFormatting>
  <conditionalFormatting sqref="W1069">
    <cfRule type="cellIs" operator="equal" dxfId="3037" priority="3037">
      <formula>"Clássico"</formula>
    </cfRule>
  </conditionalFormatting>
  <conditionalFormatting sqref="J1070">
    <cfRule type="cellIs" operator="equal" dxfId="3038" priority="3038">
      <formula>"R$"</formula>
    </cfRule>
  </conditionalFormatting>
  <conditionalFormatting sqref="K1070">
    <cfRule type="cellIs" operator="equal" dxfId="3039" priority="3039">
      <formula>"Com impostos"</formula>
    </cfRule>
  </conditionalFormatting>
  <conditionalFormatting sqref="V1070">
    <cfRule type="cellIs" operator="equal" dxfId="3040" priority="3040">
      <formula>"Mercado Envios grátis"</formula>
    </cfRule>
  </conditionalFormatting>
  <conditionalFormatting sqref="W1070">
    <cfRule type="cellIs" operator="equal" dxfId="3041" priority="3041">
      <formula>"Clássico"</formula>
    </cfRule>
  </conditionalFormatting>
  <conditionalFormatting sqref="J1071">
    <cfRule type="cellIs" operator="equal" dxfId="3042" priority="3042">
      <formula>"R$"</formula>
    </cfRule>
  </conditionalFormatting>
  <conditionalFormatting sqref="K1071">
    <cfRule type="cellIs" operator="equal" dxfId="3043" priority="3043">
      <formula>"Com impostos"</formula>
    </cfRule>
  </conditionalFormatting>
  <conditionalFormatting sqref="V1071">
    <cfRule type="cellIs" operator="equal" dxfId="3044" priority="3044">
      <formula>"Mercado Envios grátis"</formula>
    </cfRule>
  </conditionalFormatting>
  <conditionalFormatting sqref="W1071">
    <cfRule type="cellIs" operator="equal" dxfId="3045" priority="3045">
      <formula>"Premium"</formula>
    </cfRule>
  </conditionalFormatting>
  <conditionalFormatting sqref="J1072">
    <cfRule type="cellIs" operator="equal" dxfId="3046" priority="3046">
      <formula>"R$"</formula>
    </cfRule>
  </conditionalFormatting>
  <conditionalFormatting sqref="K1072">
    <cfRule type="cellIs" operator="equal" dxfId="3047" priority="3047">
      <formula>"Com impostos"</formula>
    </cfRule>
  </conditionalFormatting>
  <conditionalFormatting sqref="V1072">
    <cfRule type="cellIs" operator="equal" dxfId="3048" priority="3048">
      <formula>"Mercado Envios grátis"</formula>
    </cfRule>
  </conditionalFormatting>
  <conditionalFormatting sqref="W1072">
    <cfRule type="cellIs" operator="equal" dxfId="3049" priority="3049">
      <formula>"Clássico"</formula>
    </cfRule>
  </conditionalFormatting>
  <conditionalFormatting sqref="J1073">
    <cfRule type="cellIs" operator="equal" dxfId="3050" priority="3050">
      <formula>"R$"</formula>
    </cfRule>
  </conditionalFormatting>
  <conditionalFormatting sqref="K1073">
    <cfRule type="cellIs" operator="equal" dxfId="3051" priority="3051">
      <formula>"Com impostos"</formula>
    </cfRule>
  </conditionalFormatting>
  <conditionalFormatting sqref="V1073">
    <cfRule type="cellIs" operator="equal" dxfId="3052" priority="3052">
      <formula>"Mercado Envios grátis"</formula>
    </cfRule>
  </conditionalFormatting>
  <conditionalFormatting sqref="W1073">
    <cfRule type="cellIs" operator="equal" dxfId="3053" priority="3053">
      <formula>"Premium"</formula>
    </cfRule>
  </conditionalFormatting>
  <conditionalFormatting sqref="J1074">
    <cfRule type="cellIs" operator="equal" dxfId="3054" priority="3054">
      <formula>"R$"</formula>
    </cfRule>
  </conditionalFormatting>
  <conditionalFormatting sqref="K1074">
    <cfRule type="cellIs" operator="equal" dxfId="3055" priority="3055">
      <formula>"Com impostos"</formula>
    </cfRule>
  </conditionalFormatting>
  <conditionalFormatting sqref="V1074">
    <cfRule type="cellIs" operator="equal" dxfId="3056" priority="3056">
      <formula>"Mercado Envios grátis"</formula>
    </cfRule>
  </conditionalFormatting>
  <conditionalFormatting sqref="W1074">
    <cfRule type="cellIs" operator="equal" dxfId="3057" priority="3057">
      <formula>"Premium"</formula>
    </cfRule>
  </conditionalFormatting>
  <conditionalFormatting sqref="J1075">
    <cfRule type="cellIs" operator="equal" dxfId="3058" priority="3058">
      <formula>"R$"</formula>
    </cfRule>
  </conditionalFormatting>
  <conditionalFormatting sqref="K1075">
    <cfRule type="cellIs" operator="equal" dxfId="3059" priority="3059">
      <formula>"Com impostos"</formula>
    </cfRule>
  </conditionalFormatting>
  <conditionalFormatting sqref="V1075">
    <cfRule type="cellIs" operator="equal" dxfId="3060" priority="3060">
      <formula>"Mercado Envios grátis"</formula>
    </cfRule>
  </conditionalFormatting>
  <conditionalFormatting sqref="W1075">
    <cfRule type="cellIs" operator="equal" dxfId="3061" priority="3061">
      <formula>"Clássico"</formula>
    </cfRule>
  </conditionalFormatting>
  <conditionalFormatting sqref="J1076">
    <cfRule type="cellIs" operator="equal" dxfId="3062" priority="3062">
      <formula>"R$"</formula>
    </cfRule>
  </conditionalFormatting>
  <conditionalFormatting sqref="K1076">
    <cfRule type="cellIs" operator="equal" dxfId="3063" priority="3063">
      <formula>"Com impostos"</formula>
    </cfRule>
  </conditionalFormatting>
  <conditionalFormatting sqref="V1076">
    <cfRule type="cellIs" operator="equal" dxfId="3064" priority="3064">
      <formula>"Mercado Envios grátis"</formula>
    </cfRule>
  </conditionalFormatting>
  <conditionalFormatting sqref="W1076">
    <cfRule type="cellIs" operator="equal" dxfId="3065" priority="3065">
      <formula>"Clássico"</formula>
    </cfRule>
  </conditionalFormatting>
  <conditionalFormatting sqref="J1077">
    <cfRule type="cellIs" operator="equal" dxfId="3066" priority="3066">
      <formula>"R$"</formula>
    </cfRule>
  </conditionalFormatting>
  <conditionalFormatting sqref="K1077">
    <cfRule type="cellIs" operator="equal" dxfId="3067" priority="3067">
      <formula>"Com impostos"</formula>
    </cfRule>
  </conditionalFormatting>
  <conditionalFormatting sqref="V1077">
    <cfRule type="cellIs" operator="equal" dxfId="3068" priority="3068">
      <formula>"Mercado Envios grátis"</formula>
    </cfRule>
  </conditionalFormatting>
  <conditionalFormatting sqref="W1077">
    <cfRule type="cellIs" operator="equal" dxfId="3069" priority="3069">
      <formula>"Clássico"</formula>
    </cfRule>
  </conditionalFormatting>
  <conditionalFormatting sqref="J1078">
    <cfRule type="cellIs" operator="equal" dxfId="3070" priority="3070">
      <formula>"R$"</formula>
    </cfRule>
  </conditionalFormatting>
  <conditionalFormatting sqref="K1078">
    <cfRule type="cellIs" operator="equal" dxfId="3071" priority="3071">
      <formula>"Com impostos"</formula>
    </cfRule>
  </conditionalFormatting>
  <conditionalFormatting sqref="V1078">
    <cfRule type="cellIs" operator="equal" dxfId="3072" priority="3072">
      <formula>"Mercado Envios grátis"</formula>
    </cfRule>
  </conditionalFormatting>
  <conditionalFormatting sqref="W1078">
    <cfRule type="cellIs" operator="equal" dxfId="3073" priority="3073">
      <formula>"Premium"</formula>
    </cfRule>
  </conditionalFormatting>
  <conditionalFormatting sqref="J1079">
    <cfRule type="cellIs" operator="equal" dxfId="3074" priority="3074">
      <formula>"R$"</formula>
    </cfRule>
  </conditionalFormatting>
  <conditionalFormatting sqref="K1079">
    <cfRule type="cellIs" operator="equal" dxfId="3075" priority="3075">
      <formula>"Com impostos"</formula>
    </cfRule>
  </conditionalFormatting>
  <conditionalFormatting sqref="V1079">
    <cfRule type="cellIs" operator="equal" dxfId="3076" priority="3076">
      <formula>"Mercado Envios por conta do comprador"</formula>
    </cfRule>
  </conditionalFormatting>
  <conditionalFormatting sqref="W1079">
    <cfRule type="cellIs" operator="equal" dxfId="3077" priority="3077">
      <formula>"Clássico"</formula>
    </cfRule>
  </conditionalFormatting>
  <conditionalFormatting sqref="J1080">
    <cfRule type="cellIs" operator="equal" dxfId="3078" priority="3078">
      <formula>"R$"</formula>
    </cfRule>
  </conditionalFormatting>
  <conditionalFormatting sqref="K1080">
    <cfRule type="cellIs" operator="equal" dxfId="3079" priority="3079">
      <formula>"Com impostos"</formula>
    </cfRule>
  </conditionalFormatting>
  <conditionalFormatting sqref="V1080">
    <cfRule type="cellIs" operator="equal" dxfId="3080" priority="3080">
      <formula>"Mercado Envios por conta do comprador"</formula>
    </cfRule>
  </conditionalFormatting>
  <conditionalFormatting sqref="W1080">
    <cfRule type="cellIs" operator="equal" dxfId="3081" priority="3081">
      <formula>"Premium"</formula>
    </cfRule>
  </conditionalFormatting>
  <conditionalFormatting sqref="J1081">
    <cfRule type="cellIs" operator="equal" dxfId="3082" priority="3082">
      <formula>"R$"</formula>
    </cfRule>
  </conditionalFormatting>
  <conditionalFormatting sqref="K1081">
    <cfRule type="cellIs" operator="equal" dxfId="3083" priority="3083">
      <formula>"Com impostos"</formula>
    </cfRule>
  </conditionalFormatting>
  <conditionalFormatting sqref="V1081">
    <cfRule type="cellIs" operator="equal" dxfId="3084" priority="3084">
      <formula>"Mercado Envios grátis"</formula>
    </cfRule>
  </conditionalFormatting>
  <conditionalFormatting sqref="W1081">
    <cfRule type="cellIs" operator="equal" dxfId="3085" priority="3085">
      <formula>"Clássico"</formula>
    </cfRule>
  </conditionalFormatting>
  <conditionalFormatting sqref="J1082">
    <cfRule type="cellIs" operator="equal" dxfId="3086" priority="3086">
      <formula>"R$"</formula>
    </cfRule>
  </conditionalFormatting>
  <conditionalFormatting sqref="K1082">
    <cfRule type="cellIs" operator="equal" dxfId="3087" priority="3087">
      <formula>"Com impostos"</formula>
    </cfRule>
  </conditionalFormatting>
  <conditionalFormatting sqref="V1082">
    <cfRule type="cellIs" operator="equal" dxfId="3088" priority="3088">
      <formula>"Mercado Envios grátis"</formula>
    </cfRule>
  </conditionalFormatting>
  <conditionalFormatting sqref="W1082">
    <cfRule type="cellIs" operator="equal" dxfId="3089" priority="3089">
      <formula>"Premium"</formula>
    </cfRule>
  </conditionalFormatting>
  <conditionalFormatting sqref="J1083">
    <cfRule type="cellIs" operator="equal" dxfId="3090" priority="3090">
      <formula>"R$"</formula>
    </cfRule>
  </conditionalFormatting>
  <conditionalFormatting sqref="K1083">
    <cfRule type="cellIs" operator="equal" dxfId="3091" priority="3091">
      <formula>"Com impostos"</formula>
    </cfRule>
  </conditionalFormatting>
  <conditionalFormatting sqref="V1083">
    <cfRule type="cellIs" operator="equal" dxfId="3092" priority="3092">
      <formula>"Mercado Envios grátis"</formula>
    </cfRule>
  </conditionalFormatting>
  <conditionalFormatting sqref="W1083">
    <cfRule type="cellIs" operator="equal" dxfId="3093" priority="3093">
      <formula>"Clássico"</formula>
    </cfRule>
  </conditionalFormatting>
  <conditionalFormatting sqref="J1084">
    <cfRule type="cellIs" operator="equal" dxfId="3094" priority="3094">
      <formula>"R$"</formula>
    </cfRule>
  </conditionalFormatting>
  <conditionalFormatting sqref="K1084">
    <cfRule type="cellIs" operator="equal" dxfId="3095" priority="3095">
      <formula>"Com impostos"</formula>
    </cfRule>
  </conditionalFormatting>
  <conditionalFormatting sqref="V1084">
    <cfRule type="cellIs" operator="equal" dxfId="3096" priority="3096">
      <formula>"Mercado Envios por conta do comprador"</formula>
    </cfRule>
  </conditionalFormatting>
  <conditionalFormatting sqref="W1084">
    <cfRule type="cellIs" operator="equal" dxfId="3097" priority="3097">
      <formula>"Clássico"</formula>
    </cfRule>
  </conditionalFormatting>
  <conditionalFormatting sqref="J1085">
    <cfRule type="cellIs" operator="equal" dxfId="3098" priority="3098">
      <formula>"R$"</formula>
    </cfRule>
  </conditionalFormatting>
  <conditionalFormatting sqref="K1085">
    <cfRule type="cellIs" operator="equal" dxfId="3099" priority="3099">
      <formula>"Com impostos"</formula>
    </cfRule>
  </conditionalFormatting>
  <conditionalFormatting sqref="V1085">
    <cfRule type="cellIs" operator="equal" dxfId="3100" priority="3100">
      <formula>"Mercado Envios grátis"</formula>
    </cfRule>
  </conditionalFormatting>
  <conditionalFormatting sqref="W1085">
    <cfRule type="cellIs" operator="equal" dxfId="3101" priority="3101">
      <formula>"Premium"</formula>
    </cfRule>
  </conditionalFormatting>
  <conditionalFormatting sqref="J1086">
    <cfRule type="cellIs" operator="equal" dxfId="3102" priority="3102">
      <formula>"R$"</formula>
    </cfRule>
  </conditionalFormatting>
  <conditionalFormatting sqref="K1086">
    <cfRule type="cellIs" operator="equal" dxfId="3103" priority="3103">
      <formula>"Com impostos"</formula>
    </cfRule>
  </conditionalFormatting>
  <conditionalFormatting sqref="V1086">
    <cfRule type="cellIs" operator="equal" dxfId="3104" priority="3104">
      <formula>"Mercado Envios grátis"</formula>
    </cfRule>
  </conditionalFormatting>
  <conditionalFormatting sqref="W1086">
    <cfRule type="cellIs" operator="equal" dxfId="3105" priority="3105">
      <formula>"Clássico"</formula>
    </cfRule>
  </conditionalFormatting>
  <conditionalFormatting sqref="J1087">
    <cfRule type="cellIs" operator="equal" dxfId="3106" priority="3106">
      <formula>"R$"</formula>
    </cfRule>
  </conditionalFormatting>
  <conditionalFormatting sqref="K1087">
    <cfRule type="cellIs" operator="equal" dxfId="3107" priority="3107">
      <formula>"Com impostos"</formula>
    </cfRule>
  </conditionalFormatting>
  <conditionalFormatting sqref="V1087">
    <cfRule type="cellIs" operator="equal" dxfId="3108" priority="3108">
      <formula>"Mercado Envios grátis"</formula>
    </cfRule>
  </conditionalFormatting>
  <conditionalFormatting sqref="W1087">
    <cfRule type="cellIs" operator="equal" dxfId="3109" priority="3109">
      <formula>"Premium"</formula>
    </cfRule>
  </conditionalFormatting>
  <conditionalFormatting sqref="J1088">
    <cfRule type="cellIs" operator="equal" dxfId="3110" priority="3110">
      <formula>"R$"</formula>
    </cfRule>
  </conditionalFormatting>
  <conditionalFormatting sqref="K1088">
    <cfRule type="cellIs" operator="equal" dxfId="3111" priority="3111">
      <formula>"Com impostos"</formula>
    </cfRule>
  </conditionalFormatting>
  <conditionalFormatting sqref="V1088">
    <cfRule type="cellIs" operator="equal" dxfId="3112" priority="3112">
      <formula>"Mercado Envios grátis"</formula>
    </cfRule>
  </conditionalFormatting>
  <conditionalFormatting sqref="W1088">
    <cfRule type="cellIs" operator="equal" dxfId="3113" priority="3113">
      <formula>"Clássico"</formula>
    </cfRule>
  </conditionalFormatting>
  <conditionalFormatting sqref="J1089">
    <cfRule type="cellIs" operator="equal" dxfId="3114" priority="3114">
      <formula>"R$"</formula>
    </cfRule>
  </conditionalFormatting>
  <conditionalFormatting sqref="K1089">
    <cfRule type="cellIs" operator="equal" dxfId="3115" priority="3115">
      <formula>"Com impostos"</formula>
    </cfRule>
  </conditionalFormatting>
  <conditionalFormatting sqref="V1089">
    <cfRule type="cellIs" operator="equal" dxfId="3116" priority="3116">
      <formula>"Mercado Envios grátis"</formula>
    </cfRule>
  </conditionalFormatting>
  <conditionalFormatting sqref="W1089">
    <cfRule type="cellIs" operator="equal" dxfId="3117" priority="3117">
      <formula>"Clássico"</formula>
    </cfRule>
  </conditionalFormatting>
  <conditionalFormatting sqref="J1090">
    <cfRule type="cellIs" operator="equal" dxfId="3118" priority="3118">
      <formula>"R$"</formula>
    </cfRule>
  </conditionalFormatting>
  <conditionalFormatting sqref="K1090">
    <cfRule type="cellIs" operator="equal" dxfId="3119" priority="3119">
      <formula>"Com impostos"</formula>
    </cfRule>
  </conditionalFormatting>
  <conditionalFormatting sqref="V1090">
    <cfRule type="cellIs" operator="equal" dxfId="3120" priority="3120">
      <formula>"Mercado Envios grátis"</formula>
    </cfRule>
  </conditionalFormatting>
  <conditionalFormatting sqref="W1090">
    <cfRule type="cellIs" operator="equal" dxfId="3121" priority="3121">
      <formula>"Clássico"</formula>
    </cfRule>
  </conditionalFormatting>
  <conditionalFormatting sqref="J1091">
    <cfRule type="cellIs" operator="equal" dxfId="3122" priority="3122">
      <formula>"R$"</formula>
    </cfRule>
  </conditionalFormatting>
  <conditionalFormatting sqref="K1091">
    <cfRule type="cellIs" operator="equal" dxfId="3123" priority="3123">
      <formula>"Com impostos"</formula>
    </cfRule>
  </conditionalFormatting>
  <conditionalFormatting sqref="V1091">
    <cfRule type="cellIs" operator="equal" dxfId="3124" priority="3124">
      <formula>"Mercado Envios por conta do comprador"</formula>
    </cfRule>
  </conditionalFormatting>
  <conditionalFormatting sqref="W1091">
    <cfRule type="cellIs" operator="equal" dxfId="3125" priority="3125">
      <formula>"Premium"</formula>
    </cfRule>
  </conditionalFormatting>
  <conditionalFormatting sqref="J1092">
    <cfRule type="cellIs" operator="equal" dxfId="3126" priority="3126">
      <formula>"R$"</formula>
    </cfRule>
  </conditionalFormatting>
  <conditionalFormatting sqref="K1092">
    <cfRule type="cellIs" operator="equal" dxfId="3127" priority="3127">
      <formula>"Com impostos"</formula>
    </cfRule>
  </conditionalFormatting>
  <conditionalFormatting sqref="V1092">
    <cfRule type="cellIs" operator="equal" dxfId="3128" priority="3128">
      <formula>"Mercado Envios grátis"</formula>
    </cfRule>
  </conditionalFormatting>
  <conditionalFormatting sqref="W1092">
    <cfRule type="cellIs" operator="equal" dxfId="3129" priority="3129">
      <formula>"Premium"</formula>
    </cfRule>
  </conditionalFormatting>
  <conditionalFormatting sqref="J1093">
    <cfRule type="cellIs" operator="equal" dxfId="3130" priority="3130">
      <formula>"R$"</formula>
    </cfRule>
  </conditionalFormatting>
  <conditionalFormatting sqref="K1093">
    <cfRule type="cellIs" operator="equal" dxfId="3131" priority="3131">
      <formula>"Com impostos"</formula>
    </cfRule>
  </conditionalFormatting>
  <conditionalFormatting sqref="V1093">
    <cfRule type="cellIs" operator="equal" dxfId="3132" priority="3132">
      <formula>"Mercado Envios grátis"</formula>
    </cfRule>
  </conditionalFormatting>
  <conditionalFormatting sqref="W1093">
    <cfRule type="cellIs" operator="equal" dxfId="3133" priority="3133">
      <formula>"Clássico"</formula>
    </cfRule>
  </conditionalFormatting>
  <conditionalFormatting sqref="J1094">
    <cfRule type="cellIs" operator="equal" dxfId="3134" priority="3134">
      <formula>"R$"</formula>
    </cfRule>
  </conditionalFormatting>
  <conditionalFormatting sqref="K1094">
    <cfRule type="cellIs" operator="equal" dxfId="3135" priority="3135">
      <formula>"Com impostos"</formula>
    </cfRule>
  </conditionalFormatting>
  <conditionalFormatting sqref="V1094">
    <cfRule type="cellIs" operator="equal" dxfId="3136" priority="3136">
      <formula>"Mercado Envios grátis"</formula>
    </cfRule>
  </conditionalFormatting>
  <conditionalFormatting sqref="W1094">
    <cfRule type="cellIs" operator="equal" dxfId="3137" priority="3137">
      <formula>"Premium"</formula>
    </cfRule>
  </conditionalFormatting>
  <conditionalFormatting sqref="J1095">
    <cfRule type="cellIs" operator="equal" dxfId="3138" priority="3138">
      <formula>"R$"</formula>
    </cfRule>
  </conditionalFormatting>
  <conditionalFormatting sqref="K1095">
    <cfRule type="cellIs" operator="equal" dxfId="3139" priority="3139">
      <formula>"Com impostos"</formula>
    </cfRule>
  </conditionalFormatting>
  <conditionalFormatting sqref="V1095">
    <cfRule type="cellIs" operator="equal" dxfId="3140" priority="3140">
      <formula>"Mercado Envios grátis"</formula>
    </cfRule>
  </conditionalFormatting>
  <conditionalFormatting sqref="W1095">
    <cfRule type="cellIs" operator="equal" dxfId="3141" priority="3141">
      <formula>"Premium"</formula>
    </cfRule>
  </conditionalFormatting>
  <conditionalFormatting sqref="J1096">
    <cfRule type="cellIs" operator="equal" dxfId="3142" priority="3142">
      <formula>"R$"</formula>
    </cfRule>
  </conditionalFormatting>
  <conditionalFormatting sqref="K1096">
    <cfRule type="cellIs" operator="equal" dxfId="3143" priority="3143">
      <formula>"Com impostos"</formula>
    </cfRule>
  </conditionalFormatting>
  <conditionalFormatting sqref="V1096">
    <cfRule type="cellIs" operator="equal" dxfId="3144" priority="3144">
      <formula>"Mercado Envios grátis"</formula>
    </cfRule>
  </conditionalFormatting>
  <conditionalFormatting sqref="W1096">
    <cfRule type="cellIs" operator="equal" dxfId="3145" priority="3145">
      <formula>"Premium"</formula>
    </cfRule>
  </conditionalFormatting>
  <conditionalFormatting sqref="J1097">
    <cfRule type="cellIs" operator="equal" dxfId="3146" priority="3146">
      <formula>"R$"</formula>
    </cfRule>
  </conditionalFormatting>
  <conditionalFormatting sqref="K1097">
    <cfRule type="cellIs" operator="equal" dxfId="3147" priority="3147">
      <formula>"Com impostos"</formula>
    </cfRule>
  </conditionalFormatting>
  <conditionalFormatting sqref="V1097">
    <cfRule type="cellIs" operator="equal" dxfId="3148" priority="3148">
      <formula>"Mercado Envios grátis"</formula>
    </cfRule>
  </conditionalFormatting>
  <conditionalFormatting sqref="W1097">
    <cfRule type="cellIs" operator="equal" dxfId="3149" priority="3149">
      <formula>"Clássico"</formula>
    </cfRule>
  </conditionalFormatting>
  <conditionalFormatting sqref="J1098">
    <cfRule type="cellIs" operator="equal" dxfId="3150" priority="3150">
      <formula>"R$"</formula>
    </cfRule>
  </conditionalFormatting>
  <conditionalFormatting sqref="K1098">
    <cfRule type="cellIs" operator="equal" dxfId="3151" priority="3151">
      <formula>"Com impostos"</formula>
    </cfRule>
  </conditionalFormatting>
  <conditionalFormatting sqref="V1098">
    <cfRule type="cellIs" operator="equal" dxfId="3152" priority="3152">
      <formula>"Mercado Envios grátis"</formula>
    </cfRule>
  </conditionalFormatting>
  <conditionalFormatting sqref="W1098">
    <cfRule type="cellIs" operator="equal" dxfId="3153" priority="3153">
      <formula>"Clássico"</formula>
    </cfRule>
  </conditionalFormatting>
  <conditionalFormatting sqref="J1099">
    <cfRule type="cellIs" operator="equal" dxfId="3154" priority="3154">
      <formula>"R$"</formula>
    </cfRule>
  </conditionalFormatting>
  <conditionalFormatting sqref="K1099">
    <cfRule type="cellIs" operator="equal" dxfId="3155" priority="3155">
      <formula>"Com impostos"</formula>
    </cfRule>
  </conditionalFormatting>
  <conditionalFormatting sqref="V1099">
    <cfRule type="cellIs" operator="equal" dxfId="3156" priority="3156">
      <formula>"Mercado Envios grátis"</formula>
    </cfRule>
  </conditionalFormatting>
  <conditionalFormatting sqref="W1099">
    <cfRule type="cellIs" operator="equal" dxfId="3157" priority="3157">
      <formula>"Premium"</formula>
    </cfRule>
  </conditionalFormatting>
  <conditionalFormatting sqref="J1100">
    <cfRule type="cellIs" operator="equal" dxfId="3158" priority="3158">
      <formula>"R$"</formula>
    </cfRule>
  </conditionalFormatting>
  <conditionalFormatting sqref="K1100">
    <cfRule type="cellIs" operator="equal" dxfId="3159" priority="3159">
      <formula>"Com impostos"</formula>
    </cfRule>
  </conditionalFormatting>
  <conditionalFormatting sqref="V1100">
    <cfRule type="cellIs" operator="equal" dxfId="3160" priority="3160">
      <formula>"Mercado Envios grátis"</formula>
    </cfRule>
  </conditionalFormatting>
  <conditionalFormatting sqref="W1100">
    <cfRule type="cellIs" operator="equal" dxfId="3161" priority="3161">
      <formula>"Premium"</formula>
    </cfRule>
  </conditionalFormatting>
  <conditionalFormatting sqref="J1101">
    <cfRule type="cellIs" operator="equal" dxfId="3162" priority="3162">
      <formula>"R$"</formula>
    </cfRule>
  </conditionalFormatting>
  <conditionalFormatting sqref="K1101">
    <cfRule type="cellIs" operator="equal" dxfId="3163" priority="3163">
      <formula>"Com impostos"</formula>
    </cfRule>
  </conditionalFormatting>
  <conditionalFormatting sqref="V1101">
    <cfRule type="cellIs" operator="equal" dxfId="3164" priority="3164">
      <formula>"Mercado Envios grátis"</formula>
    </cfRule>
  </conditionalFormatting>
  <conditionalFormatting sqref="W1101">
    <cfRule type="cellIs" operator="equal" dxfId="3165" priority="3165">
      <formula>"Premium"</formula>
    </cfRule>
  </conditionalFormatting>
  <conditionalFormatting sqref="J1102">
    <cfRule type="cellIs" operator="equal" dxfId="3166" priority="3166">
      <formula>"R$"</formula>
    </cfRule>
  </conditionalFormatting>
  <conditionalFormatting sqref="K1102">
    <cfRule type="cellIs" operator="equal" dxfId="3167" priority="3167">
      <formula>"Com impostos"</formula>
    </cfRule>
  </conditionalFormatting>
  <conditionalFormatting sqref="V1102">
    <cfRule type="cellIs" operator="equal" dxfId="3168" priority="3168">
      <formula>"Mercado Envios grátis"</formula>
    </cfRule>
  </conditionalFormatting>
  <conditionalFormatting sqref="W1102">
    <cfRule type="cellIs" operator="equal" dxfId="3169" priority="3169">
      <formula>"Premium"</formula>
    </cfRule>
  </conditionalFormatting>
  <conditionalFormatting sqref="J1103">
    <cfRule type="cellIs" operator="equal" dxfId="3170" priority="3170">
      <formula>"R$"</formula>
    </cfRule>
  </conditionalFormatting>
  <conditionalFormatting sqref="K1103">
    <cfRule type="cellIs" operator="equal" dxfId="3171" priority="3171">
      <formula>"Com impostos"</formula>
    </cfRule>
  </conditionalFormatting>
  <conditionalFormatting sqref="V1103">
    <cfRule type="cellIs" operator="equal" dxfId="3172" priority="3172">
      <formula>"Mercado Envios grátis"</formula>
    </cfRule>
  </conditionalFormatting>
  <conditionalFormatting sqref="W1103">
    <cfRule type="cellIs" operator="equal" dxfId="3173" priority="3173">
      <formula>"Clássico"</formula>
    </cfRule>
  </conditionalFormatting>
  <conditionalFormatting sqref="J1104">
    <cfRule type="cellIs" operator="equal" dxfId="3174" priority="3174">
      <formula>"R$"</formula>
    </cfRule>
  </conditionalFormatting>
  <conditionalFormatting sqref="K1104">
    <cfRule type="cellIs" operator="equal" dxfId="3175" priority="3175">
      <formula>"Com impostos"</formula>
    </cfRule>
  </conditionalFormatting>
  <conditionalFormatting sqref="V1104">
    <cfRule type="cellIs" operator="equal" dxfId="3176" priority="3176">
      <formula>"Mercado Envios grátis"</formula>
    </cfRule>
  </conditionalFormatting>
  <conditionalFormatting sqref="W1104">
    <cfRule type="cellIs" operator="equal" dxfId="3177" priority="3177">
      <formula>"Premium"</formula>
    </cfRule>
  </conditionalFormatting>
  <conditionalFormatting sqref="J1105">
    <cfRule type="cellIs" operator="equal" dxfId="3178" priority="3178">
      <formula>"R$"</formula>
    </cfRule>
  </conditionalFormatting>
  <conditionalFormatting sqref="K1105">
    <cfRule type="cellIs" operator="equal" dxfId="3179" priority="3179">
      <formula>"Com impostos"</formula>
    </cfRule>
  </conditionalFormatting>
  <conditionalFormatting sqref="V1105">
    <cfRule type="cellIs" operator="equal" dxfId="3180" priority="3180">
      <formula>"Mercado Envios grátis"</formula>
    </cfRule>
  </conditionalFormatting>
  <conditionalFormatting sqref="W1105">
    <cfRule type="cellIs" operator="equal" dxfId="3181" priority="3181">
      <formula>"Premium"</formula>
    </cfRule>
  </conditionalFormatting>
  <conditionalFormatting sqref="J1106">
    <cfRule type="cellIs" operator="equal" dxfId="3182" priority="3182">
      <formula>"R$"</formula>
    </cfRule>
  </conditionalFormatting>
  <conditionalFormatting sqref="V1106">
    <cfRule type="cellIs" operator="equal" dxfId="3183" priority="3183">
      <formula>"Mercado Envios grátis"</formula>
    </cfRule>
  </conditionalFormatting>
  <conditionalFormatting sqref="W1106">
    <cfRule type="cellIs" operator="equal" dxfId="3184" priority="3184">
      <formula>"Premium"</formula>
    </cfRule>
  </conditionalFormatting>
  <conditionalFormatting sqref="J1109">
    <cfRule type="cellIs" operator="equal" dxfId="3185" priority="3185">
      <formula>"R$"</formula>
    </cfRule>
  </conditionalFormatting>
  <conditionalFormatting sqref="K1109">
    <cfRule type="cellIs" operator="equal" dxfId="3186" priority="3186">
      <formula>"Com impostos"</formula>
    </cfRule>
  </conditionalFormatting>
  <conditionalFormatting sqref="V1109">
    <cfRule type="cellIs" operator="equal" dxfId="3187" priority="3187">
      <formula>"Mercado Envios por conta do comprador"</formula>
    </cfRule>
  </conditionalFormatting>
  <conditionalFormatting sqref="W1109">
    <cfRule type="cellIs" operator="equal" dxfId="3188" priority="3188">
      <formula>"Clássico"</formula>
    </cfRule>
  </conditionalFormatting>
  <conditionalFormatting sqref="J1110">
    <cfRule type="cellIs" operator="equal" dxfId="3189" priority="3189">
      <formula>"R$"</formula>
    </cfRule>
  </conditionalFormatting>
  <conditionalFormatting sqref="K1110">
    <cfRule type="cellIs" operator="equal" dxfId="3190" priority="3190">
      <formula>"Com impostos"</formula>
    </cfRule>
  </conditionalFormatting>
  <conditionalFormatting sqref="V1110">
    <cfRule type="cellIs" operator="equal" dxfId="3191" priority="3191">
      <formula>"Mercado Envios grátis"</formula>
    </cfRule>
  </conditionalFormatting>
  <conditionalFormatting sqref="W1110">
    <cfRule type="cellIs" operator="equal" dxfId="3192" priority="3192">
      <formula>"Clássico"</formula>
    </cfRule>
  </conditionalFormatting>
  <conditionalFormatting sqref="J1111">
    <cfRule type="cellIs" operator="equal" dxfId="3193" priority="3193">
      <formula>"R$"</formula>
    </cfRule>
  </conditionalFormatting>
  <conditionalFormatting sqref="K1111">
    <cfRule type="cellIs" operator="equal" dxfId="3194" priority="3194">
      <formula>"Com impostos"</formula>
    </cfRule>
  </conditionalFormatting>
  <conditionalFormatting sqref="V1111">
    <cfRule type="cellIs" operator="equal" dxfId="3195" priority="3195">
      <formula>"Mercado Envios grátis"</formula>
    </cfRule>
  </conditionalFormatting>
  <conditionalFormatting sqref="W1111">
    <cfRule type="cellIs" operator="equal" dxfId="3196" priority="3196">
      <formula>"Clássico"</formula>
    </cfRule>
  </conditionalFormatting>
  <conditionalFormatting sqref="J1112">
    <cfRule type="cellIs" operator="equal" dxfId="3197" priority="3197">
      <formula>"R$"</formula>
    </cfRule>
  </conditionalFormatting>
  <conditionalFormatting sqref="V1112">
    <cfRule type="cellIs" operator="equal" dxfId="3198" priority="3198">
      <formula>"Mercado Envios por conta do comprador"</formula>
    </cfRule>
  </conditionalFormatting>
  <conditionalFormatting sqref="W1112">
    <cfRule type="cellIs" operator="equal" dxfId="3199" priority="3199">
      <formula>"Clássico"</formula>
    </cfRule>
  </conditionalFormatting>
  <conditionalFormatting sqref="J1115">
    <cfRule type="cellIs" operator="equal" dxfId="3200" priority="3200">
      <formula>"R$"</formula>
    </cfRule>
  </conditionalFormatting>
  <conditionalFormatting sqref="K1115">
    <cfRule type="cellIs" operator="equal" dxfId="3201" priority="3201">
      <formula>"Com impostos"</formula>
    </cfRule>
  </conditionalFormatting>
  <conditionalFormatting sqref="V1115">
    <cfRule type="cellIs" operator="equal" dxfId="3202" priority="3202">
      <formula>"Mercado Envios por conta do comprador"</formula>
    </cfRule>
  </conditionalFormatting>
  <conditionalFormatting sqref="W1115">
    <cfRule type="cellIs" operator="equal" dxfId="3203" priority="3203">
      <formula>"Premium"</formula>
    </cfRule>
  </conditionalFormatting>
  <conditionalFormatting sqref="J1116">
    <cfRule type="cellIs" operator="equal" dxfId="3204" priority="3204">
      <formula>"R$"</formula>
    </cfRule>
  </conditionalFormatting>
  <conditionalFormatting sqref="K1116">
    <cfRule type="cellIs" operator="equal" dxfId="3205" priority="3205">
      <formula>"Com impostos"</formula>
    </cfRule>
  </conditionalFormatting>
  <conditionalFormatting sqref="V1116">
    <cfRule type="cellIs" operator="equal" dxfId="3206" priority="3206">
      <formula>"Mercado Envios grátis"</formula>
    </cfRule>
  </conditionalFormatting>
  <conditionalFormatting sqref="W1116">
    <cfRule type="cellIs" operator="equal" dxfId="3207" priority="3207">
      <formula>"Clássico"</formula>
    </cfRule>
  </conditionalFormatting>
  <conditionalFormatting sqref="J1117">
    <cfRule type="cellIs" operator="equal" dxfId="3208" priority="3208">
      <formula>"R$"</formula>
    </cfRule>
  </conditionalFormatting>
  <conditionalFormatting sqref="K1117">
    <cfRule type="cellIs" operator="equal" dxfId="3209" priority="3209">
      <formula>"Com impostos"</formula>
    </cfRule>
  </conditionalFormatting>
  <conditionalFormatting sqref="V1117">
    <cfRule type="cellIs" operator="equal" dxfId="3210" priority="3210">
      <formula>"Mercado Envios grátis"</formula>
    </cfRule>
  </conditionalFormatting>
  <conditionalFormatting sqref="W1117">
    <cfRule type="cellIs" operator="equal" dxfId="3211" priority="3211">
      <formula>"Clássico"</formula>
    </cfRule>
  </conditionalFormatting>
  <conditionalFormatting sqref="J1118">
    <cfRule type="cellIs" operator="equal" dxfId="3212" priority="3212">
      <formula>"R$"</formula>
    </cfRule>
  </conditionalFormatting>
  <conditionalFormatting sqref="K1118">
    <cfRule type="cellIs" operator="equal" dxfId="3213" priority="3213">
      <formula>"Com impostos"</formula>
    </cfRule>
  </conditionalFormatting>
  <conditionalFormatting sqref="V1118">
    <cfRule type="cellIs" operator="equal" dxfId="3214" priority="3214">
      <formula>"Mercado Envios grátis"</formula>
    </cfRule>
  </conditionalFormatting>
  <conditionalFormatting sqref="W1118">
    <cfRule type="cellIs" operator="equal" dxfId="3215" priority="3215">
      <formula>"Premium"</formula>
    </cfRule>
  </conditionalFormatting>
  <conditionalFormatting sqref="J1119">
    <cfRule type="cellIs" operator="equal" dxfId="3216" priority="3216">
      <formula>"R$"</formula>
    </cfRule>
  </conditionalFormatting>
  <conditionalFormatting sqref="K1119">
    <cfRule type="cellIs" operator="equal" dxfId="3217" priority="3217">
      <formula>"Com impostos"</formula>
    </cfRule>
  </conditionalFormatting>
  <conditionalFormatting sqref="V1119">
    <cfRule type="cellIs" operator="equal" dxfId="3218" priority="3218">
      <formula>"Mercado Envios grátis"</formula>
    </cfRule>
  </conditionalFormatting>
  <conditionalFormatting sqref="W1119">
    <cfRule type="cellIs" operator="equal" dxfId="3219" priority="3219">
      <formula>"Premium"</formula>
    </cfRule>
  </conditionalFormatting>
  <conditionalFormatting sqref="J1120">
    <cfRule type="cellIs" operator="equal" dxfId="3220" priority="3220">
      <formula>"R$"</formula>
    </cfRule>
  </conditionalFormatting>
  <conditionalFormatting sqref="K1120">
    <cfRule type="cellIs" operator="equal" dxfId="3221" priority="3221">
      <formula>"Com impostos"</formula>
    </cfRule>
  </conditionalFormatting>
  <conditionalFormatting sqref="V1120">
    <cfRule type="cellIs" operator="equal" dxfId="3222" priority="3222">
      <formula>"Mercado Envios grátis"</formula>
    </cfRule>
  </conditionalFormatting>
  <conditionalFormatting sqref="W1120">
    <cfRule type="cellIs" operator="equal" dxfId="3223" priority="3223">
      <formula>"Clássico"</formula>
    </cfRule>
  </conditionalFormatting>
  <conditionalFormatting sqref="J1121">
    <cfRule type="cellIs" operator="equal" dxfId="3224" priority="3224">
      <formula>"R$"</formula>
    </cfRule>
  </conditionalFormatting>
  <conditionalFormatting sqref="K1121">
    <cfRule type="cellIs" operator="equal" dxfId="3225" priority="3225">
      <formula>"Com impostos"</formula>
    </cfRule>
  </conditionalFormatting>
  <conditionalFormatting sqref="V1121">
    <cfRule type="cellIs" operator="equal" dxfId="3226" priority="3226">
      <formula>"Mercado Envios por conta do comprador"</formula>
    </cfRule>
  </conditionalFormatting>
  <conditionalFormatting sqref="W1121">
    <cfRule type="cellIs" operator="equal" dxfId="3227" priority="3227">
      <formula>"Clássico"</formula>
    </cfRule>
  </conditionalFormatting>
  <conditionalFormatting sqref="J1122">
    <cfRule type="cellIs" operator="equal" dxfId="3228" priority="3228">
      <formula>"R$"</formula>
    </cfRule>
  </conditionalFormatting>
  <conditionalFormatting sqref="K1122">
    <cfRule type="cellIs" operator="equal" dxfId="3229" priority="3229">
      <formula>"Com impostos"</formula>
    </cfRule>
  </conditionalFormatting>
  <conditionalFormatting sqref="V1122">
    <cfRule type="cellIs" operator="equal" dxfId="3230" priority="3230">
      <formula>"Mercado Envios grátis"</formula>
    </cfRule>
  </conditionalFormatting>
  <conditionalFormatting sqref="W1122">
    <cfRule type="cellIs" operator="equal" dxfId="3231" priority="3231">
      <formula>"Premium"</formula>
    </cfRule>
  </conditionalFormatting>
  <conditionalFormatting sqref="J1123">
    <cfRule type="cellIs" operator="equal" dxfId="3232" priority="3232">
      <formula>"R$"</formula>
    </cfRule>
  </conditionalFormatting>
  <conditionalFormatting sqref="K1123">
    <cfRule type="cellIs" operator="equal" dxfId="3233" priority="3233">
      <formula>"Com impostos"</formula>
    </cfRule>
  </conditionalFormatting>
  <conditionalFormatting sqref="V1123">
    <cfRule type="cellIs" operator="equal" dxfId="3234" priority="3234">
      <formula>"Mercado Envios grátis"</formula>
    </cfRule>
  </conditionalFormatting>
  <conditionalFormatting sqref="W1123">
    <cfRule type="cellIs" operator="equal" dxfId="3235" priority="3235">
      <formula>"Premium"</formula>
    </cfRule>
  </conditionalFormatting>
  <conditionalFormatting sqref="J1124">
    <cfRule type="cellIs" operator="equal" dxfId="3236" priority="3236">
      <formula>"R$"</formula>
    </cfRule>
  </conditionalFormatting>
  <conditionalFormatting sqref="K1124">
    <cfRule type="cellIs" operator="equal" dxfId="3237" priority="3237">
      <formula>"Com impostos"</formula>
    </cfRule>
  </conditionalFormatting>
  <conditionalFormatting sqref="V1124">
    <cfRule type="cellIs" operator="equal" dxfId="3238" priority="3238">
      <formula>"Mercado Envios grátis"</formula>
    </cfRule>
  </conditionalFormatting>
  <conditionalFormatting sqref="W1124">
    <cfRule type="cellIs" operator="equal" dxfId="3239" priority="3239">
      <formula>"Clássico"</formula>
    </cfRule>
  </conditionalFormatting>
  <conditionalFormatting sqref="J1125">
    <cfRule type="cellIs" operator="equal" dxfId="3240" priority="3240">
      <formula>"R$"</formula>
    </cfRule>
  </conditionalFormatting>
  <conditionalFormatting sqref="V1125">
    <cfRule type="cellIs" operator="equal" dxfId="3241" priority="3241">
      <formula>"Mercado Envios grátis"</formula>
    </cfRule>
  </conditionalFormatting>
  <conditionalFormatting sqref="W1125">
    <cfRule type="cellIs" operator="equal" dxfId="3242" priority="3242">
      <formula>"Premium"</formula>
    </cfRule>
  </conditionalFormatting>
  <conditionalFormatting sqref="J1128">
    <cfRule type="cellIs" operator="equal" dxfId="3243" priority="3243">
      <formula>"R$"</formula>
    </cfRule>
  </conditionalFormatting>
  <conditionalFormatting sqref="K1128">
    <cfRule type="cellIs" operator="equal" dxfId="3244" priority="3244">
      <formula>"Com impostos"</formula>
    </cfRule>
  </conditionalFormatting>
  <conditionalFormatting sqref="V1128">
    <cfRule type="cellIs" operator="equal" dxfId="3245" priority="3245">
      <formula>"Mercado Envios grátis"</formula>
    </cfRule>
  </conditionalFormatting>
  <conditionalFormatting sqref="W1128">
    <cfRule type="cellIs" operator="equal" dxfId="3246" priority="3246">
      <formula>"Premium"</formula>
    </cfRule>
  </conditionalFormatting>
  <conditionalFormatting sqref="J1129">
    <cfRule type="cellIs" operator="equal" dxfId="3247" priority="3247">
      <formula>"R$"</formula>
    </cfRule>
  </conditionalFormatting>
  <conditionalFormatting sqref="K1129">
    <cfRule type="cellIs" operator="equal" dxfId="3248" priority="3248">
      <formula>"Com impostos"</formula>
    </cfRule>
  </conditionalFormatting>
  <conditionalFormatting sqref="V1129">
    <cfRule type="cellIs" operator="equal" dxfId="3249" priority="3249">
      <formula>"Mercado Envios grátis"</formula>
    </cfRule>
  </conditionalFormatting>
  <conditionalFormatting sqref="W1129">
    <cfRule type="cellIs" operator="equal" dxfId="3250" priority="3250">
      <formula>"Premium"</formula>
    </cfRule>
  </conditionalFormatting>
  <conditionalFormatting sqref="J1130">
    <cfRule type="cellIs" operator="equal" dxfId="3251" priority="3251">
      <formula>"R$"</formula>
    </cfRule>
  </conditionalFormatting>
  <conditionalFormatting sqref="K1130">
    <cfRule type="cellIs" operator="equal" dxfId="3252" priority="3252">
      <formula>"Com impostos"</formula>
    </cfRule>
  </conditionalFormatting>
  <conditionalFormatting sqref="V1130">
    <cfRule type="cellIs" operator="equal" dxfId="3253" priority="3253">
      <formula>"Mercado Envios grátis"</formula>
    </cfRule>
  </conditionalFormatting>
  <conditionalFormatting sqref="W1130">
    <cfRule type="cellIs" operator="equal" dxfId="3254" priority="3254">
      <formula>"Premium"</formula>
    </cfRule>
  </conditionalFormatting>
  <conditionalFormatting sqref="J1131">
    <cfRule type="cellIs" operator="equal" dxfId="3255" priority="3255">
      <formula>"R$"</formula>
    </cfRule>
  </conditionalFormatting>
  <conditionalFormatting sqref="V1131">
    <cfRule type="cellIs" operator="equal" dxfId="3256" priority="3256">
      <formula>"Mercado Envios grátis"</formula>
    </cfRule>
  </conditionalFormatting>
  <conditionalFormatting sqref="W1131">
    <cfRule type="cellIs" operator="equal" dxfId="3257" priority="3257">
      <formula>"Clássico"</formula>
    </cfRule>
  </conditionalFormatting>
  <conditionalFormatting sqref="J1134">
    <cfRule type="cellIs" operator="equal" dxfId="3258" priority="3258">
      <formula>"R$"</formula>
    </cfRule>
  </conditionalFormatting>
  <conditionalFormatting sqref="K1134">
    <cfRule type="cellIs" operator="equal" dxfId="3259" priority="3259">
      <formula>"Com impostos"</formula>
    </cfRule>
  </conditionalFormatting>
  <conditionalFormatting sqref="V1134">
    <cfRule type="cellIs" operator="equal" dxfId="3260" priority="3260">
      <formula>"Mercado Envios por conta do comprador"</formula>
    </cfRule>
  </conditionalFormatting>
  <conditionalFormatting sqref="W1134">
    <cfRule type="cellIs" operator="equal" dxfId="3261" priority="3261">
      <formula>"Premium"</formula>
    </cfRule>
  </conditionalFormatting>
  <conditionalFormatting sqref="J1135">
    <cfRule type="cellIs" operator="equal" dxfId="3262" priority="3262">
      <formula>"R$"</formula>
    </cfRule>
  </conditionalFormatting>
  <conditionalFormatting sqref="K1135">
    <cfRule type="cellIs" operator="equal" dxfId="3263" priority="3263">
      <formula>"Com impostos"</formula>
    </cfRule>
  </conditionalFormatting>
  <conditionalFormatting sqref="V1135">
    <cfRule type="cellIs" operator="equal" dxfId="3264" priority="3264">
      <formula>"Mercado Envios grátis"</formula>
    </cfRule>
  </conditionalFormatting>
  <conditionalFormatting sqref="W1135">
    <cfRule type="cellIs" operator="equal" dxfId="3265" priority="3265">
      <formula>"Clássico"</formula>
    </cfRule>
  </conditionalFormatting>
  <conditionalFormatting sqref="J1136">
    <cfRule type="cellIs" operator="equal" dxfId="3266" priority="3266">
      <formula>"R$"</formula>
    </cfRule>
  </conditionalFormatting>
  <conditionalFormatting sqref="K1136">
    <cfRule type="cellIs" operator="equal" dxfId="3267" priority="3267">
      <formula>"Com impostos"</formula>
    </cfRule>
  </conditionalFormatting>
  <conditionalFormatting sqref="V1136">
    <cfRule type="cellIs" operator="equal" dxfId="3268" priority="3268">
      <formula>"Mercado Envios grátis"</formula>
    </cfRule>
  </conditionalFormatting>
  <conditionalFormatting sqref="W1136">
    <cfRule type="cellIs" operator="equal" dxfId="3269" priority="3269">
      <formula>"Premium"</formula>
    </cfRule>
  </conditionalFormatting>
  <conditionalFormatting sqref="J1137">
    <cfRule type="cellIs" operator="equal" dxfId="3270" priority="3270">
      <formula>"R$"</formula>
    </cfRule>
  </conditionalFormatting>
  <conditionalFormatting sqref="K1137">
    <cfRule type="cellIs" operator="equal" dxfId="3271" priority="3271">
      <formula>"Com impostos"</formula>
    </cfRule>
  </conditionalFormatting>
  <conditionalFormatting sqref="V1137">
    <cfRule type="cellIs" operator="equal" dxfId="3272" priority="3272">
      <formula>"Mercado Envios grátis"</formula>
    </cfRule>
  </conditionalFormatting>
  <conditionalFormatting sqref="W1137">
    <cfRule type="cellIs" operator="equal" dxfId="3273" priority="3273">
      <formula>"Premium"</formula>
    </cfRule>
  </conditionalFormatting>
  <conditionalFormatting sqref="J1138">
    <cfRule type="cellIs" operator="equal" dxfId="3274" priority="3274">
      <formula>"R$"</formula>
    </cfRule>
  </conditionalFormatting>
  <conditionalFormatting sqref="K1138">
    <cfRule type="cellIs" operator="equal" dxfId="3275" priority="3275">
      <formula>"Com impostos"</formula>
    </cfRule>
  </conditionalFormatting>
  <conditionalFormatting sqref="V1138">
    <cfRule type="cellIs" operator="equal" dxfId="3276" priority="3276">
      <formula>"Mercado Envios grátis"</formula>
    </cfRule>
  </conditionalFormatting>
  <conditionalFormatting sqref="W1138">
    <cfRule type="cellIs" operator="equal" dxfId="3277" priority="3277">
      <formula>"Premium"</formula>
    </cfRule>
  </conditionalFormatting>
  <conditionalFormatting sqref="J1139">
    <cfRule type="cellIs" operator="equal" dxfId="3278" priority="3278">
      <formula>"R$"</formula>
    </cfRule>
  </conditionalFormatting>
  <conditionalFormatting sqref="K1139">
    <cfRule type="cellIs" operator="equal" dxfId="3279" priority="3279">
      <formula>"Com impostos"</formula>
    </cfRule>
  </conditionalFormatting>
  <conditionalFormatting sqref="V1139">
    <cfRule type="cellIs" operator="equal" dxfId="3280" priority="3280">
      <formula>"Mercado Envios grátis"</formula>
    </cfRule>
  </conditionalFormatting>
  <conditionalFormatting sqref="W1139">
    <cfRule type="cellIs" operator="equal" dxfId="3281" priority="3281">
      <formula>"Clássico"</formula>
    </cfRule>
  </conditionalFormatting>
  <conditionalFormatting sqref="J1140">
    <cfRule type="cellIs" operator="equal" dxfId="3282" priority="3282">
      <formula>"R$"</formula>
    </cfRule>
  </conditionalFormatting>
  <conditionalFormatting sqref="K1140">
    <cfRule type="cellIs" operator="equal" dxfId="3283" priority="3283">
      <formula>"Com impostos"</formula>
    </cfRule>
  </conditionalFormatting>
  <conditionalFormatting sqref="V1140">
    <cfRule type="cellIs" operator="equal" dxfId="3284" priority="3284">
      <formula>"Mercado Envios por conta do comprador"</formula>
    </cfRule>
  </conditionalFormatting>
  <conditionalFormatting sqref="W1140">
    <cfRule type="cellIs" operator="equal" dxfId="3285" priority="3285">
      <formula>"Premium"</formula>
    </cfRule>
  </conditionalFormatting>
  <conditionalFormatting sqref="J1141">
    <cfRule type="cellIs" operator="equal" dxfId="3286" priority="3286">
      <formula>"R$"</formula>
    </cfRule>
  </conditionalFormatting>
  <conditionalFormatting sqref="K1141">
    <cfRule type="cellIs" operator="equal" dxfId="3287" priority="3287">
      <formula>"Com impostos"</formula>
    </cfRule>
  </conditionalFormatting>
  <conditionalFormatting sqref="V1141">
    <cfRule type="cellIs" operator="equal" dxfId="3288" priority="3288">
      <formula>"Mercado Envios grátis"</formula>
    </cfRule>
  </conditionalFormatting>
  <conditionalFormatting sqref="W1141">
    <cfRule type="cellIs" operator="equal" dxfId="3289" priority="3289">
      <formula>"Clássico"</formula>
    </cfRule>
  </conditionalFormatting>
  <conditionalFormatting sqref="J1142">
    <cfRule type="cellIs" operator="equal" dxfId="3290" priority="3290">
      <formula>"R$"</formula>
    </cfRule>
  </conditionalFormatting>
  <conditionalFormatting sqref="V1142">
    <cfRule type="cellIs" operator="equal" dxfId="3291" priority="3291">
      <formula>"Mercado Envios grátis"</formula>
    </cfRule>
  </conditionalFormatting>
  <conditionalFormatting sqref="W1142">
    <cfRule type="cellIs" operator="equal" dxfId="3292" priority="3292">
      <formula>"Clássico"</formula>
    </cfRule>
  </conditionalFormatting>
  <conditionalFormatting sqref="J1145">
    <cfRule type="cellIs" operator="equal" dxfId="3293" priority="3293">
      <formula>"R$"</formula>
    </cfRule>
  </conditionalFormatting>
  <conditionalFormatting sqref="K1145">
    <cfRule type="cellIs" operator="equal" dxfId="3294" priority="3294">
      <formula>"Com impostos"</formula>
    </cfRule>
  </conditionalFormatting>
  <conditionalFormatting sqref="V1145">
    <cfRule type="cellIs" operator="equal" dxfId="3295" priority="3295">
      <formula>"Mercado Envios grátis"</formula>
    </cfRule>
  </conditionalFormatting>
  <conditionalFormatting sqref="W1145">
    <cfRule type="cellIs" operator="equal" dxfId="3296" priority="3296">
      <formula>"Clássico"</formula>
    </cfRule>
  </conditionalFormatting>
  <conditionalFormatting sqref="J1146">
    <cfRule type="cellIs" operator="equal" dxfId="3297" priority="3297">
      <formula>"R$"</formula>
    </cfRule>
  </conditionalFormatting>
  <conditionalFormatting sqref="K1146">
    <cfRule type="cellIs" operator="equal" dxfId="3298" priority="3298">
      <formula>"Com impostos"</formula>
    </cfRule>
  </conditionalFormatting>
  <conditionalFormatting sqref="V1146">
    <cfRule type="cellIs" operator="equal" dxfId="3299" priority="3299">
      <formula>"Mercado Envios grátis"</formula>
    </cfRule>
  </conditionalFormatting>
  <conditionalFormatting sqref="W1146">
    <cfRule type="cellIs" operator="equal" dxfId="3300" priority="3300">
      <formula>"Clássico"</formula>
    </cfRule>
  </conditionalFormatting>
  <conditionalFormatting sqref="J1147">
    <cfRule type="cellIs" operator="equal" dxfId="3301" priority="3301">
      <formula>"R$"</formula>
    </cfRule>
  </conditionalFormatting>
  <conditionalFormatting sqref="V1147">
    <cfRule type="cellIs" operator="equal" dxfId="3302" priority="3302">
      <formula>"Mercado Envios grátis"</formula>
    </cfRule>
  </conditionalFormatting>
  <conditionalFormatting sqref="W1147">
    <cfRule type="cellIs" operator="equal" dxfId="3303" priority="3303">
      <formula>"Premium"</formula>
    </cfRule>
  </conditionalFormatting>
  <conditionalFormatting sqref="J1150">
    <cfRule type="cellIs" operator="equal" dxfId="3304" priority="3304">
      <formula>"R$"</formula>
    </cfRule>
  </conditionalFormatting>
  <conditionalFormatting sqref="V1150">
    <cfRule type="cellIs" operator="equal" dxfId="3305" priority="3305">
      <formula>"Mercado Envios grátis"</formula>
    </cfRule>
  </conditionalFormatting>
  <conditionalFormatting sqref="W1150">
    <cfRule type="cellIs" operator="equal" dxfId="3306" priority="3306">
      <formula>"Premium"</formula>
    </cfRule>
  </conditionalFormatting>
  <conditionalFormatting sqref="J1153">
    <cfRule type="cellIs" operator="equal" dxfId="3307" priority="3307">
      <formula>"R$"</formula>
    </cfRule>
  </conditionalFormatting>
  <conditionalFormatting sqref="K1153">
    <cfRule type="cellIs" operator="equal" dxfId="3308" priority="3308">
      <formula>"Com impostos"</formula>
    </cfRule>
  </conditionalFormatting>
  <conditionalFormatting sqref="V1153">
    <cfRule type="cellIs" operator="equal" dxfId="3309" priority="3309">
      <formula>"Mercado Envios grátis"</formula>
    </cfRule>
  </conditionalFormatting>
  <conditionalFormatting sqref="W1153">
    <cfRule type="cellIs" operator="equal" dxfId="3310" priority="3310">
      <formula>"Clássico"</formula>
    </cfRule>
  </conditionalFormatting>
  <conditionalFormatting sqref="J1154">
    <cfRule type="cellIs" operator="equal" dxfId="3311" priority="3311">
      <formula>"R$"</formula>
    </cfRule>
  </conditionalFormatting>
  <conditionalFormatting sqref="K1154">
    <cfRule type="cellIs" operator="equal" dxfId="3312" priority="3312">
      <formula>"Com impostos"</formula>
    </cfRule>
  </conditionalFormatting>
  <conditionalFormatting sqref="V1154">
    <cfRule type="cellIs" operator="equal" dxfId="3313" priority="3313">
      <formula>"Mercado Envios grátis"</formula>
    </cfRule>
  </conditionalFormatting>
  <conditionalFormatting sqref="W1154">
    <cfRule type="cellIs" operator="equal" dxfId="3314" priority="3314">
      <formula>"Premium"</formula>
    </cfRule>
  </conditionalFormatting>
  <conditionalFormatting sqref="J1155">
    <cfRule type="cellIs" operator="equal" dxfId="3315" priority="3315">
      <formula>"R$"</formula>
    </cfRule>
  </conditionalFormatting>
  <conditionalFormatting sqref="K1155">
    <cfRule type="cellIs" operator="equal" dxfId="3316" priority="3316">
      <formula>"Com impostos"</formula>
    </cfRule>
  </conditionalFormatting>
  <conditionalFormatting sqref="V1155">
    <cfRule type="cellIs" operator="equal" dxfId="3317" priority="3317">
      <formula>"Mercado Envios grátis"</formula>
    </cfRule>
  </conditionalFormatting>
  <conditionalFormatting sqref="W1155">
    <cfRule type="cellIs" operator="equal" dxfId="3318" priority="3318">
      <formula>"Clássico"</formula>
    </cfRule>
  </conditionalFormatting>
  <conditionalFormatting sqref="J1156">
    <cfRule type="cellIs" operator="equal" dxfId="3319" priority="3319">
      <formula>"R$"</formula>
    </cfRule>
  </conditionalFormatting>
  <conditionalFormatting sqref="K1156">
    <cfRule type="cellIs" operator="equal" dxfId="3320" priority="3320">
      <formula>"Com impostos"</formula>
    </cfRule>
  </conditionalFormatting>
  <conditionalFormatting sqref="V1156">
    <cfRule type="cellIs" operator="equal" dxfId="3321" priority="3321">
      <formula>"Mercado Envios grátis"</formula>
    </cfRule>
  </conditionalFormatting>
  <conditionalFormatting sqref="W1156">
    <cfRule type="cellIs" operator="equal" dxfId="3322" priority="3322">
      <formula>"Clássico"</formula>
    </cfRule>
  </conditionalFormatting>
  <conditionalFormatting sqref="J1157">
    <cfRule type="cellIs" operator="equal" dxfId="3323" priority="3323">
      <formula>"R$"</formula>
    </cfRule>
  </conditionalFormatting>
  <conditionalFormatting sqref="K1157">
    <cfRule type="cellIs" operator="equal" dxfId="3324" priority="3324">
      <formula>"Com impostos"</formula>
    </cfRule>
  </conditionalFormatting>
  <conditionalFormatting sqref="V1157">
    <cfRule type="cellIs" operator="equal" dxfId="3325" priority="3325">
      <formula>"Mercado Envios por conta do comprador"</formula>
    </cfRule>
  </conditionalFormatting>
  <conditionalFormatting sqref="W1157">
    <cfRule type="cellIs" operator="equal" dxfId="3326" priority="3326">
      <formula>"Premium"</formula>
    </cfRule>
  </conditionalFormatting>
  <conditionalFormatting sqref="J1158">
    <cfRule type="cellIs" operator="equal" dxfId="3327" priority="3327">
      <formula>"R$"</formula>
    </cfRule>
  </conditionalFormatting>
  <conditionalFormatting sqref="K1158">
    <cfRule type="cellIs" operator="equal" dxfId="3328" priority="3328">
      <formula>"Com impostos"</formula>
    </cfRule>
  </conditionalFormatting>
  <conditionalFormatting sqref="V1158">
    <cfRule type="cellIs" operator="equal" dxfId="3329" priority="3329">
      <formula>"Mercado Envios grátis"</formula>
    </cfRule>
  </conditionalFormatting>
  <conditionalFormatting sqref="W1158">
    <cfRule type="cellIs" operator="equal" dxfId="3330" priority="3330">
      <formula>"Clássico"</formula>
    </cfRule>
  </conditionalFormatting>
  <conditionalFormatting sqref="J1159">
    <cfRule type="cellIs" operator="equal" dxfId="3331" priority="3331">
      <formula>"R$"</formula>
    </cfRule>
  </conditionalFormatting>
  <conditionalFormatting sqref="K1159">
    <cfRule type="cellIs" operator="equal" dxfId="3332" priority="3332">
      <formula>"Com impostos"</formula>
    </cfRule>
  </conditionalFormatting>
  <conditionalFormatting sqref="V1159">
    <cfRule type="cellIs" operator="equal" dxfId="3333" priority="3333">
      <formula>"Mercado Envios grátis"</formula>
    </cfRule>
  </conditionalFormatting>
  <conditionalFormatting sqref="W1159">
    <cfRule type="cellIs" operator="equal" dxfId="3334" priority="3334">
      <formula>"Premium"</formula>
    </cfRule>
  </conditionalFormatting>
  <conditionalFormatting sqref="J1160">
    <cfRule type="cellIs" operator="equal" dxfId="3335" priority="3335">
      <formula>"R$"</formula>
    </cfRule>
  </conditionalFormatting>
  <conditionalFormatting sqref="K1160">
    <cfRule type="cellIs" operator="equal" dxfId="3336" priority="3336">
      <formula>"Com impostos"</formula>
    </cfRule>
  </conditionalFormatting>
  <conditionalFormatting sqref="V1160">
    <cfRule type="cellIs" operator="equal" dxfId="3337" priority="3337">
      <formula>"Mercado Envios grátis"</formula>
    </cfRule>
  </conditionalFormatting>
  <conditionalFormatting sqref="W1160">
    <cfRule type="cellIs" operator="equal" dxfId="3338" priority="3338">
      <formula>"Clássico"</formula>
    </cfRule>
  </conditionalFormatting>
  <conditionalFormatting sqref="J1161">
    <cfRule type="cellIs" operator="equal" dxfId="3339" priority="3339">
      <formula>"R$"</formula>
    </cfRule>
  </conditionalFormatting>
  <conditionalFormatting sqref="K1161">
    <cfRule type="cellIs" operator="equal" dxfId="3340" priority="3340">
      <formula>"Com impostos"</formula>
    </cfRule>
  </conditionalFormatting>
  <conditionalFormatting sqref="V1161">
    <cfRule type="cellIs" operator="equal" dxfId="3341" priority="3341">
      <formula>"Mercado Envios grátis"</formula>
    </cfRule>
  </conditionalFormatting>
  <conditionalFormatting sqref="W1161">
    <cfRule type="cellIs" operator="equal" dxfId="3342" priority="3342">
      <formula>"Premium"</formula>
    </cfRule>
  </conditionalFormatting>
  <conditionalFormatting sqref="J1162">
    <cfRule type="cellIs" operator="equal" dxfId="3343" priority="3343">
      <formula>"R$"</formula>
    </cfRule>
  </conditionalFormatting>
  <conditionalFormatting sqref="K1162">
    <cfRule type="cellIs" operator="equal" dxfId="3344" priority="3344">
      <formula>"Com impostos"</formula>
    </cfRule>
  </conditionalFormatting>
  <conditionalFormatting sqref="V1162">
    <cfRule type="cellIs" operator="equal" dxfId="3345" priority="3345">
      <formula>"Mercado Envios grátis"</formula>
    </cfRule>
  </conditionalFormatting>
  <conditionalFormatting sqref="W1162">
    <cfRule type="cellIs" operator="equal" dxfId="3346" priority="3346">
      <formula>"Clássico"</formula>
    </cfRule>
  </conditionalFormatting>
  <conditionalFormatting sqref="J1163">
    <cfRule type="cellIs" operator="equal" dxfId="3347" priority="3347">
      <formula>"R$"</formula>
    </cfRule>
  </conditionalFormatting>
  <conditionalFormatting sqref="K1163">
    <cfRule type="cellIs" operator="equal" dxfId="3348" priority="3348">
      <formula>"Com impostos"</formula>
    </cfRule>
  </conditionalFormatting>
  <conditionalFormatting sqref="V1163">
    <cfRule type="cellIs" operator="equal" dxfId="3349" priority="3349">
      <formula>"Mercado Envios grátis"</formula>
    </cfRule>
  </conditionalFormatting>
  <conditionalFormatting sqref="W1163">
    <cfRule type="cellIs" operator="equal" dxfId="3350" priority="3350">
      <formula>"Premium"</formula>
    </cfRule>
  </conditionalFormatting>
  <conditionalFormatting sqref="J1164">
    <cfRule type="cellIs" operator="equal" dxfId="3351" priority="3351">
      <formula>"R$"</formula>
    </cfRule>
  </conditionalFormatting>
  <conditionalFormatting sqref="K1164">
    <cfRule type="cellIs" operator="equal" dxfId="3352" priority="3352">
      <formula>"Com impostos"</formula>
    </cfRule>
  </conditionalFormatting>
  <conditionalFormatting sqref="V1164">
    <cfRule type="cellIs" operator="equal" dxfId="3353" priority="3353">
      <formula>"Mercado Envios grátis"</formula>
    </cfRule>
  </conditionalFormatting>
  <conditionalFormatting sqref="W1164">
    <cfRule type="cellIs" operator="equal" dxfId="3354" priority="3354">
      <formula>"Premium"</formula>
    </cfRule>
  </conditionalFormatting>
  <conditionalFormatting sqref="J1165">
    <cfRule type="cellIs" operator="equal" dxfId="3355" priority="3355">
      <formula>"R$"</formula>
    </cfRule>
  </conditionalFormatting>
  <conditionalFormatting sqref="K1165">
    <cfRule type="cellIs" operator="equal" dxfId="3356" priority="3356">
      <formula>"Com impostos"</formula>
    </cfRule>
  </conditionalFormatting>
  <conditionalFormatting sqref="V1165">
    <cfRule type="cellIs" operator="equal" dxfId="3357" priority="3357">
      <formula>"Mercado Envios grátis"</formula>
    </cfRule>
  </conditionalFormatting>
  <conditionalFormatting sqref="W1165">
    <cfRule type="cellIs" operator="equal" dxfId="3358" priority="3358">
      <formula>"Premium"</formula>
    </cfRule>
  </conditionalFormatting>
  <conditionalFormatting sqref="J1166">
    <cfRule type="cellIs" operator="equal" dxfId="3359" priority="3359">
      <formula>"R$"</formula>
    </cfRule>
  </conditionalFormatting>
  <conditionalFormatting sqref="K1166">
    <cfRule type="cellIs" operator="equal" dxfId="3360" priority="3360">
      <formula>"Com impostos"</formula>
    </cfRule>
  </conditionalFormatting>
  <conditionalFormatting sqref="V1166">
    <cfRule type="cellIs" operator="equal" dxfId="3361" priority="3361">
      <formula>"Mercado Envios por conta do comprador"</formula>
    </cfRule>
  </conditionalFormatting>
  <conditionalFormatting sqref="W1166">
    <cfRule type="cellIs" operator="equal" dxfId="3362" priority="3362">
      <formula>"Clássico"</formula>
    </cfRule>
  </conditionalFormatting>
  <conditionalFormatting sqref="J1167">
    <cfRule type="cellIs" operator="equal" dxfId="3363" priority="3363">
      <formula>"R$"</formula>
    </cfRule>
  </conditionalFormatting>
  <conditionalFormatting sqref="K1167">
    <cfRule type="cellIs" operator="equal" dxfId="3364" priority="3364">
      <formula>"Com impostos"</formula>
    </cfRule>
  </conditionalFormatting>
  <conditionalFormatting sqref="V1167">
    <cfRule type="cellIs" operator="equal" dxfId="3365" priority="3365">
      <formula>"Mercado Envios grátis"</formula>
    </cfRule>
  </conditionalFormatting>
  <conditionalFormatting sqref="W1167">
    <cfRule type="cellIs" operator="equal" dxfId="3366" priority="3366">
      <formula>"Clássico"</formula>
    </cfRule>
  </conditionalFormatting>
  <conditionalFormatting sqref="J1168">
    <cfRule type="cellIs" operator="equal" dxfId="3367" priority="3367">
      <formula>"R$"</formula>
    </cfRule>
  </conditionalFormatting>
  <conditionalFormatting sqref="V1168">
    <cfRule type="cellIs" operator="equal" dxfId="3368" priority="3368">
      <formula>"Mercado Envios por conta do comprador"</formula>
    </cfRule>
  </conditionalFormatting>
  <conditionalFormatting sqref="W1168">
    <cfRule type="cellIs" operator="equal" dxfId="3369" priority="3369">
      <formula>"Premium"</formula>
    </cfRule>
  </conditionalFormatting>
  <conditionalFormatting sqref="J1171">
    <cfRule type="cellIs" operator="equal" dxfId="3370" priority="3370">
      <formula>"R$"</formula>
    </cfRule>
  </conditionalFormatting>
  <conditionalFormatting sqref="V1171">
    <cfRule type="cellIs" operator="equal" dxfId="3371" priority="3371">
      <formula>"Mercado Envios por conta do comprador"</formula>
    </cfRule>
  </conditionalFormatting>
  <conditionalFormatting sqref="W1171">
    <cfRule type="cellIs" operator="equal" dxfId="3372" priority="3372">
      <formula>"Premium"</formula>
    </cfRule>
  </conditionalFormatting>
  <conditionalFormatting sqref="J1174">
    <cfRule type="cellIs" operator="equal" dxfId="3373" priority="3373">
      <formula>"R$"</formula>
    </cfRule>
  </conditionalFormatting>
  <conditionalFormatting sqref="K1174">
    <cfRule type="cellIs" operator="equal" dxfId="3374" priority="3374">
      <formula>"Com impostos"</formula>
    </cfRule>
  </conditionalFormatting>
  <conditionalFormatting sqref="V1174">
    <cfRule type="cellIs" operator="equal" dxfId="3375" priority="3375">
      <formula>"Mercado Envios grátis"</formula>
    </cfRule>
  </conditionalFormatting>
  <conditionalFormatting sqref="W1174">
    <cfRule type="cellIs" operator="equal" dxfId="3376" priority="3376">
      <formula>"Clássico"</formula>
    </cfRule>
  </conditionalFormatting>
  <conditionalFormatting sqref="J1175">
    <cfRule type="cellIs" operator="equal" dxfId="3377" priority="3377">
      <formula>"R$"</formula>
    </cfRule>
  </conditionalFormatting>
  <conditionalFormatting sqref="K1175">
    <cfRule type="cellIs" operator="equal" dxfId="3378" priority="3378">
      <formula>"Com impostos"</formula>
    </cfRule>
  </conditionalFormatting>
  <conditionalFormatting sqref="V1175">
    <cfRule type="cellIs" operator="equal" dxfId="3379" priority="3379">
      <formula>"Mercado Envios grátis"</formula>
    </cfRule>
  </conditionalFormatting>
  <conditionalFormatting sqref="W1175">
    <cfRule type="cellIs" operator="equal" dxfId="3380" priority="3380">
      <formula>"Premium"</formula>
    </cfRule>
  </conditionalFormatting>
  <conditionalFormatting sqref="J1176">
    <cfRule type="cellIs" operator="equal" dxfId="3381" priority="3381">
      <formula>"R$"</formula>
    </cfRule>
  </conditionalFormatting>
  <conditionalFormatting sqref="K1176">
    <cfRule type="cellIs" operator="equal" dxfId="3382" priority="3382">
      <formula>"Com impostos"</formula>
    </cfRule>
  </conditionalFormatting>
  <conditionalFormatting sqref="V1176">
    <cfRule type="cellIs" operator="equal" dxfId="3383" priority="3383">
      <formula>"Mercado Envios grátis"</formula>
    </cfRule>
  </conditionalFormatting>
  <conditionalFormatting sqref="W1176">
    <cfRule type="cellIs" operator="equal" dxfId="3384" priority="3384">
      <formula>"Premium"</formula>
    </cfRule>
  </conditionalFormatting>
  <conditionalFormatting sqref="J1177">
    <cfRule type="cellIs" operator="equal" dxfId="3385" priority="3385">
      <formula>"R$"</formula>
    </cfRule>
  </conditionalFormatting>
  <conditionalFormatting sqref="K1177">
    <cfRule type="cellIs" operator="equal" dxfId="3386" priority="3386">
      <formula>"Com impostos"</formula>
    </cfRule>
  </conditionalFormatting>
  <conditionalFormatting sqref="V1177">
    <cfRule type="cellIs" operator="equal" dxfId="3387" priority="3387">
      <formula>"Mercado Envios por conta do comprador"</formula>
    </cfRule>
  </conditionalFormatting>
  <conditionalFormatting sqref="W1177">
    <cfRule type="cellIs" operator="equal" dxfId="3388" priority="3388">
      <formula>"Premium"</formula>
    </cfRule>
  </conditionalFormatting>
  <conditionalFormatting sqref="J1178">
    <cfRule type="cellIs" operator="equal" dxfId="3389" priority="3389">
      <formula>"R$"</formula>
    </cfRule>
  </conditionalFormatting>
  <conditionalFormatting sqref="K1178">
    <cfRule type="cellIs" operator="equal" dxfId="3390" priority="3390">
      <formula>"Com impostos"</formula>
    </cfRule>
  </conditionalFormatting>
  <conditionalFormatting sqref="V1178">
    <cfRule type="cellIs" operator="equal" dxfId="3391" priority="3391">
      <formula>"Mercado Envios grátis"</formula>
    </cfRule>
  </conditionalFormatting>
  <conditionalFormatting sqref="W1178">
    <cfRule type="cellIs" operator="equal" dxfId="3392" priority="3392">
      <formula>"Clássico"</formula>
    </cfRule>
  </conditionalFormatting>
  <conditionalFormatting sqref="J1179">
    <cfRule type="cellIs" operator="equal" dxfId="3393" priority="3393">
      <formula>"R$"</formula>
    </cfRule>
  </conditionalFormatting>
  <conditionalFormatting sqref="K1179">
    <cfRule type="cellIs" operator="equal" dxfId="3394" priority="3394">
      <formula>"Com impostos"</formula>
    </cfRule>
  </conditionalFormatting>
  <conditionalFormatting sqref="V1179">
    <cfRule type="cellIs" operator="equal" dxfId="3395" priority="3395">
      <formula>"Mercado Envios por conta do comprador"</formula>
    </cfRule>
  </conditionalFormatting>
  <conditionalFormatting sqref="W1179">
    <cfRule type="cellIs" operator="equal" dxfId="3396" priority="3396">
      <formula>"Premium"</formula>
    </cfRule>
  </conditionalFormatting>
  <conditionalFormatting sqref="J1180">
    <cfRule type="cellIs" operator="equal" dxfId="3397" priority="3397">
      <formula>"R$"</formula>
    </cfRule>
  </conditionalFormatting>
  <conditionalFormatting sqref="K1180">
    <cfRule type="cellIs" operator="equal" dxfId="3398" priority="3398">
      <formula>"Com impostos"</formula>
    </cfRule>
  </conditionalFormatting>
  <conditionalFormatting sqref="V1180">
    <cfRule type="cellIs" operator="equal" dxfId="3399" priority="3399">
      <formula>"Mercado Envios por conta do comprador"</formula>
    </cfRule>
  </conditionalFormatting>
  <conditionalFormatting sqref="W1180">
    <cfRule type="cellIs" operator="equal" dxfId="3400" priority="3400">
      <formula>"Clássico"</formula>
    </cfRule>
  </conditionalFormatting>
  <conditionalFormatting sqref="J1181">
    <cfRule type="cellIs" operator="equal" dxfId="3401" priority="3401">
      <formula>"R$"</formula>
    </cfRule>
  </conditionalFormatting>
  <conditionalFormatting sqref="K1181">
    <cfRule type="cellIs" operator="equal" dxfId="3402" priority="3402">
      <formula>"Com impostos"</formula>
    </cfRule>
  </conditionalFormatting>
  <conditionalFormatting sqref="V1181">
    <cfRule type="cellIs" operator="equal" dxfId="3403" priority="3403">
      <formula>"Mercado Envios grátis"</formula>
    </cfRule>
  </conditionalFormatting>
  <conditionalFormatting sqref="W1181">
    <cfRule type="cellIs" operator="equal" dxfId="3404" priority="3404">
      <formula>"Premium"</formula>
    </cfRule>
  </conditionalFormatting>
  <conditionalFormatting sqref="J1182">
    <cfRule type="cellIs" operator="equal" dxfId="3405" priority="3405">
      <formula>"R$"</formula>
    </cfRule>
  </conditionalFormatting>
  <conditionalFormatting sqref="K1182">
    <cfRule type="cellIs" operator="equal" dxfId="3406" priority="3406">
      <formula>"Com impostos"</formula>
    </cfRule>
  </conditionalFormatting>
  <conditionalFormatting sqref="V1182">
    <cfRule type="cellIs" operator="equal" dxfId="3407" priority="3407">
      <formula>"Mercado Envios grátis"</formula>
    </cfRule>
  </conditionalFormatting>
  <conditionalFormatting sqref="W1182">
    <cfRule type="cellIs" operator="equal" dxfId="3408" priority="3408">
      <formula>"Premium"</formula>
    </cfRule>
  </conditionalFormatting>
  <conditionalFormatting sqref="J1183">
    <cfRule type="cellIs" operator="equal" dxfId="3409" priority="3409">
      <formula>"R$"</formula>
    </cfRule>
  </conditionalFormatting>
  <conditionalFormatting sqref="K1183">
    <cfRule type="cellIs" operator="equal" dxfId="3410" priority="3410">
      <formula>"Com impostos"</formula>
    </cfRule>
  </conditionalFormatting>
  <conditionalFormatting sqref="V1183">
    <cfRule type="cellIs" operator="equal" dxfId="3411" priority="3411">
      <formula>"Mercado Envios grátis"</formula>
    </cfRule>
  </conditionalFormatting>
  <conditionalFormatting sqref="W1183">
    <cfRule type="cellIs" operator="equal" dxfId="3412" priority="3412">
      <formula>"Premium"</formula>
    </cfRule>
  </conditionalFormatting>
  <conditionalFormatting sqref="J1184">
    <cfRule type="cellIs" operator="equal" dxfId="3413" priority="3413">
      <formula>"R$"</formula>
    </cfRule>
  </conditionalFormatting>
  <conditionalFormatting sqref="K1184">
    <cfRule type="cellIs" operator="equal" dxfId="3414" priority="3414">
      <formula>"Com impostos"</formula>
    </cfRule>
  </conditionalFormatting>
  <conditionalFormatting sqref="V1184">
    <cfRule type="cellIs" operator="equal" dxfId="3415" priority="3415">
      <formula>"Mercado Envios grátis"</formula>
    </cfRule>
  </conditionalFormatting>
  <conditionalFormatting sqref="W1184">
    <cfRule type="cellIs" operator="equal" dxfId="3416" priority="3416">
      <formula>"Premium"</formula>
    </cfRule>
  </conditionalFormatting>
  <conditionalFormatting sqref="J1185">
    <cfRule type="cellIs" operator="equal" dxfId="3417" priority="3417">
      <formula>"R$"</formula>
    </cfRule>
  </conditionalFormatting>
  <conditionalFormatting sqref="K1185">
    <cfRule type="cellIs" operator="equal" dxfId="3418" priority="3418">
      <formula>"Com impostos"</formula>
    </cfRule>
  </conditionalFormatting>
  <conditionalFormatting sqref="V1185">
    <cfRule type="cellIs" operator="equal" dxfId="3419" priority="3419">
      <formula>"Mercado Envios grátis"</formula>
    </cfRule>
  </conditionalFormatting>
  <conditionalFormatting sqref="W1185">
    <cfRule type="cellIs" operator="equal" dxfId="3420" priority="3420">
      <formula>"Clássico"</formula>
    </cfRule>
  </conditionalFormatting>
  <conditionalFormatting sqref="J1186">
    <cfRule type="cellIs" operator="equal" dxfId="3421" priority="3421">
      <formula>"R$"</formula>
    </cfRule>
  </conditionalFormatting>
  <conditionalFormatting sqref="K1186">
    <cfRule type="cellIs" operator="equal" dxfId="3422" priority="3422">
      <formula>"Com impostos"</formula>
    </cfRule>
  </conditionalFormatting>
  <conditionalFormatting sqref="V1186">
    <cfRule type="cellIs" operator="equal" dxfId="3423" priority="3423">
      <formula>"Mercado Envios grátis"</formula>
    </cfRule>
  </conditionalFormatting>
  <conditionalFormatting sqref="W1186">
    <cfRule type="cellIs" operator="equal" dxfId="3424" priority="3424">
      <formula>"Premium"</formula>
    </cfRule>
  </conditionalFormatting>
  <conditionalFormatting sqref="J1187">
    <cfRule type="cellIs" operator="equal" dxfId="3425" priority="3425">
      <formula>"R$"</formula>
    </cfRule>
  </conditionalFormatting>
  <conditionalFormatting sqref="K1187">
    <cfRule type="cellIs" operator="equal" dxfId="3426" priority="3426">
      <formula>"Com impostos"</formula>
    </cfRule>
  </conditionalFormatting>
  <conditionalFormatting sqref="V1187">
    <cfRule type="cellIs" operator="equal" dxfId="3427" priority="3427">
      <formula>"Mercado Envios grátis"</formula>
    </cfRule>
  </conditionalFormatting>
  <conditionalFormatting sqref="W1187">
    <cfRule type="cellIs" operator="equal" dxfId="3428" priority="3428">
      <formula>"Premium"</formula>
    </cfRule>
  </conditionalFormatting>
  <conditionalFormatting sqref="J1188">
    <cfRule type="cellIs" operator="equal" dxfId="3429" priority="3429">
      <formula>"R$"</formula>
    </cfRule>
  </conditionalFormatting>
  <conditionalFormatting sqref="K1188">
    <cfRule type="cellIs" operator="equal" dxfId="3430" priority="3430">
      <formula>"Com impostos"</formula>
    </cfRule>
  </conditionalFormatting>
  <conditionalFormatting sqref="V1188">
    <cfRule type="cellIs" operator="equal" dxfId="3431" priority="3431">
      <formula>"Mercado Envios grátis"</formula>
    </cfRule>
  </conditionalFormatting>
  <conditionalFormatting sqref="W1188">
    <cfRule type="cellIs" operator="equal" dxfId="3432" priority="3432">
      <formula>"Clássico"</formula>
    </cfRule>
  </conditionalFormatting>
  <conditionalFormatting sqref="J1189">
    <cfRule type="cellIs" operator="equal" dxfId="3433" priority="3433">
      <formula>"R$"</formula>
    </cfRule>
  </conditionalFormatting>
  <conditionalFormatting sqref="K1189">
    <cfRule type="cellIs" operator="equal" dxfId="3434" priority="3434">
      <formula>"Com impostos"</formula>
    </cfRule>
  </conditionalFormatting>
  <conditionalFormatting sqref="V1189">
    <cfRule type="cellIs" operator="equal" dxfId="3435" priority="3435">
      <formula>"Mercado Envios grátis"</formula>
    </cfRule>
  </conditionalFormatting>
  <conditionalFormatting sqref="W1189">
    <cfRule type="cellIs" operator="equal" dxfId="3436" priority="3436">
      <formula>"Premium"</formula>
    </cfRule>
  </conditionalFormatting>
  <conditionalFormatting sqref="J1190">
    <cfRule type="cellIs" operator="equal" dxfId="3437" priority="3437">
      <formula>"R$"</formula>
    </cfRule>
  </conditionalFormatting>
  <conditionalFormatting sqref="K1190">
    <cfRule type="cellIs" operator="equal" dxfId="3438" priority="3438">
      <formula>"Com impostos"</formula>
    </cfRule>
  </conditionalFormatting>
  <conditionalFormatting sqref="V1190">
    <cfRule type="cellIs" operator="equal" dxfId="3439" priority="3439">
      <formula>"Mercado Envios grátis"</formula>
    </cfRule>
  </conditionalFormatting>
  <conditionalFormatting sqref="W1190">
    <cfRule type="cellIs" operator="equal" dxfId="3440" priority="3440">
      <formula>"Premium"</formula>
    </cfRule>
  </conditionalFormatting>
  <conditionalFormatting sqref="J1191">
    <cfRule type="cellIs" operator="equal" dxfId="3441" priority="3441">
      <formula>"R$"</formula>
    </cfRule>
  </conditionalFormatting>
  <conditionalFormatting sqref="K1191">
    <cfRule type="cellIs" operator="equal" dxfId="3442" priority="3442">
      <formula>"Com impostos"</formula>
    </cfRule>
  </conditionalFormatting>
  <conditionalFormatting sqref="V1191">
    <cfRule type="cellIs" operator="equal" dxfId="3443" priority="3443">
      <formula>"Mercado Envios grátis"</formula>
    </cfRule>
  </conditionalFormatting>
  <conditionalFormatting sqref="W1191">
    <cfRule type="cellIs" operator="equal" dxfId="3444" priority="3444">
      <formula>"Premium"</formula>
    </cfRule>
  </conditionalFormatting>
  <conditionalFormatting sqref="J1192">
    <cfRule type="cellIs" operator="equal" dxfId="3445" priority="3445">
      <formula>"R$"</formula>
    </cfRule>
  </conditionalFormatting>
  <conditionalFormatting sqref="K1192">
    <cfRule type="cellIs" operator="equal" dxfId="3446" priority="3446">
      <formula>"Com impostos"</formula>
    </cfRule>
  </conditionalFormatting>
  <conditionalFormatting sqref="V1192">
    <cfRule type="cellIs" operator="equal" dxfId="3447" priority="3447">
      <formula>"Mercado Envios grátis"</formula>
    </cfRule>
  </conditionalFormatting>
  <conditionalFormatting sqref="W1192">
    <cfRule type="cellIs" operator="equal" dxfId="3448" priority="3448">
      <formula>"Clássico"</formula>
    </cfRule>
  </conditionalFormatting>
  <conditionalFormatting sqref="J1193">
    <cfRule type="cellIs" operator="equal" dxfId="3449" priority="3449">
      <formula>"R$"</formula>
    </cfRule>
  </conditionalFormatting>
  <conditionalFormatting sqref="K1193">
    <cfRule type="cellIs" operator="equal" dxfId="3450" priority="3450">
      <formula>"Com impostos"</formula>
    </cfRule>
  </conditionalFormatting>
  <conditionalFormatting sqref="V1193">
    <cfRule type="cellIs" operator="equal" dxfId="3451" priority="3451">
      <formula>"Mercado Envios grátis"</formula>
    </cfRule>
  </conditionalFormatting>
  <conditionalFormatting sqref="W1193">
    <cfRule type="cellIs" operator="equal" dxfId="3452" priority="3452">
      <formula>"Clássico"</formula>
    </cfRule>
  </conditionalFormatting>
  <conditionalFormatting sqref="J1194">
    <cfRule type="cellIs" operator="equal" dxfId="3453" priority="3453">
      <formula>"R$"</formula>
    </cfRule>
  </conditionalFormatting>
  <conditionalFormatting sqref="K1194">
    <cfRule type="cellIs" operator="equal" dxfId="3454" priority="3454">
      <formula>"Com impostos"</formula>
    </cfRule>
  </conditionalFormatting>
  <conditionalFormatting sqref="V1194">
    <cfRule type="cellIs" operator="equal" dxfId="3455" priority="3455">
      <formula>"Mercado Envios grátis"</formula>
    </cfRule>
  </conditionalFormatting>
  <conditionalFormatting sqref="W1194">
    <cfRule type="cellIs" operator="equal" dxfId="3456" priority="3456">
      <formula>"Premium"</formula>
    </cfRule>
  </conditionalFormatting>
  <conditionalFormatting sqref="J1195">
    <cfRule type="cellIs" operator="equal" dxfId="3457" priority="3457">
      <formula>"R$"</formula>
    </cfRule>
  </conditionalFormatting>
  <conditionalFormatting sqref="K1195">
    <cfRule type="cellIs" operator="equal" dxfId="3458" priority="3458">
      <formula>"Com impostos"</formula>
    </cfRule>
  </conditionalFormatting>
  <conditionalFormatting sqref="V1195">
    <cfRule type="cellIs" operator="equal" dxfId="3459" priority="3459">
      <formula>"Mercado Envios grátis"</formula>
    </cfRule>
  </conditionalFormatting>
  <conditionalFormatting sqref="W1195">
    <cfRule type="cellIs" operator="equal" dxfId="3460" priority="3460">
      <formula>"Premium"</formula>
    </cfRule>
  </conditionalFormatting>
  <conditionalFormatting sqref="J1196">
    <cfRule type="cellIs" operator="equal" dxfId="3461" priority="3461">
      <formula>"R$"</formula>
    </cfRule>
  </conditionalFormatting>
  <conditionalFormatting sqref="V1196">
    <cfRule type="cellIs" operator="equal" dxfId="3462" priority="3462">
      <formula>"Mercado Envios grátis"</formula>
    </cfRule>
  </conditionalFormatting>
  <conditionalFormatting sqref="W1196">
    <cfRule type="cellIs" operator="equal" dxfId="3463" priority="3463">
      <formula>"Clássico"</formula>
    </cfRule>
  </conditionalFormatting>
  <conditionalFormatting sqref="J1199">
    <cfRule type="cellIs" operator="equal" dxfId="3464" priority="3464">
      <formula>"R$"</formula>
    </cfRule>
  </conditionalFormatting>
  <conditionalFormatting sqref="K1199">
    <cfRule type="cellIs" operator="equal" dxfId="3465" priority="3465">
      <formula>"Com impostos"</formula>
    </cfRule>
  </conditionalFormatting>
  <conditionalFormatting sqref="V1199">
    <cfRule type="cellIs" operator="equal" dxfId="3466" priority="3466">
      <formula>"Mercado Envios grátis"</formula>
    </cfRule>
  </conditionalFormatting>
  <conditionalFormatting sqref="W1199">
    <cfRule type="cellIs" operator="equal" dxfId="3467" priority="3467">
      <formula>"Premium"</formula>
    </cfRule>
  </conditionalFormatting>
  <conditionalFormatting sqref="J1200">
    <cfRule type="cellIs" operator="equal" dxfId="3468" priority="3468">
      <formula>"R$"</formula>
    </cfRule>
  </conditionalFormatting>
  <conditionalFormatting sqref="K1200">
    <cfRule type="cellIs" operator="equal" dxfId="3469" priority="3469">
      <formula>"Com impostos"</formula>
    </cfRule>
  </conditionalFormatting>
  <conditionalFormatting sqref="V1200">
    <cfRule type="cellIs" operator="equal" dxfId="3470" priority="3470">
      <formula>"Mercado Envios grátis"</formula>
    </cfRule>
  </conditionalFormatting>
  <conditionalFormatting sqref="W1200">
    <cfRule type="cellIs" operator="equal" dxfId="3471" priority="3471">
      <formula>"Premium"</formula>
    </cfRule>
  </conditionalFormatting>
  <conditionalFormatting sqref="J1201">
    <cfRule type="cellIs" operator="equal" dxfId="3472" priority="3472">
      <formula>"R$"</formula>
    </cfRule>
  </conditionalFormatting>
  <conditionalFormatting sqref="K1201">
    <cfRule type="cellIs" operator="equal" dxfId="3473" priority="3473">
      <formula>"Com impostos"</formula>
    </cfRule>
  </conditionalFormatting>
  <conditionalFormatting sqref="V1201">
    <cfRule type="cellIs" operator="equal" dxfId="3474" priority="3474">
      <formula>"Mercado Envios grátis"</formula>
    </cfRule>
  </conditionalFormatting>
  <conditionalFormatting sqref="W1201">
    <cfRule type="cellIs" operator="equal" dxfId="3475" priority="3475">
      <formula>"Clássico"</formula>
    </cfRule>
  </conditionalFormatting>
  <conditionalFormatting sqref="J1202">
    <cfRule type="cellIs" operator="equal" dxfId="3476" priority="3476">
      <formula>"R$"</formula>
    </cfRule>
  </conditionalFormatting>
  <conditionalFormatting sqref="K1202">
    <cfRule type="cellIs" operator="equal" dxfId="3477" priority="3477">
      <formula>"Com impostos"</formula>
    </cfRule>
  </conditionalFormatting>
  <conditionalFormatting sqref="V1202">
    <cfRule type="cellIs" operator="equal" dxfId="3478" priority="3478">
      <formula>"Mercado Envios grátis"</formula>
    </cfRule>
  </conditionalFormatting>
  <conditionalFormatting sqref="W1202">
    <cfRule type="cellIs" operator="equal" dxfId="3479" priority="3479">
      <formula>"Premium"</formula>
    </cfRule>
  </conditionalFormatting>
  <conditionalFormatting sqref="J1203">
    <cfRule type="cellIs" operator="equal" dxfId="3480" priority="3480">
      <formula>"R$"</formula>
    </cfRule>
  </conditionalFormatting>
  <conditionalFormatting sqref="K1203">
    <cfRule type="cellIs" operator="equal" dxfId="3481" priority="3481">
      <formula>"Com impostos"</formula>
    </cfRule>
  </conditionalFormatting>
  <conditionalFormatting sqref="V1203">
    <cfRule type="cellIs" operator="equal" dxfId="3482" priority="3482">
      <formula>"Mercado Envios por conta do comprador"</formula>
    </cfRule>
  </conditionalFormatting>
  <conditionalFormatting sqref="W1203">
    <cfRule type="cellIs" operator="equal" dxfId="3483" priority="3483">
      <formula>"Clássico"</formula>
    </cfRule>
  </conditionalFormatting>
  <conditionalFormatting sqref="J1204">
    <cfRule type="cellIs" operator="equal" dxfId="3484" priority="3484">
      <formula>"R$"</formula>
    </cfRule>
  </conditionalFormatting>
  <conditionalFormatting sqref="K1204">
    <cfRule type="cellIs" operator="equal" dxfId="3485" priority="3485">
      <formula>"Com impostos"</formula>
    </cfRule>
  </conditionalFormatting>
  <conditionalFormatting sqref="V1204">
    <cfRule type="cellIs" operator="equal" dxfId="3486" priority="3486">
      <formula>"Mercado Envios grátis"</formula>
    </cfRule>
  </conditionalFormatting>
  <conditionalFormatting sqref="W1204">
    <cfRule type="cellIs" operator="equal" dxfId="3487" priority="3487">
      <formula>"Clássico"</formula>
    </cfRule>
  </conditionalFormatting>
  <conditionalFormatting sqref="J1205">
    <cfRule type="cellIs" operator="equal" dxfId="3488" priority="3488">
      <formula>"R$"</formula>
    </cfRule>
  </conditionalFormatting>
  <conditionalFormatting sqref="K1205">
    <cfRule type="cellIs" operator="equal" dxfId="3489" priority="3489">
      <formula>"Com impostos"</formula>
    </cfRule>
  </conditionalFormatting>
  <conditionalFormatting sqref="V1205">
    <cfRule type="cellIs" operator="equal" dxfId="3490" priority="3490">
      <formula>"Mercado Envios grátis"</formula>
    </cfRule>
  </conditionalFormatting>
  <conditionalFormatting sqref="W1205">
    <cfRule type="cellIs" operator="equal" dxfId="3491" priority="3491">
      <formula>"Clássico"</formula>
    </cfRule>
  </conditionalFormatting>
  <conditionalFormatting sqref="J1206">
    <cfRule type="cellIs" operator="equal" dxfId="3492" priority="3492">
      <formula>"R$"</formula>
    </cfRule>
  </conditionalFormatting>
  <conditionalFormatting sqref="K1206">
    <cfRule type="cellIs" operator="equal" dxfId="3493" priority="3493">
      <formula>"Com impostos"</formula>
    </cfRule>
  </conditionalFormatting>
  <conditionalFormatting sqref="V1206">
    <cfRule type="cellIs" operator="equal" dxfId="3494" priority="3494">
      <formula>"Mercado Envios grátis"</formula>
    </cfRule>
  </conditionalFormatting>
  <conditionalFormatting sqref="W1206">
    <cfRule type="cellIs" operator="equal" dxfId="3495" priority="3495">
      <formula>"Clássico"</formula>
    </cfRule>
  </conditionalFormatting>
  <conditionalFormatting sqref="J1207">
    <cfRule type="cellIs" operator="equal" dxfId="3496" priority="3496">
      <formula>"R$"</formula>
    </cfRule>
  </conditionalFormatting>
  <conditionalFormatting sqref="K1207">
    <cfRule type="cellIs" operator="equal" dxfId="3497" priority="3497">
      <formula>"Com impostos"</formula>
    </cfRule>
  </conditionalFormatting>
  <conditionalFormatting sqref="V1207">
    <cfRule type="cellIs" operator="equal" dxfId="3498" priority="3498">
      <formula>"Mercado Envios por conta do comprador"</formula>
    </cfRule>
  </conditionalFormatting>
  <conditionalFormatting sqref="W1207">
    <cfRule type="cellIs" operator="equal" dxfId="3499" priority="3499">
      <formula>"Clássico"</formula>
    </cfRule>
  </conditionalFormatting>
  <conditionalFormatting sqref="J1208">
    <cfRule type="cellIs" operator="equal" dxfId="3500" priority="3500">
      <formula>"R$"</formula>
    </cfRule>
  </conditionalFormatting>
  <conditionalFormatting sqref="K1208">
    <cfRule type="cellIs" operator="equal" dxfId="3501" priority="3501">
      <formula>"Com impostos"</formula>
    </cfRule>
  </conditionalFormatting>
  <conditionalFormatting sqref="V1208">
    <cfRule type="cellIs" operator="equal" dxfId="3502" priority="3502">
      <formula>"Mercado Envios grátis"</formula>
    </cfRule>
  </conditionalFormatting>
  <conditionalFormatting sqref="W1208">
    <cfRule type="cellIs" operator="equal" dxfId="3503" priority="3503">
      <formula>"Premium"</formula>
    </cfRule>
  </conditionalFormatting>
  <conditionalFormatting sqref="J1209">
    <cfRule type="cellIs" operator="equal" dxfId="3504" priority="3504">
      <formula>"R$"</formula>
    </cfRule>
  </conditionalFormatting>
  <conditionalFormatting sqref="K1209">
    <cfRule type="cellIs" operator="equal" dxfId="3505" priority="3505">
      <formula>"Com impostos"</formula>
    </cfRule>
  </conditionalFormatting>
  <conditionalFormatting sqref="V1209">
    <cfRule type="cellIs" operator="equal" dxfId="3506" priority="3506">
      <formula>"Mercado Envios grátis"</formula>
    </cfRule>
  </conditionalFormatting>
  <conditionalFormatting sqref="W1209">
    <cfRule type="cellIs" operator="equal" dxfId="3507" priority="3507">
      <formula>"Clássico"</formula>
    </cfRule>
  </conditionalFormatting>
  <conditionalFormatting sqref="J1210">
    <cfRule type="cellIs" operator="equal" dxfId="3508" priority="3508">
      <formula>"R$"</formula>
    </cfRule>
  </conditionalFormatting>
  <conditionalFormatting sqref="K1210">
    <cfRule type="cellIs" operator="equal" dxfId="3509" priority="3509">
      <formula>"Com impostos"</formula>
    </cfRule>
  </conditionalFormatting>
  <conditionalFormatting sqref="V1210">
    <cfRule type="cellIs" operator="equal" dxfId="3510" priority="3510">
      <formula>"Mercado Envios grátis"</formula>
    </cfRule>
  </conditionalFormatting>
  <conditionalFormatting sqref="W1210">
    <cfRule type="cellIs" operator="equal" dxfId="3511" priority="3511">
      <formula>"Clássico"</formula>
    </cfRule>
  </conditionalFormatting>
  <conditionalFormatting sqref="J1211">
    <cfRule type="cellIs" operator="equal" dxfId="3512" priority="3512">
      <formula>"R$"</formula>
    </cfRule>
  </conditionalFormatting>
  <conditionalFormatting sqref="K1211">
    <cfRule type="cellIs" operator="equal" dxfId="3513" priority="3513">
      <formula>"Com impostos"</formula>
    </cfRule>
  </conditionalFormatting>
  <conditionalFormatting sqref="V1211">
    <cfRule type="cellIs" operator="equal" dxfId="3514" priority="3514">
      <formula>"Mercado Envios grátis"</formula>
    </cfRule>
  </conditionalFormatting>
  <conditionalFormatting sqref="W1211">
    <cfRule type="cellIs" operator="equal" dxfId="3515" priority="3515">
      <formula>"Clássico"</formula>
    </cfRule>
  </conditionalFormatting>
  <conditionalFormatting sqref="J1212">
    <cfRule type="cellIs" operator="equal" dxfId="3516" priority="3516">
      <formula>"R$"</formula>
    </cfRule>
  </conditionalFormatting>
  <conditionalFormatting sqref="K1212">
    <cfRule type="cellIs" operator="equal" dxfId="3517" priority="3517">
      <formula>"Com impostos"</formula>
    </cfRule>
  </conditionalFormatting>
  <conditionalFormatting sqref="V1212">
    <cfRule type="cellIs" operator="equal" dxfId="3518" priority="3518">
      <formula>"Mercado Envios por conta do comprador"</formula>
    </cfRule>
  </conditionalFormatting>
  <conditionalFormatting sqref="W1212">
    <cfRule type="cellIs" operator="equal" dxfId="3519" priority="3519">
      <formula>"Clássico"</formula>
    </cfRule>
  </conditionalFormatting>
  <conditionalFormatting sqref="J1213">
    <cfRule type="cellIs" operator="equal" dxfId="3520" priority="3520">
      <formula>"R$"</formula>
    </cfRule>
  </conditionalFormatting>
  <conditionalFormatting sqref="V1213">
    <cfRule type="cellIs" operator="equal" dxfId="3521" priority="3521">
      <formula>"Mercado Envios grátis"</formula>
    </cfRule>
  </conditionalFormatting>
  <conditionalFormatting sqref="W1213">
    <cfRule type="cellIs" operator="equal" dxfId="3522" priority="3522">
      <formula>"Premium"</formula>
    </cfRule>
  </conditionalFormatting>
  <conditionalFormatting sqref="J1216">
    <cfRule type="cellIs" operator="equal" dxfId="3523" priority="3523">
      <formula>"R$"</formula>
    </cfRule>
  </conditionalFormatting>
  <conditionalFormatting sqref="K1216">
    <cfRule type="cellIs" operator="equal" dxfId="3524" priority="3524">
      <formula>"Com impostos"</formula>
    </cfRule>
  </conditionalFormatting>
  <conditionalFormatting sqref="V1216">
    <cfRule type="cellIs" operator="equal" dxfId="3525" priority="3525">
      <formula>"Mercado Envios grátis"</formula>
    </cfRule>
  </conditionalFormatting>
  <conditionalFormatting sqref="W1216">
    <cfRule type="cellIs" operator="equal" dxfId="3526" priority="3526">
      <formula>"Premium"</formula>
    </cfRule>
  </conditionalFormatting>
  <conditionalFormatting sqref="J1217">
    <cfRule type="cellIs" operator="equal" dxfId="3527" priority="3527">
      <formula>"R$"</formula>
    </cfRule>
  </conditionalFormatting>
  <conditionalFormatting sqref="V1217">
    <cfRule type="cellIs" operator="equal" dxfId="3528" priority="3528">
      <formula>"Mercado Envios grátis"</formula>
    </cfRule>
  </conditionalFormatting>
  <conditionalFormatting sqref="W1217">
    <cfRule type="cellIs" operator="equal" dxfId="3529" priority="3529">
      <formula>"Premium"</formula>
    </cfRule>
  </conditionalFormatting>
  <conditionalFormatting sqref="J1220">
    <cfRule type="cellIs" operator="equal" dxfId="3530" priority="3530">
      <formula>"R$"</formula>
    </cfRule>
  </conditionalFormatting>
  <conditionalFormatting sqref="K1220">
    <cfRule type="cellIs" operator="equal" dxfId="3531" priority="3531">
      <formula>"Com impostos"</formula>
    </cfRule>
  </conditionalFormatting>
  <conditionalFormatting sqref="V1220">
    <cfRule type="cellIs" operator="equal" dxfId="3532" priority="3532">
      <formula>"Mercado Envios por conta do comprador"</formula>
    </cfRule>
  </conditionalFormatting>
  <conditionalFormatting sqref="W1220">
    <cfRule type="cellIs" operator="equal" dxfId="3533" priority="3533">
      <formula>"Clássico"</formula>
    </cfRule>
  </conditionalFormatting>
  <conditionalFormatting sqref="J1221">
    <cfRule type="cellIs" operator="equal" dxfId="3534" priority="3534">
      <formula>"R$"</formula>
    </cfRule>
  </conditionalFormatting>
  <conditionalFormatting sqref="K1221">
    <cfRule type="cellIs" operator="equal" dxfId="3535" priority="3535">
      <formula>"Com impostos"</formula>
    </cfRule>
  </conditionalFormatting>
  <conditionalFormatting sqref="V1221">
    <cfRule type="cellIs" operator="equal" dxfId="3536" priority="3536">
      <formula>"Mercado Envios grátis"</formula>
    </cfRule>
  </conditionalFormatting>
  <conditionalFormatting sqref="W1221">
    <cfRule type="cellIs" operator="equal" dxfId="3537" priority="3537">
      <formula>"Premium"</formula>
    </cfRule>
  </conditionalFormatting>
  <conditionalFormatting sqref="J1222">
    <cfRule type="cellIs" operator="equal" dxfId="3538" priority="3538">
      <formula>"R$"</formula>
    </cfRule>
  </conditionalFormatting>
  <conditionalFormatting sqref="K1222">
    <cfRule type="cellIs" operator="equal" dxfId="3539" priority="3539">
      <formula>"Com impostos"</formula>
    </cfRule>
  </conditionalFormatting>
  <conditionalFormatting sqref="V1222">
    <cfRule type="cellIs" operator="equal" dxfId="3540" priority="3540">
      <formula>"Mercado Envios por conta do comprador"</formula>
    </cfRule>
  </conditionalFormatting>
  <conditionalFormatting sqref="W1222">
    <cfRule type="cellIs" operator="equal" dxfId="3541" priority="3541">
      <formula>"Premium"</formula>
    </cfRule>
  </conditionalFormatting>
  <conditionalFormatting sqref="J1223">
    <cfRule type="cellIs" operator="equal" dxfId="3542" priority="3542">
      <formula>"R$"</formula>
    </cfRule>
  </conditionalFormatting>
  <conditionalFormatting sqref="K1223">
    <cfRule type="cellIs" operator="equal" dxfId="3543" priority="3543">
      <formula>"Com impostos"</formula>
    </cfRule>
  </conditionalFormatting>
  <conditionalFormatting sqref="V1223">
    <cfRule type="cellIs" operator="equal" dxfId="3544" priority="3544">
      <formula>"Mercado Envios por conta do comprador"</formula>
    </cfRule>
  </conditionalFormatting>
  <conditionalFormatting sqref="W1223">
    <cfRule type="cellIs" operator="equal" dxfId="3545" priority="3545">
      <formula>"Clássico"</formula>
    </cfRule>
  </conditionalFormatting>
  <conditionalFormatting sqref="J1224">
    <cfRule type="cellIs" operator="equal" dxfId="3546" priority="3546">
      <formula>"R$"</formula>
    </cfRule>
  </conditionalFormatting>
  <conditionalFormatting sqref="V1224">
    <cfRule type="cellIs" operator="equal" dxfId="3547" priority="3547">
      <formula>"Mercado Envios grátis"</formula>
    </cfRule>
  </conditionalFormatting>
  <conditionalFormatting sqref="W1224">
    <cfRule type="cellIs" operator="equal" dxfId="3548" priority="3548">
      <formula>"Premium"</formula>
    </cfRule>
  </conditionalFormatting>
  <conditionalFormatting sqref="J1227">
    <cfRule type="cellIs" operator="equal" dxfId="3549" priority="3549">
      <formula>"R$"</formula>
    </cfRule>
  </conditionalFormatting>
  <conditionalFormatting sqref="K1227">
    <cfRule type="cellIs" operator="equal" dxfId="3550" priority="3550">
      <formula>"Com impostos"</formula>
    </cfRule>
  </conditionalFormatting>
  <conditionalFormatting sqref="V1227">
    <cfRule type="cellIs" operator="equal" dxfId="3551" priority="3551">
      <formula>"Mercado Envios grátis"</formula>
    </cfRule>
  </conditionalFormatting>
  <conditionalFormatting sqref="W1227">
    <cfRule type="cellIs" operator="equal" dxfId="3552" priority="3552">
      <formula>"Clássico"</formula>
    </cfRule>
  </conditionalFormatting>
  <conditionalFormatting sqref="J1228">
    <cfRule type="cellIs" operator="equal" dxfId="3553" priority="3553">
      <formula>"R$"</formula>
    </cfRule>
  </conditionalFormatting>
  <conditionalFormatting sqref="K1228">
    <cfRule type="cellIs" operator="equal" dxfId="3554" priority="3554">
      <formula>"Com impostos"</formula>
    </cfRule>
  </conditionalFormatting>
  <conditionalFormatting sqref="V1228">
    <cfRule type="cellIs" operator="equal" dxfId="3555" priority="3555">
      <formula>"Mercado Envios por conta do comprador"</formula>
    </cfRule>
  </conditionalFormatting>
  <conditionalFormatting sqref="W1228">
    <cfRule type="cellIs" operator="equal" dxfId="3556" priority="3556">
      <formula>"Clássico"</formula>
    </cfRule>
  </conditionalFormatting>
  <conditionalFormatting sqref="J1229">
    <cfRule type="cellIs" operator="equal" dxfId="3557" priority="3557">
      <formula>"R$"</formula>
    </cfRule>
  </conditionalFormatting>
  <conditionalFormatting sqref="K1229">
    <cfRule type="cellIs" operator="equal" dxfId="3558" priority="3558">
      <formula>"Com impostos"</formula>
    </cfRule>
  </conditionalFormatting>
  <conditionalFormatting sqref="V1229">
    <cfRule type="cellIs" operator="equal" dxfId="3559" priority="3559">
      <formula>"Mercado Envios grátis"</formula>
    </cfRule>
  </conditionalFormatting>
  <conditionalFormatting sqref="W1229">
    <cfRule type="cellIs" operator="equal" dxfId="3560" priority="3560">
      <formula>"Clássico"</formula>
    </cfRule>
  </conditionalFormatting>
  <conditionalFormatting sqref="J1230">
    <cfRule type="cellIs" operator="equal" dxfId="3561" priority="3561">
      <formula>"R$"</formula>
    </cfRule>
  </conditionalFormatting>
  <conditionalFormatting sqref="K1230">
    <cfRule type="cellIs" operator="equal" dxfId="3562" priority="3562">
      <formula>"Com impostos"</formula>
    </cfRule>
  </conditionalFormatting>
  <conditionalFormatting sqref="V1230">
    <cfRule type="cellIs" operator="equal" dxfId="3563" priority="3563">
      <formula>"Mercado Envios grátis"</formula>
    </cfRule>
  </conditionalFormatting>
  <conditionalFormatting sqref="W1230">
    <cfRule type="cellIs" operator="equal" dxfId="3564" priority="3564">
      <formula>"Clássico"</formula>
    </cfRule>
  </conditionalFormatting>
  <conditionalFormatting sqref="J1231">
    <cfRule type="cellIs" operator="equal" dxfId="3565" priority="3565">
      <formula>"R$"</formula>
    </cfRule>
  </conditionalFormatting>
  <conditionalFormatting sqref="K1231">
    <cfRule type="cellIs" operator="equal" dxfId="3566" priority="3566">
      <formula>"Com impostos"</formula>
    </cfRule>
  </conditionalFormatting>
  <conditionalFormatting sqref="V1231">
    <cfRule type="cellIs" operator="equal" dxfId="3567" priority="3567">
      <formula>"Mercado Envios grátis"</formula>
    </cfRule>
  </conditionalFormatting>
  <conditionalFormatting sqref="W1231">
    <cfRule type="cellIs" operator="equal" dxfId="3568" priority="3568">
      <formula>"Premium"</formula>
    </cfRule>
  </conditionalFormatting>
  <conditionalFormatting sqref="J1232">
    <cfRule type="cellIs" operator="equal" dxfId="3569" priority="3569">
      <formula>"R$"</formula>
    </cfRule>
  </conditionalFormatting>
  <conditionalFormatting sqref="K1232">
    <cfRule type="cellIs" operator="equal" dxfId="3570" priority="3570">
      <formula>"Com impostos"</formula>
    </cfRule>
  </conditionalFormatting>
  <conditionalFormatting sqref="V1232">
    <cfRule type="cellIs" operator="equal" dxfId="3571" priority="3571">
      <formula>"Mercado Envios grátis"</formula>
    </cfRule>
  </conditionalFormatting>
  <conditionalFormatting sqref="W1232">
    <cfRule type="cellIs" operator="equal" dxfId="3572" priority="3572">
      <formula>"Premium"</formula>
    </cfRule>
  </conditionalFormatting>
  <conditionalFormatting sqref="J1233">
    <cfRule type="cellIs" operator="equal" dxfId="3573" priority="3573">
      <formula>"R$"</formula>
    </cfRule>
  </conditionalFormatting>
  <conditionalFormatting sqref="K1233">
    <cfRule type="cellIs" operator="equal" dxfId="3574" priority="3574">
      <formula>"Com impostos"</formula>
    </cfRule>
  </conditionalFormatting>
  <conditionalFormatting sqref="V1233">
    <cfRule type="cellIs" operator="equal" dxfId="3575" priority="3575">
      <formula>"Mercado Envios grátis"</formula>
    </cfRule>
  </conditionalFormatting>
  <conditionalFormatting sqref="W1233">
    <cfRule type="cellIs" operator="equal" dxfId="3576" priority="3576">
      <formula>"Clássico"</formula>
    </cfRule>
  </conditionalFormatting>
  <conditionalFormatting sqref="J1234">
    <cfRule type="cellIs" operator="equal" dxfId="3577" priority="3577">
      <formula>"R$"</formula>
    </cfRule>
  </conditionalFormatting>
  <conditionalFormatting sqref="K1234">
    <cfRule type="cellIs" operator="equal" dxfId="3578" priority="3578">
      <formula>"Com impostos"</formula>
    </cfRule>
  </conditionalFormatting>
  <conditionalFormatting sqref="V1234">
    <cfRule type="cellIs" operator="equal" dxfId="3579" priority="3579">
      <formula>"Mercado Envios grátis"</formula>
    </cfRule>
  </conditionalFormatting>
  <conditionalFormatting sqref="W1234">
    <cfRule type="cellIs" operator="equal" dxfId="3580" priority="3580">
      <formula>"Premium"</formula>
    </cfRule>
  </conditionalFormatting>
  <conditionalFormatting sqref="J1235">
    <cfRule type="cellIs" operator="equal" dxfId="3581" priority="3581">
      <formula>"R$"</formula>
    </cfRule>
  </conditionalFormatting>
  <conditionalFormatting sqref="K1235">
    <cfRule type="cellIs" operator="equal" dxfId="3582" priority="3582">
      <formula>"Com impostos"</formula>
    </cfRule>
  </conditionalFormatting>
  <conditionalFormatting sqref="V1235">
    <cfRule type="cellIs" operator="equal" dxfId="3583" priority="3583">
      <formula>"Mercado Envios por conta do comprador"</formula>
    </cfRule>
  </conditionalFormatting>
  <conditionalFormatting sqref="W1235">
    <cfRule type="cellIs" operator="equal" dxfId="3584" priority="3584">
      <formula>"Premium"</formula>
    </cfRule>
  </conditionalFormatting>
  <conditionalFormatting sqref="J1236">
    <cfRule type="cellIs" operator="equal" dxfId="3585" priority="3585">
      <formula>"R$"</formula>
    </cfRule>
  </conditionalFormatting>
  <conditionalFormatting sqref="K1236">
    <cfRule type="cellIs" operator="equal" dxfId="3586" priority="3586">
      <formula>"Com impostos"</formula>
    </cfRule>
  </conditionalFormatting>
  <conditionalFormatting sqref="V1236">
    <cfRule type="cellIs" operator="equal" dxfId="3587" priority="3587">
      <formula>"Mercado Envios grátis"</formula>
    </cfRule>
  </conditionalFormatting>
  <conditionalFormatting sqref="W1236">
    <cfRule type="cellIs" operator="equal" dxfId="3588" priority="3588">
      <formula>"Premium"</formula>
    </cfRule>
  </conditionalFormatting>
  <conditionalFormatting sqref="J1237">
    <cfRule type="cellIs" operator="equal" dxfId="3589" priority="3589">
      <formula>"R$"</formula>
    </cfRule>
  </conditionalFormatting>
  <conditionalFormatting sqref="K1237">
    <cfRule type="cellIs" operator="equal" dxfId="3590" priority="3590">
      <formula>"Com impostos"</formula>
    </cfRule>
  </conditionalFormatting>
  <conditionalFormatting sqref="V1237">
    <cfRule type="cellIs" operator="equal" dxfId="3591" priority="3591">
      <formula>"Mercado Envios grátis"</formula>
    </cfRule>
  </conditionalFormatting>
  <conditionalFormatting sqref="W1237">
    <cfRule type="cellIs" operator="equal" dxfId="3592" priority="3592">
      <formula>"Clássico"</formula>
    </cfRule>
  </conditionalFormatting>
  <conditionalFormatting sqref="J1238">
    <cfRule type="cellIs" operator="equal" dxfId="3593" priority="3593">
      <formula>"R$"</formula>
    </cfRule>
  </conditionalFormatting>
  <conditionalFormatting sqref="K1238">
    <cfRule type="cellIs" operator="equal" dxfId="3594" priority="3594">
      <formula>"Com impostos"</formula>
    </cfRule>
  </conditionalFormatting>
  <conditionalFormatting sqref="V1238">
    <cfRule type="cellIs" operator="equal" dxfId="3595" priority="3595">
      <formula>"Mercado Envios grátis"</formula>
    </cfRule>
  </conditionalFormatting>
  <conditionalFormatting sqref="W1238">
    <cfRule type="cellIs" operator="equal" dxfId="3596" priority="3596">
      <formula>"Premium"</formula>
    </cfRule>
  </conditionalFormatting>
  <conditionalFormatting sqref="J1239">
    <cfRule type="cellIs" operator="equal" dxfId="3597" priority="3597">
      <formula>"R$"</formula>
    </cfRule>
  </conditionalFormatting>
  <conditionalFormatting sqref="K1239">
    <cfRule type="cellIs" operator="equal" dxfId="3598" priority="3598">
      <formula>"Com impostos"</formula>
    </cfRule>
  </conditionalFormatting>
  <conditionalFormatting sqref="V1239">
    <cfRule type="cellIs" operator="equal" dxfId="3599" priority="3599">
      <formula>"Mercado Envios grátis"</formula>
    </cfRule>
  </conditionalFormatting>
  <conditionalFormatting sqref="W1239">
    <cfRule type="cellIs" operator="equal" dxfId="3600" priority="3600">
      <formula>"Clássico"</formula>
    </cfRule>
  </conditionalFormatting>
  <conditionalFormatting sqref="J1240">
    <cfRule type="cellIs" operator="equal" dxfId="3601" priority="3601">
      <formula>"R$"</formula>
    </cfRule>
  </conditionalFormatting>
  <conditionalFormatting sqref="K1240">
    <cfRule type="cellIs" operator="equal" dxfId="3602" priority="3602">
      <formula>"Com impostos"</formula>
    </cfRule>
  </conditionalFormatting>
  <conditionalFormatting sqref="V1240">
    <cfRule type="cellIs" operator="equal" dxfId="3603" priority="3603">
      <formula>"Mercado Envios grátis"</formula>
    </cfRule>
  </conditionalFormatting>
  <conditionalFormatting sqref="W1240">
    <cfRule type="cellIs" operator="equal" dxfId="3604" priority="3604">
      <formula>"Clássico"</formula>
    </cfRule>
  </conditionalFormatting>
  <conditionalFormatting sqref="J1241">
    <cfRule type="cellIs" operator="equal" dxfId="3605" priority="3605">
      <formula>"R$"</formula>
    </cfRule>
  </conditionalFormatting>
  <conditionalFormatting sqref="K1241">
    <cfRule type="cellIs" operator="equal" dxfId="3606" priority="3606">
      <formula>"Com impostos"</formula>
    </cfRule>
  </conditionalFormatting>
  <conditionalFormatting sqref="V1241">
    <cfRule type="cellIs" operator="equal" dxfId="3607" priority="3607">
      <formula>"Mercado Envios grátis"</formula>
    </cfRule>
  </conditionalFormatting>
  <conditionalFormatting sqref="W1241">
    <cfRule type="cellIs" operator="equal" dxfId="3608" priority="3608">
      <formula>"Clássico"</formula>
    </cfRule>
  </conditionalFormatting>
  <conditionalFormatting sqref="J1242">
    <cfRule type="cellIs" operator="equal" dxfId="3609" priority="3609">
      <formula>"R$"</formula>
    </cfRule>
  </conditionalFormatting>
  <conditionalFormatting sqref="K1242">
    <cfRule type="cellIs" operator="equal" dxfId="3610" priority="3610">
      <formula>"Com impostos"</formula>
    </cfRule>
  </conditionalFormatting>
  <conditionalFormatting sqref="V1242">
    <cfRule type="cellIs" operator="equal" dxfId="3611" priority="3611">
      <formula>"Mercado Envios grátis"</formula>
    </cfRule>
  </conditionalFormatting>
  <conditionalFormatting sqref="W1242">
    <cfRule type="cellIs" operator="equal" dxfId="3612" priority="3612">
      <formula>"Premium"</formula>
    </cfRule>
  </conditionalFormatting>
  <conditionalFormatting sqref="J1243">
    <cfRule type="cellIs" operator="equal" dxfId="3613" priority="3613">
      <formula>"R$"</formula>
    </cfRule>
  </conditionalFormatting>
  <conditionalFormatting sqref="K1243">
    <cfRule type="cellIs" operator="equal" dxfId="3614" priority="3614">
      <formula>"Com impostos"</formula>
    </cfRule>
  </conditionalFormatting>
  <conditionalFormatting sqref="V1243">
    <cfRule type="cellIs" operator="equal" dxfId="3615" priority="3615">
      <formula>"Mercado Envios grátis"</formula>
    </cfRule>
  </conditionalFormatting>
  <conditionalFormatting sqref="W1243">
    <cfRule type="cellIs" operator="equal" dxfId="3616" priority="3616">
      <formula>"Clássico"</formula>
    </cfRule>
  </conditionalFormatting>
  <conditionalFormatting sqref="J1244">
    <cfRule type="cellIs" operator="equal" dxfId="3617" priority="3617">
      <formula>"R$"</formula>
    </cfRule>
  </conditionalFormatting>
  <conditionalFormatting sqref="K1244">
    <cfRule type="cellIs" operator="equal" dxfId="3618" priority="3618">
      <formula>"Com impostos"</formula>
    </cfRule>
  </conditionalFormatting>
  <conditionalFormatting sqref="V1244">
    <cfRule type="cellIs" operator="equal" dxfId="3619" priority="3619">
      <formula>"Mercado Envios grátis"</formula>
    </cfRule>
  </conditionalFormatting>
  <conditionalFormatting sqref="W1244">
    <cfRule type="cellIs" operator="equal" dxfId="3620" priority="3620">
      <formula>"Premium"</formula>
    </cfRule>
  </conditionalFormatting>
  <conditionalFormatting sqref="J1245">
    <cfRule type="cellIs" operator="equal" dxfId="3621" priority="3621">
      <formula>"R$"</formula>
    </cfRule>
  </conditionalFormatting>
  <conditionalFormatting sqref="K1245">
    <cfRule type="cellIs" operator="equal" dxfId="3622" priority="3622">
      <formula>"Com impostos"</formula>
    </cfRule>
  </conditionalFormatting>
  <conditionalFormatting sqref="V1245">
    <cfRule type="cellIs" operator="equal" dxfId="3623" priority="3623">
      <formula>"Mercado Envios grátis"</formula>
    </cfRule>
  </conditionalFormatting>
  <conditionalFormatting sqref="W1245">
    <cfRule type="cellIs" operator="equal" dxfId="3624" priority="3624">
      <formula>"Premium"</formula>
    </cfRule>
  </conditionalFormatting>
  <conditionalFormatting sqref="J1246">
    <cfRule type="cellIs" operator="equal" dxfId="3625" priority="3625">
      <formula>"R$"</formula>
    </cfRule>
  </conditionalFormatting>
  <conditionalFormatting sqref="K1246">
    <cfRule type="cellIs" operator="equal" dxfId="3626" priority="3626">
      <formula>"Com impostos"</formula>
    </cfRule>
  </conditionalFormatting>
  <conditionalFormatting sqref="V1246">
    <cfRule type="cellIs" operator="equal" dxfId="3627" priority="3627">
      <formula>"Mercado Envios grátis"</formula>
    </cfRule>
  </conditionalFormatting>
  <conditionalFormatting sqref="W1246">
    <cfRule type="cellIs" operator="equal" dxfId="3628" priority="3628">
      <formula>"Premium"</formula>
    </cfRule>
  </conditionalFormatting>
  <conditionalFormatting sqref="J1247">
    <cfRule type="cellIs" operator="equal" dxfId="3629" priority="3629">
      <formula>"R$"</formula>
    </cfRule>
  </conditionalFormatting>
  <conditionalFormatting sqref="K1247">
    <cfRule type="cellIs" operator="equal" dxfId="3630" priority="3630">
      <formula>"Com impostos"</formula>
    </cfRule>
  </conditionalFormatting>
  <conditionalFormatting sqref="V1247">
    <cfRule type="cellIs" operator="equal" dxfId="3631" priority="3631">
      <formula>"Mercado Envios grátis"</formula>
    </cfRule>
  </conditionalFormatting>
  <conditionalFormatting sqref="W1247">
    <cfRule type="cellIs" operator="equal" dxfId="3632" priority="3632">
      <formula>"Clássico"</formula>
    </cfRule>
  </conditionalFormatting>
  <conditionalFormatting sqref="J1248">
    <cfRule type="cellIs" operator="equal" dxfId="3633" priority="3633">
      <formula>"R$"</formula>
    </cfRule>
  </conditionalFormatting>
  <conditionalFormatting sqref="K1248">
    <cfRule type="cellIs" operator="equal" dxfId="3634" priority="3634">
      <formula>"Com impostos"</formula>
    </cfRule>
  </conditionalFormatting>
  <conditionalFormatting sqref="V1248">
    <cfRule type="cellIs" operator="equal" dxfId="3635" priority="3635">
      <formula>"Mercado Envios grátis"</formula>
    </cfRule>
  </conditionalFormatting>
  <conditionalFormatting sqref="W1248">
    <cfRule type="cellIs" operator="equal" dxfId="3636" priority="3636">
      <formula>"Premium"</formula>
    </cfRule>
  </conditionalFormatting>
  <conditionalFormatting sqref="J1249">
    <cfRule type="cellIs" operator="equal" dxfId="3637" priority="3637">
      <formula>"R$"</formula>
    </cfRule>
  </conditionalFormatting>
  <conditionalFormatting sqref="K1249">
    <cfRule type="cellIs" operator="equal" dxfId="3638" priority="3638">
      <formula>"Com impostos"</formula>
    </cfRule>
  </conditionalFormatting>
  <conditionalFormatting sqref="V1249">
    <cfRule type="cellIs" operator="equal" dxfId="3639" priority="3639">
      <formula>"Mercado Envios grátis"</formula>
    </cfRule>
  </conditionalFormatting>
  <conditionalFormatting sqref="W1249">
    <cfRule type="cellIs" operator="equal" dxfId="3640" priority="3640">
      <formula>"Premium"</formula>
    </cfRule>
  </conditionalFormatting>
  <conditionalFormatting sqref="J1250">
    <cfRule type="cellIs" operator="equal" dxfId="3641" priority="3641">
      <formula>"R$"</formula>
    </cfRule>
  </conditionalFormatting>
  <conditionalFormatting sqref="K1250">
    <cfRule type="cellIs" operator="equal" dxfId="3642" priority="3642">
      <formula>"Com impostos"</formula>
    </cfRule>
  </conditionalFormatting>
  <conditionalFormatting sqref="V1250">
    <cfRule type="cellIs" operator="equal" dxfId="3643" priority="3643">
      <formula>"Mercado Envios grátis"</formula>
    </cfRule>
  </conditionalFormatting>
  <conditionalFormatting sqref="W1250">
    <cfRule type="cellIs" operator="equal" dxfId="3644" priority="3644">
      <formula>"Premium"</formula>
    </cfRule>
  </conditionalFormatting>
  <conditionalFormatting sqref="J1251">
    <cfRule type="cellIs" operator="equal" dxfId="3645" priority="3645">
      <formula>"R$"</formula>
    </cfRule>
  </conditionalFormatting>
  <conditionalFormatting sqref="K1251">
    <cfRule type="cellIs" operator="equal" dxfId="3646" priority="3646">
      <formula>"Com impostos"</formula>
    </cfRule>
  </conditionalFormatting>
  <conditionalFormatting sqref="V1251">
    <cfRule type="cellIs" operator="equal" dxfId="3647" priority="3647">
      <formula>"Mercado Envios grátis"</formula>
    </cfRule>
  </conditionalFormatting>
  <conditionalFormatting sqref="W1251">
    <cfRule type="cellIs" operator="equal" dxfId="3648" priority="3648">
      <formula>"Clássico"</formula>
    </cfRule>
  </conditionalFormatting>
  <conditionalFormatting sqref="J1252">
    <cfRule type="cellIs" operator="equal" dxfId="3649" priority="3649">
      <formula>"R$"</formula>
    </cfRule>
  </conditionalFormatting>
  <conditionalFormatting sqref="K1252">
    <cfRule type="cellIs" operator="equal" dxfId="3650" priority="3650">
      <formula>"Com impostos"</formula>
    </cfRule>
  </conditionalFormatting>
  <conditionalFormatting sqref="V1252">
    <cfRule type="cellIs" operator="equal" dxfId="3651" priority="3651">
      <formula>"Mercado Envios grátis"</formula>
    </cfRule>
  </conditionalFormatting>
  <conditionalFormatting sqref="W1252">
    <cfRule type="cellIs" operator="equal" dxfId="3652" priority="3652">
      <formula>"Clássico"</formula>
    </cfRule>
  </conditionalFormatting>
  <conditionalFormatting sqref="J1253">
    <cfRule type="cellIs" operator="equal" dxfId="3653" priority="3653">
      <formula>"R$"</formula>
    </cfRule>
  </conditionalFormatting>
  <conditionalFormatting sqref="K1253">
    <cfRule type="cellIs" operator="equal" dxfId="3654" priority="3654">
      <formula>"Com impostos"</formula>
    </cfRule>
  </conditionalFormatting>
  <conditionalFormatting sqref="V1253">
    <cfRule type="cellIs" operator="equal" dxfId="3655" priority="3655">
      <formula>"Mercado Envios grátis"</formula>
    </cfRule>
  </conditionalFormatting>
  <conditionalFormatting sqref="W1253">
    <cfRule type="cellIs" operator="equal" dxfId="3656" priority="3656">
      <formula>"Clássico"</formula>
    </cfRule>
  </conditionalFormatting>
  <conditionalFormatting sqref="J1254">
    <cfRule type="cellIs" operator="equal" dxfId="3657" priority="3657">
      <formula>"R$"</formula>
    </cfRule>
  </conditionalFormatting>
  <conditionalFormatting sqref="K1254">
    <cfRule type="cellIs" operator="equal" dxfId="3658" priority="3658">
      <formula>"Com impostos"</formula>
    </cfRule>
  </conditionalFormatting>
  <conditionalFormatting sqref="V1254">
    <cfRule type="cellIs" operator="equal" dxfId="3659" priority="3659">
      <formula>"Mercado Envios grátis"</formula>
    </cfRule>
  </conditionalFormatting>
  <conditionalFormatting sqref="W1254">
    <cfRule type="cellIs" operator="equal" dxfId="3660" priority="3660">
      <formula>"Premium"</formula>
    </cfRule>
  </conditionalFormatting>
  <conditionalFormatting sqref="J1255">
    <cfRule type="cellIs" operator="equal" dxfId="3661" priority="3661">
      <formula>"R$"</formula>
    </cfRule>
  </conditionalFormatting>
  <conditionalFormatting sqref="K1255">
    <cfRule type="cellIs" operator="equal" dxfId="3662" priority="3662">
      <formula>"Com impostos"</formula>
    </cfRule>
  </conditionalFormatting>
  <conditionalFormatting sqref="V1255">
    <cfRule type="cellIs" operator="equal" dxfId="3663" priority="3663">
      <formula>"Mercado Envios grátis"</formula>
    </cfRule>
  </conditionalFormatting>
  <conditionalFormatting sqref="W1255">
    <cfRule type="cellIs" operator="equal" dxfId="3664" priority="3664">
      <formula>"Clássico"</formula>
    </cfRule>
  </conditionalFormatting>
  <conditionalFormatting sqref="J1256">
    <cfRule type="cellIs" operator="equal" dxfId="3665" priority="3665">
      <formula>"R$"</formula>
    </cfRule>
  </conditionalFormatting>
  <conditionalFormatting sqref="K1256">
    <cfRule type="cellIs" operator="equal" dxfId="3666" priority="3666">
      <formula>"Com impostos"</formula>
    </cfRule>
  </conditionalFormatting>
  <conditionalFormatting sqref="V1256">
    <cfRule type="cellIs" operator="equal" dxfId="3667" priority="3667">
      <formula>"Mercado Envios por conta do comprador"</formula>
    </cfRule>
  </conditionalFormatting>
  <conditionalFormatting sqref="W1256">
    <cfRule type="cellIs" operator="equal" dxfId="3668" priority="3668">
      <formula>"Premium"</formula>
    </cfRule>
  </conditionalFormatting>
  <conditionalFormatting sqref="J1257">
    <cfRule type="cellIs" operator="equal" dxfId="3669" priority="3669">
      <formula>"R$"</formula>
    </cfRule>
  </conditionalFormatting>
  <conditionalFormatting sqref="K1257">
    <cfRule type="cellIs" operator="equal" dxfId="3670" priority="3670">
      <formula>"Com impostos"</formula>
    </cfRule>
  </conditionalFormatting>
  <conditionalFormatting sqref="V1257">
    <cfRule type="cellIs" operator="equal" dxfId="3671" priority="3671">
      <formula>"Mercado Envios grátis"</formula>
    </cfRule>
  </conditionalFormatting>
  <conditionalFormatting sqref="W1257">
    <cfRule type="cellIs" operator="equal" dxfId="3672" priority="3672">
      <formula>"Premium"</formula>
    </cfRule>
  </conditionalFormatting>
  <conditionalFormatting sqref="J1258">
    <cfRule type="cellIs" operator="equal" dxfId="3673" priority="3673">
      <formula>"R$"</formula>
    </cfRule>
  </conditionalFormatting>
  <conditionalFormatting sqref="K1258">
    <cfRule type="cellIs" operator="equal" dxfId="3674" priority="3674">
      <formula>"Com impostos"</formula>
    </cfRule>
  </conditionalFormatting>
  <conditionalFormatting sqref="V1258">
    <cfRule type="cellIs" operator="equal" dxfId="3675" priority="3675">
      <formula>"Mercado Envios por conta do comprador"</formula>
    </cfRule>
  </conditionalFormatting>
  <conditionalFormatting sqref="W1258">
    <cfRule type="cellIs" operator="equal" dxfId="3676" priority="3676">
      <formula>"Clássico"</formula>
    </cfRule>
  </conditionalFormatting>
  <conditionalFormatting sqref="J1259">
    <cfRule type="cellIs" operator="equal" dxfId="3677" priority="3677">
      <formula>"R$"</formula>
    </cfRule>
  </conditionalFormatting>
  <conditionalFormatting sqref="K1259">
    <cfRule type="cellIs" operator="equal" dxfId="3678" priority="3678">
      <formula>"Com impostos"</formula>
    </cfRule>
  </conditionalFormatting>
  <conditionalFormatting sqref="V1259">
    <cfRule type="cellIs" operator="equal" dxfId="3679" priority="3679">
      <formula>"Mercado Envios por conta do comprador"</formula>
    </cfRule>
  </conditionalFormatting>
  <conditionalFormatting sqref="W1259">
    <cfRule type="cellIs" operator="equal" dxfId="3680" priority="3680">
      <formula>"Premium"</formula>
    </cfRule>
  </conditionalFormatting>
  <conditionalFormatting sqref="J1260">
    <cfRule type="cellIs" operator="equal" dxfId="3681" priority="3681">
      <formula>"R$"</formula>
    </cfRule>
  </conditionalFormatting>
  <conditionalFormatting sqref="K1260">
    <cfRule type="cellIs" operator="equal" dxfId="3682" priority="3682">
      <formula>"Com impostos"</formula>
    </cfRule>
  </conditionalFormatting>
  <conditionalFormatting sqref="V1260">
    <cfRule type="cellIs" operator="equal" dxfId="3683" priority="3683">
      <formula>"Mercado Envios grátis"</formula>
    </cfRule>
  </conditionalFormatting>
  <conditionalFormatting sqref="W1260">
    <cfRule type="cellIs" operator="equal" dxfId="3684" priority="3684">
      <formula>"Premium"</formula>
    </cfRule>
  </conditionalFormatting>
  <conditionalFormatting sqref="J1261">
    <cfRule type="cellIs" operator="equal" dxfId="3685" priority="3685">
      <formula>"R$"</formula>
    </cfRule>
  </conditionalFormatting>
  <conditionalFormatting sqref="K1261">
    <cfRule type="cellIs" operator="equal" dxfId="3686" priority="3686">
      <formula>"Com impostos"</formula>
    </cfRule>
  </conditionalFormatting>
  <conditionalFormatting sqref="V1261">
    <cfRule type="cellIs" operator="equal" dxfId="3687" priority="3687">
      <formula>"Mercado Envios grátis"</formula>
    </cfRule>
  </conditionalFormatting>
  <conditionalFormatting sqref="W1261">
    <cfRule type="cellIs" operator="equal" dxfId="3688" priority="3688">
      <formula>"Premium"</formula>
    </cfRule>
  </conditionalFormatting>
  <conditionalFormatting sqref="J1262">
    <cfRule type="cellIs" operator="equal" dxfId="3689" priority="3689">
      <formula>"R$"</formula>
    </cfRule>
  </conditionalFormatting>
  <conditionalFormatting sqref="K1262">
    <cfRule type="cellIs" operator="equal" dxfId="3690" priority="3690">
      <formula>"Com impostos"</formula>
    </cfRule>
  </conditionalFormatting>
  <conditionalFormatting sqref="V1262">
    <cfRule type="cellIs" operator="equal" dxfId="3691" priority="3691">
      <formula>"Mercado Envios grátis"</formula>
    </cfRule>
  </conditionalFormatting>
  <conditionalFormatting sqref="W1262">
    <cfRule type="cellIs" operator="equal" dxfId="3692" priority="3692">
      <formula>"Premium"</formula>
    </cfRule>
  </conditionalFormatting>
  <conditionalFormatting sqref="J1263">
    <cfRule type="cellIs" operator="equal" dxfId="3693" priority="3693">
      <formula>"R$"</formula>
    </cfRule>
  </conditionalFormatting>
  <conditionalFormatting sqref="K1263">
    <cfRule type="cellIs" operator="equal" dxfId="3694" priority="3694">
      <formula>"Com impostos"</formula>
    </cfRule>
  </conditionalFormatting>
  <conditionalFormatting sqref="V1263">
    <cfRule type="cellIs" operator="equal" dxfId="3695" priority="3695">
      <formula>"Mercado Envios grátis"</formula>
    </cfRule>
  </conditionalFormatting>
  <conditionalFormatting sqref="W1263">
    <cfRule type="cellIs" operator="equal" dxfId="3696" priority="3696">
      <formula>"Premium"</formula>
    </cfRule>
  </conditionalFormatting>
  <conditionalFormatting sqref="J1264">
    <cfRule type="cellIs" operator="equal" dxfId="3697" priority="3697">
      <formula>"R$"</formula>
    </cfRule>
  </conditionalFormatting>
  <conditionalFormatting sqref="K1264">
    <cfRule type="cellIs" operator="equal" dxfId="3698" priority="3698">
      <formula>"Com impostos"</formula>
    </cfRule>
  </conditionalFormatting>
  <conditionalFormatting sqref="V1264">
    <cfRule type="cellIs" operator="equal" dxfId="3699" priority="3699">
      <formula>"Mercado Envios grátis"</formula>
    </cfRule>
  </conditionalFormatting>
  <conditionalFormatting sqref="W1264">
    <cfRule type="cellIs" operator="equal" dxfId="3700" priority="3700">
      <formula>"Premium"</formula>
    </cfRule>
  </conditionalFormatting>
  <conditionalFormatting sqref="J1265">
    <cfRule type="cellIs" operator="equal" dxfId="3701" priority="3701">
      <formula>"R$"</formula>
    </cfRule>
  </conditionalFormatting>
  <conditionalFormatting sqref="K1265">
    <cfRule type="cellIs" operator="equal" dxfId="3702" priority="3702">
      <formula>"Com impostos"</formula>
    </cfRule>
  </conditionalFormatting>
  <conditionalFormatting sqref="V1265">
    <cfRule type="cellIs" operator="equal" dxfId="3703" priority="3703">
      <formula>"Mercado Envios grátis"</formula>
    </cfRule>
  </conditionalFormatting>
  <conditionalFormatting sqref="W1265">
    <cfRule type="cellIs" operator="equal" dxfId="3704" priority="3704">
      <formula>"Premium"</formula>
    </cfRule>
  </conditionalFormatting>
  <conditionalFormatting sqref="J1266">
    <cfRule type="cellIs" operator="equal" dxfId="3705" priority="3705">
      <formula>"R$"</formula>
    </cfRule>
  </conditionalFormatting>
  <conditionalFormatting sqref="K1266">
    <cfRule type="cellIs" operator="equal" dxfId="3706" priority="3706">
      <formula>"Com impostos"</formula>
    </cfRule>
  </conditionalFormatting>
  <conditionalFormatting sqref="V1266">
    <cfRule type="cellIs" operator="equal" dxfId="3707" priority="3707">
      <formula>"Mercado Envios grátis"</formula>
    </cfRule>
  </conditionalFormatting>
  <conditionalFormatting sqref="W1266">
    <cfRule type="cellIs" operator="equal" dxfId="3708" priority="3708">
      <formula>"Premium"</formula>
    </cfRule>
  </conditionalFormatting>
  <conditionalFormatting sqref="J1267">
    <cfRule type="cellIs" operator="equal" dxfId="3709" priority="3709">
      <formula>"R$"</formula>
    </cfRule>
  </conditionalFormatting>
  <conditionalFormatting sqref="K1267">
    <cfRule type="cellIs" operator="equal" dxfId="3710" priority="3710">
      <formula>"Com impostos"</formula>
    </cfRule>
  </conditionalFormatting>
  <conditionalFormatting sqref="V1267">
    <cfRule type="cellIs" operator="equal" dxfId="3711" priority="3711">
      <formula>"Mercado Envios grátis"</formula>
    </cfRule>
  </conditionalFormatting>
  <conditionalFormatting sqref="W1267">
    <cfRule type="cellIs" operator="equal" dxfId="3712" priority="3712">
      <formula>"Clássico"</formula>
    </cfRule>
  </conditionalFormatting>
  <conditionalFormatting sqref="J1268">
    <cfRule type="cellIs" operator="equal" dxfId="3713" priority="3713">
      <formula>"R$"</formula>
    </cfRule>
  </conditionalFormatting>
  <conditionalFormatting sqref="K1268">
    <cfRule type="cellIs" operator="equal" dxfId="3714" priority="3714">
      <formula>"Com impostos"</formula>
    </cfRule>
  </conditionalFormatting>
  <conditionalFormatting sqref="V1268">
    <cfRule type="cellIs" operator="equal" dxfId="3715" priority="3715">
      <formula>"Mercado Envios grátis"</formula>
    </cfRule>
  </conditionalFormatting>
  <conditionalFormatting sqref="W1268">
    <cfRule type="cellIs" operator="equal" dxfId="3716" priority="3716">
      <formula>"Clássico"</formula>
    </cfRule>
  </conditionalFormatting>
  <conditionalFormatting sqref="J1269">
    <cfRule type="cellIs" operator="equal" dxfId="3717" priority="3717">
      <formula>"R$"</formula>
    </cfRule>
  </conditionalFormatting>
  <conditionalFormatting sqref="K1269">
    <cfRule type="cellIs" operator="equal" dxfId="3718" priority="3718">
      <formula>"Com impostos"</formula>
    </cfRule>
  </conditionalFormatting>
  <conditionalFormatting sqref="V1269">
    <cfRule type="cellIs" operator="equal" dxfId="3719" priority="3719">
      <formula>"Mercado Envios grátis"</formula>
    </cfRule>
  </conditionalFormatting>
  <conditionalFormatting sqref="W1269">
    <cfRule type="cellIs" operator="equal" dxfId="3720" priority="3720">
      <formula>"Premium"</formula>
    </cfRule>
  </conditionalFormatting>
  <conditionalFormatting sqref="J1270">
    <cfRule type="cellIs" operator="equal" dxfId="3721" priority="3721">
      <formula>"R$"</formula>
    </cfRule>
  </conditionalFormatting>
  <conditionalFormatting sqref="K1270">
    <cfRule type="cellIs" operator="equal" dxfId="3722" priority="3722">
      <formula>"Com impostos"</formula>
    </cfRule>
  </conditionalFormatting>
  <conditionalFormatting sqref="V1270">
    <cfRule type="cellIs" operator="equal" dxfId="3723" priority="3723">
      <formula>"Mercado Envios grátis"</formula>
    </cfRule>
  </conditionalFormatting>
  <conditionalFormatting sqref="W1270">
    <cfRule type="cellIs" operator="equal" dxfId="3724" priority="3724">
      <formula>"Premium"</formula>
    </cfRule>
  </conditionalFormatting>
  <conditionalFormatting sqref="J1271">
    <cfRule type="cellIs" operator="equal" dxfId="3725" priority="3725">
      <formula>"R$"</formula>
    </cfRule>
  </conditionalFormatting>
  <conditionalFormatting sqref="K1271">
    <cfRule type="cellIs" operator="equal" dxfId="3726" priority="3726">
      <formula>"Com impostos"</formula>
    </cfRule>
  </conditionalFormatting>
  <conditionalFormatting sqref="V1271">
    <cfRule type="cellIs" operator="equal" dxfId="3727" priority="3727">
      <formula>"Mercado Envios grátis"</formula>
    </cfRule>
  </conditionalFormatting>
  <conditionalFormatting sqref="W1271">
    <cfRule type="cellIs" operator="equal" dxfId="3728" priority="3728">
      <formula>"Premium"</formula>
    </cfRule>
  </conditionalFormatting>
  <conditionalFormatting sqref="J1272">
    <cfRule type="cellIs" operator="equal" dxfId="3729" priority="3729">
      <formula>"R$"</formula>
    </cfRule>
  </conditionalFormatting>
  <conditionalFormatting sqref="K1272">
    <cfRule type="cellIs" operator="equal" dxfId="3730" priority="3730">
      <formula>"Com impostos"</formula>
    </cfRule>
  </conditionalFormatting>
  <conditionalFormatting sqref="V1272">
    <cfRule type="cellIs" operator="equal" dxfId="3731" priority="3731">
      <formula>"Mercado Envios grátis"</formula>
    </cfRule>
  </conditionalFormatting>
  <conditionalFormatting sqref="W1272">
    <cfRule type="cellIs" operator="equal" dxfId="3732" priority="3732">
      <formula>"Premium"</formula>
    </cfRule>
  </conditionalFormatting>
  <conditionalFormatting sqref="J1273">
    <cfRule type="cellIs" operator="equal" dxfId="3733" priority="3733">
      <formula>"R$"</formula>
    </cfRule>
  </conditionalFormatting>
  <conditionalFormatting sqref="V1273">
    <cfRule type="cellIs" operator="equal" dxfId="3734" priority="3734">
      <formula>"Mercado Envios grátis"</formula>
    </cfRule>
  </conditionalFormatting>
  <conditionalFormatting sqref="W1273">
    <cfRule type="cellIs" operator="equal" dxfId="3735" priority="3735">
      <formula>"Clássico"</formula>
    </cfRule>
  </conditionalFormatting>
  <conditionalFormatting sqref="J1276">
    <cfRule type="cellIs" operator="equal" dxfId="3736" priority="3736">
      <formula>"R$"</formula>
    </cfRule>
  </conditionalFormatting>
  <conditionalFormatting sqref="K1276">
    <cfRule type="cellIs" operator="equal" dxfId="3737" priority="3737">
      <formula>"Com impostos"</formula>
    </cfRule>
  </conditionalFormatting>
  <conditionalFormatting sqref="V1276">
    <cfRule type="cellIs" operator="equal" dxfId="3738" priority="3738">
      <formula>"Mercado Envios por conta do comprador"</formula>
    </cfRule>
  </conditionalFormatting>
  <conditionalFormatting sqref="W1276">
    <cfRule type="cellIs" operator="equal" dxfId="3739" priority="3739">
      <formula>"Clássico"</formula>
    </cfRule>
  </conditionalFormatting>
  <conditionalFormatting sqref="J1277">
    <cfRule type="cellIs" operator="equal" dxfId="3740" priority="3740">
      <formula>"R$"</formula>
    </cfRule>
  </conditionalFormatting>
  <conditionalFormatting sqref="K1277">
    <cfRule type="cellIs" operator="equal" dxfId="3741" priority="3741">
      <formula>"Com impostos"</formula>
    </cfRule>
  </conditionalFormatting>
  <conditionalFormatting sqref="V1277">
    <cfRule type="cellIs" operator="equal" dxfId="3742" priority="3742">
      <formula>"Mercado Envios grátis"</formula>
    </cfRule>
  </conditionalFormatting>
  <conditionalFormatting sqref="W1277">
    <cfRule type="cellIs" operator="equal" dxfId="3743" priority="3743">
      <formula>"Premium"</formula>
    </cfRule>
  </conditionalFormatting>
  <conditionalFormatting sqref="J1278">
    <cfRule type="cellIs" operator="equal" dxfId="3744" priority="3744">
      <formula>"R$"</formula>
    </cfRule>
  </conditionalFormatting>
  <conditionalFormatting sqref="K1278">
    <cfRule type="cellIs" operator="equal" dxfId="3745" priority="3745">
      <formula>"Com impostos"</formula>
    </cfRule>
  </conditionalFormatting>
  <conditionalFormatting sqref="V1278">
    <cfRule type="cellIs" operator="equal" dxfId="3746" priority="3746">
      <formula>"Mercado Envios grátis"</formula>
    </cfRule>
  </conditionalFormatting>
  <conditionalFormatting sqref="W1278">
    <cfRule type="cellIs" operator="equal" dxfId="3747" priority="3747">
      <formula>"Clássico"</formula>
    </cfRule>
  </conditionalFormatting>
  <conditionalFormatting sqref="J1279">
    <cfRule type="cellIs" operator="equal" dxfId="3748" priority="3748">
      <formula>"R$"</formula>
    </cfRule>
  </conditionalFormatting>
  <conditionalFormatting sqref="K1279">
    <cfRule type="cellIs" operator="equal" dxfId="3749" priority="3749">
      <formula>"Com impostos"</formula>
    </cfRule>
  </conditionalFormatting>
  <conditionalFormatting sqref="V1279">
    <cfRule type="cellIs" operator="equal" dxfId="3750" priority="3750">
      <formula>"Mercado Envios grátis"</formula>
    </cfRule>
  </conditionalFormatting>
  <conditionalFormatting sqref="W1279">
    <cfRule type="cellIs" operator="equal" dxfId="3751" priority="3751">
      <formula>"Clássico"</formula>
    </cfRule>
  </conditionalFormatting>
  <conditionalFormatting sqref="J1280">
    <cfRule type="cellIs" operator="equal" dxfId="3752" priority="3752">
      <formula>"R$"</formula>
    </cfRule>
  </conditionalFormatting>
  <conditionalFormatting sqref="K1280">
    <cfRule type="cellIs" operator="equal" dxfId="3753" priority="3753">
      <formula>"Com impostos"</formula>
    </cfRule>
  </conditionalFormatting>
  <conditionalFormatting sqref="V1280">
    <cfRule type="cellIs" operator="equal" dxfId="3754" priority="3754">
      <formula>"Mercado Envios grátis"</formula>
    </cfRule>
  </conditionalFormatting>
  <conditionalFormatting sqref="W1280">
    <cfRule type="cellIs" operator="equal" dxfId="3755" priority="3755">
      <formula>"Clássico"</formula>
    </cfRule>
  </conditionalFormatting>
  <conditionalFormatting sqref="J1281">
    <cfRule type="cellIs" operator="equal" dxfId="3756" priority="3756">
      <formula>"R$"</formula>
    </cfRule>
  </conditionalFormatting>
  <conditionalFormatting sqref="K1281">
    <cfRule type="cellIs" operator="equal" dxfId="3757" priority="3757">
      <formula>"Com impostos"</formula>
    </cfRule>
  </conditionalFormatting>
  <conditionalFormatting sqref="V1281">
    <cfRule type="cellIs" operator="equal" dxfId="3758" priority="3758">
      <formula>"Mercado Envios por conta do comprador"</formula>
    </cfRule>
  </conditionalFormatting>
  <conditionalFormatting sqref="W1281">
    <cfRule type="cellIs" operator="equal" dxfId="3759" priority="3759">
      <formula>"Premium"</formula>
    </cfRule>
  </conditionalFormatting>
  <conditionalFormatting sqref="J1282">
    <cfRule type="cellIs" operator="equal" dxfId="3760" priority="3760">
      <formula>"R$"</formula>
    </cfRule>
  </conditionalFormatting>
  <conditionalFormatting sqref="K1282">
    <cfRule type="cellIs" operator="equal" dxfId="3761" priority="3761">
      <formula>"Com impostos"</formula>
    </cfRule>
  </conditionalFormatting>
  <conditionalFormatting sqref="V1282">
    <cfRule type="cellIs" operator="equal" dxfId="3762" priority="3762">
      <formula>"Mercado Envios grátis"</formula>
    </cfRule>
  </conditionalFormatting>
  <conditionalFormatting sqref="W1282">
    <cfRule type="cellIs" operator="equal" dxfId="3763" priority="3763">
      <formula>"Clássico"</formula>
    </cfRule>
  </conditionalFormatting>
  <conditionalFormatting sqref="J1283">
    <cfRule type="cellIs" operator="equal" dxfId="3764" priority="3764">
      <formula>"R$"</formula>
    </cfRule>
  </conditionalFormatting>
  <conditionalFormatting sqref="K1283">
    <cfRule type="cellIs" operator="equal" dxfId="3765" priority="3765">
      <formula>"Com impostos"</formula>
    </cfRule>
  </conditionalFormatting>
  <conditionalFormatting sqref="V1283">
    <cfRule type="cellIs" operator="equal" dxfId="3766" priority="3766">
      <formula>"Mercado Envios grátis"</formula>
    </cfRule>
  </conditionalFormatting>
  <conditionalFormatting sqref="W1283">
    <cfRule type="cellIs" operator="equal" dxfId="3767" priority="3767">
      <formula>"Clássico"</formula>
    </cfRule>
  </conditionalFormatting>
  <conditionalFormatting sqref="J1284">
    <cfRule type="cellIs" operator="equal" dxfId="3768" priority="3768">
      <formula>"R$"</formula>
    </cfRule>
  </conditionalFormatting>
  <conditionalFormatting sqref="K1284">
    <cfRule type="cellIs" operator="equal" dxfId="3769" priority="3769">
      <formula>"Com impostos"</formula>
    </cfRule>
  </conditionalFormatting>
  <conditionalFormatting sqref="V1284">
    <cfRule type="cellIs" operator="equal" dxfId="3770" priority="3770">
      <formula>"Mercado Envios grátis"</formula>
    </cfRule>
  </conditionalFormatting>
  <conditionalFormatting sqref="W1284">
    <cfRule type="cellIs" operator="equal" dxfId="3771" priority="3771">
      <formula>"Clássico"</formula>
    </cfRule>
  </conditionalFormatting>
  <conditionalFormatting sqref="J1285">
    <cfRule type="cellIs" operator="equal" dxfId="3772" priority="3772">
      <formula>"R$"</formula>
    </cfRule>
  </conditionalFormatting>
  <conditionalFormatting sqref="K1285">
    <cfRule type="cellIs" operator="equal" dxfId="3773" priority="3773">
      <formula>"Com impostos"</formula>
    </cfRule>
  </conditionalFormatting>
  <conditionalFormatting sqref="V1285">
    <cfRule type="cellIs" operator="equal" dxfId="3774" priority="3774">
      <formula>"Mercado Envios grátis"</formula>
    </cfRule>
  </conditionalFormatting>
  <conditionalFormatting sqref="W1285">
    <cfRule type="cellIs" operator="equal" dxfId="3775" priority="3775">
      <formula>"Premium"</formula>
    </cfRule>
  </conditionalFormatting>
  <conditionalFormatting sqref="J1286">
    <cfRule type="cellIs" operator="equal" dxfId="3776" priority="3776">
      <formula>"R$"</formula>
    </cfRule>
  </conditionalFormatting>
  <conditionalFormatting sqref="K1286">
    <cfRule type="cellIs" operator="equal" dxfId="3777" priority="3777">
      <formula>"Com impostos"</formula>
    </cfRule>
  </conditionalFormatting>
  <conditionalFormatting sqref="V1286">
    <cfRule type="cellIs" operator="equal" dxfId="3778" priority="3778">
      <formula>"Mercado Envios grátis"</formula>
    </cfRule>
  </conditionalFormatting>
  <conditionalFormatting sqref="W1286">
    <cfRule type="cellIs" operator="equal" dxfId="3779" priority="3779">
      <formula>"Clássico"</formula>
    </cfRule>
  </conditionalFormatting>
  <conditionalFormatting sqref="J1287">
    <cfRule type="cellIs" operator="equal" dxfId="3780" priority="3780">
      <formula>"R$"</formula>
    </cfRule>
  </conditionalFormatting>
  <conditionalFormatting sqref="K1287">
    <cfRule type="cellIs" operator="equal" dxfId="3781" priority="3781">
      <formula>"Com impostos"</formula>
    </cfRule>
  </conditionalFormatting>
  <conditionalFormatting sqref="V1287">
    <cfRule type="cellIs" operator="equal" dxfId="3782" priority="3782">
      <formula>"Mercado Envios grátis"</formula>
    </cfRule>
  </conditionalFormatting>
  <conditionalFormatting sqref="W1287">
    <cfRule type="cellIs" operator="equal" dxfId="3783" priority="3783">
      <formula>"Premium"</formula>
    </cfRule>
  </conditionalFormatting>
  <conditionalFormatting sqref="J1288">
    <cfRule type="cellIs" operator="equal" dxfId="3784" priority="3784">
      <formula>"R$"</formula>
    </cfRule>
  </conditionalFormatting>
  <conditionalFormatting sqref="K1288">
    <cfRule type="cellIs" operator="equal" dxfId="3785" priority="3785">
      <formula>"Com impostos"</formula>
    </cfRule>
  </conditionalFormatting>
  <conditionalFormatting sqref="V1288">
    <cfRule type="cellIs" operator="equal" dxfId="3786" priority="3786">
      <formula>"Mercado Envios grátis"</formula>
    </cfRule>
  </conditionalFormatting>
  <conditionalFormatting sqref="W1288">
    <cfRule type="cellIs" operator="equal" dxfId="3787" priority="3787">
      <formula>"Premium"</formula>
    </cfRule>
  </conditionalFormatting>
  <conditionalFormatting sqref="J1289">
    <cfRule type="cellIs" operator="equal" dxfId="3788" priority="3788">
      <formula>"R$"</formula>
    </cfRule>
  </conditionalFormatting>
  <conditionalFormatting sqref="K1289">
    <cfRule type="cellIs" operator="equal" dxfId="3789" priority="3789">
      <formula>"Com impostos"</formula>
    </cfRule>
  </conditionalFormatting>
  <conditionalFormatting sqref="V1289">
    <cfRule type="cellIs" operator="equal" dxfId="3790" priority="3790">
      <formula>"Mercado Envios por conta do comprador"</formula>
    </cfRule>
  </conditionalFormatting>
  <conditionalFormatting sqref="W1289">
    <cfRule type="cellIs" operator="equal" dxfId="3791" priority="3791">
      <formula>"Premium"</formula>
    </cfRule>
  </conditionalFormatting>
  <conditionalFormatting sqref="J1290">
    <cfRule type="cellIs" operator="equal" dxfId="3792" priority="3792">
      <formula>"R$"</formula>
    </cfRule>
  </conditionalFormatting>
  <conditionalFormatting sqref="K1290">
    <cfRule type="cellIs" operator="equal" dxfId="3793" priority="3793">
      <formula>"Com impostos"</formula>
    </cfRule>
  </conditionalFormatting>
  <conditionalFormatting sqref="V1290">
    <cfRule type="cellIs" operator="equal" dxfId="3794" priority="3794">
      <formula>"Mercado Envios grátis"</formula>
    </cfRule>
  </conditionalFormatting>
  <conditionalFormatting sqref="W1290">
    <cfRule type="cellIs" operator="equal" dxfId="3795" priority="3795">
      <formula>"Premium"</formula>
    </cfRule>
  </conditionalFormatting>
  <conditionalFormatting sqref="J1291">
    <cfRule type="cellIs" operator="equal" dxfId="3796" priority="3796">
      <formula>"R$"</formula>
    </cfRule>
  </conditionalFormatting>
  <conditionalFormatting sqref="K1291">
    <cfRule type="cellIs" operator="equal" dxfId="3797" priority="3797">
      <formula>"Com impostos"</formula>
    </cfRule>
  </conditionalFormatting>
  <conditionalFormatting sqref="V1291">
    <cfRule type="cellIs" operator="equal" dxfId="3798" priority="3798">
      <formula>"Mercado Envios grátis"</formula>
    </cfRule>
  </conditionalFormatting>
  <conditionalFormatting sqref="W1291">
    <cfRule type="cellIs" operator="equal" dxfId="3799" priority="3799">
      <formula>"Premium"</formula>
    </cfRule>
  </conditionalFormatting>
  <conditionalFormatting sqref="J1292">
    <cfRule type="cellIs" operator="equal" dxfId="3800" priority="3800">
      <formula>"R$"</formula>
    </cfRule>
  </conditionalFormatting>
  <conditionalFormatting sqref="K1292">
    <cfRule type="cellIs" operator="equal" dxfId="3801" priority="3801">
      <formula>"Com impostos"</formula>
    </cfRule>
  </conditionalFormatting>
  <conditionalFormatting sqref="V1292">
    <cfRule type="cellIs" operator="equal" dxfId="3802" priority="3802">
      <formula>"Mercado Envios por conta do comprador"</formula>
    </cfRule>
  </conditionalFormatting>
  <conditionalFormatting sqref="W1292">
    <cfRule type="cellIs" operator="equal" dxfId="3803" priority="3803">
      <formula>"Premium"</formula>
    </cfRule>
  </conditionalFormatting>
  <conditionalFormatting sqref="J1293">
    <cfRule type="cellIs" operator="equal" dxfId="3804" priority="3804">
      <formula>"R$"</formula>
    </cfRule>
  </conditionalFormatting>
  <conditionalFormatting sqref="K1293">
    <cfRule type="cellIs" operator="equal" dxfId="3805" priority="3805">
      <formula>"Com impostos"</formula>
    </cfRule>
  </conditionalFormatting>
  <conditionalFormatting sqref="V1293">
    <cfRule type="cellIs" operator="equal" dxfId="3806" priority="3806">
      <formula>"Mercado Envios grátis"</formula>
    </cfRule>
  </conditionalFormatting>
  <conditionalFormatting sqref="W1293">
    <cfRule type="cellIs" operator="equal" dxfId="3807" priority="3807">
      <formula>"Premium"</formula>
    </cfRule>
  </conditionalFormatting>
  <conditionalFormatting sqref="J1294">
    <cfRule type="cellIs" operator="equal" dxfId="3808" priority="3808">
      <formula>"R$"</formula>
    </cfRule>
  </conditionalFormatting>
  <conditionalFormatting sqref="K1294">
    <cfRule type="cellIs" operator="equal" dxfId="3809" priority="3809">
      <formula>"Com impostos"</formula>
    </cfRule>
  </conditionalFormatting>
  <conditionalFormatting sqref="V1294">
    <cfRule type="cellIs" operator="equal" dxfId="3810" priority="3810">
      <formula>"Mercado Envios grátis"</formula>
    </cfRule>
  </conditionalFormatting>
  <conditionalFormatting sqref="W1294">
    <cfRule type="cellIs" operator="equal" dxfId="3811" priority="3811">
      <formula>"Clássico"</formula>
    </cfRule>
  </conditionalFormatting>
  <conditionalFormatting sqref="J1295">
    <cfRule type="cellIs" operator="equal" dxfId="3812" priority="3812">
      <formula>"R$"</formula>
    </cfRule>
  </conditionalFormatting>
  <conditionalFormatting sqref="K1295">
    <cfRule type="cellIs" operator="equal" dxfId="3813" priority="3813">
      <formula>"Com impostos"</formula>
    </cfRule>
  </conditionalFormatting>
  <conditionalFormatting sqref="V1295">
    <cfRule type="cellIs" operator="equal" dxfId="3814" priority="3814">
      <formula>"Mercado Envios por conta do comprador"</formula>
    </cfRule>
  </conditionalFormatting>
  <conditionalFormatting sqref="W1295">
    <cfRule type="cellIs" operator="equal" dxfId="3815" priority="3815">
      <formula>"Clássico"</formula>
    </cfRule>
  </conditionalFormatting>
  <conditionalFormatting sqref="J1296">
    <cfRule type="cellIs" operator="equal" dxfId="3816" priority="3816">
      <formula>"R$"</formula>
    </cfRule>
  </conditionalFormatting>
  <conditionalFormatting sqref="V1296">
    <cfRule type="cellIs" operator="equal" dxfId="3817" priority="3817">
      <formula>"Mercado Envios grátis"</formula>
    </cfRule>
  </conditionalFormatting>
  <conditionalFormatting sqref="W1296">
    <cfRule type="cellIs" operator="equal" dxfId="3818" priority="3818">
      <formula>"Premium"</formula>
    </cfRule>
  </conditionalFormatting>
  <conditionalFormatting sqref="J1301">
    <cfRule type="cellIs" operator="equal" dxfId="3819" priority="3819">
      <formula>"R$"</formula>
    </cfRule>
  </conditionalFormatting>
  <conditionalFormatting sqref="K1301">
    <cfRule type="cellIs" operator="equal" dxfId="3820" priority="3820">
      <formula>"Com impostos"</formula>
    </cfRule>
  </conditionalFormatting>
  <conditionalFormatting sqref="V1301">
    <cfRule type="cellIs" operator="equal" dxfId="3821" priority="3821">
      <formula>"Mercado Envios grátis"</formula>
    </cfRule>
  </conditionalFormatting>
  <conditionalFormatting sqref="W1301">
    <cfRule type="cellIs" operator="equal" dxfId="3822" priority="3822">
      <formula>"Premium"</formula>
    </cfRule>
  </conditionalFormatting>
  <conditionalFormatting sqref="J1302">
    <cfRule type="cellIs" operator="equal" dxfId="3823" priority="3823">
      <formula>"R$"</formula>
    </cfRule>
  </conditionalFormatting>
  <conditionalFormatting sqref="K1302">
    <cfRule type="cellIs" operator="equal" dxfId="3824" priority="3824">
      <formula>"Com impostos"</formula>
    </cfRule>
  </conditionalFormatting>
  <conditionalFormatting sqref="V1302">
    <cfRule type="cellIs" operator="equal" dxfId="3825" priority="3825">
      <formula>"Mercado Envios grátis"</formula>
    </cfRule>
  </conditionalFormatting>
  <conditionalFormatting sqref="W1302">
    <cfRule type="cellIs" operator="equal" dxfId="3826" priority="3826">
      <formula>"Premium"</formula>
    </cfRule>
  </conditionalFormatting>
  <conditionalFormatting sqref="J1303">
    <cfRule type="cellIs" operator="equal" dxfId="3827" priority="3827">
      <formula>"R$"</formula>
    </cfRule>
  </conditionalFormatting>
  <conditionalFormatting sqref="V1303">
    <cfRule type="cellIs" operator="equal" dxfId="3828" priority="3828">
      <formula>"Mercado Envios grátis"</formula>
    </cfRule>
  </conditionalFormatting>
  <conditionalFormatting sqref="W1303">
    <cfRule type="cellIs" operator="equal" dxfId="3829" priority="3829">
      <formula>"Premium"</formula>
    </cfRule>
  </conditionalFormatting>
  <conditionalFormatting sqref="J1306">
    <cfRule type="cellIs" operator="equal" dxfId="3830" priority="3830">
      <formula>"R$"</formula>
    </cfRule>
  </conditionalFormatting>
  <conditionalFormatting sqref="K1306">
    <cfRule type="cellIs" operator="equal" dxfId="3831" priority="3831">
      <formula>"Com impostos"</formula>
    </cfRule>
  </conditionalFormatting>
  <conditionalFormatting sqref="V1306">
    <cfRule type="cellIs" operator="equal" dxfId="3832" priority="3832">
      <formula>"Mercado Envios grátis"</formula>
    </cfRule>
  </conditionalFormatting>
  <conditionalFormatting sqref="W1306">
    <cfRule type="cellIs" operator="equal" dxfId="3833" priority="3833">
      <formula>"Premium"</formula>
    </cfRule>
  </conditionalFormatting>
  <conditionalFormatting sqref="J1307">
    <cfRule type="cellIs" operator="equal" dxfId="3834" priority="3834">
      <formula>"R$"</formula>
    </cfRule>
  </conditionalFormatting>
  <conditionalFormatting sqref="K1307">
    <cfRule type="cellIs" operator="equal" dxfId="3835" priority="3835">
      <formula>"Com impostos"</formula>
    </cfRule>
  </conditionalFormatting>
  <conditionalFormatting sqref="V1307">
    <cfRule type="cellIs" operator="equal" dxfId="3836" priority="3836">
      <formula>"Mercado Envios grátis"</formula>
    </cfRule>
  </conditionalFormatting>
  <conditionalFormatting sqref="W1307">
    <cfRule type="cellIs" operator="equal" dxfId="3837" priority="3837">
      <formula>"Premium"</formula>
    </cfRule>
  </conditionalFormatting>
  <conditionalFormatting sqref="J1308">
    <cfRule type="cellIs" operator="equal" dxfId="3838" priority="3838">
      <formula>"R$"</formula>
    </cfRule>
  </conditionalFormatting>
  <conditionalFormatting sqref="K1308">
    <cfRule type="cellIs" operator="equal" dxfId="3839" priority="3839">
      <formula>"Com impostos"</formula>
    </cfRule>
  </conditionalFormatting>
  <conditionalFormatting sqref="V1308">
    <cfRule type="cellIs" operator="equal" dxfId="3840" priority="3840">
      <formula>"Mercado Envios grátis"</formula>
    </cfRule>
  </conditionalFormatting>
  <conditionalFormatting sqref="W1308">
    <cfRule type="cellIs" operator="equal" dxfId="3841" priority="3841">
      <formula>"Premium"</formula>
    </cfRule>
  </conditionalFormatting>
  <conditionalFormatting sqref="J1309">
    <cfRule type="cellIs" operator="equal" dxfId="3842" priority="3842">
      <formula>"R$"</formula>
    </cfRule>
  </conditionalFormatting>
  <conditionalFormatting sqref="K1309">
    <cfRule type="cellIs" operator="equal" dxfId="3843" priority="3843">
      <formula>"Com impostos"</formula>
    </cfRule>
  </conditionalFormatting>
  <conditionalFormatting sqref="V1309">
    <cfRule type="cellIs" operator="equal" dxfId="3844" priority="3844">
      <formula>"Mercado Envios grátis"</formula>
    </cfRule>
  </conditionalFormatting>
  <conditionalFormatting sqref="W1309">
    <cfRule type="cellIs" operator="equal" dxfId="3845" priority="3845">
      <formula>"Premium"</formula>
    </cfRule>
  </conditionalFormatting>
  <conditionalFormatting sqref="J1310">
    <cfRule type="cellIs" operator="equal" dxfId="3846" priority="3846">
      <formula>"R$"</formula>
    </cfRule>
  </conditionalFormatting>
  <conditionalFormatting sqref="K1310">
    <cfRule type="cellIs" operator="equal" dxfId="3847" priority="3847">
      <formula>"Com impostos"</formula>
    </cfRule>
  </conditionalFormatting>
  <conditionalFormatting sqref="V1310">
    <cfRule type="cellIs" operator="equal" dxfId="3848" priority="3848">
      <formula>"Mercado Envios grátis"</formula>
    </cfRule>
  </conditionalFormatting>
  <conditionalFormatting sqref="W1310">
    <cfRule type="cellIs" operator="equal" dxfId="3849" priority="3849">
      <formula>"Premium"</formula>
    </cfRule>
  </conditionalFormatting>
  <conditionalFormatting sqref="J1311">
    <cfRule type="cellIs" operator="equal" dxfId="3850" priority="3850">
      <formula>"R$"</formula>
    </cfRule>
  </conditionalFormatting>
  <conditionalFormatting sqref="K1311">
    <cfRule type="cellIs" operator="equal" dxfId="3851" priority="3851">
      <formula>"Com impostos"</formula>
    </cfRule>
  </conditionalFormatting>
  <conditionalFormatting sqref="V1311">
    <cfRule type="cellIs" operator="equal" dxfId="3852" priority="3852">
      <formula>"Mercado Envios por conta do comprador"</formula>
    </cfRule>
  </conditionalFormatting>
  <conditionalFormatting sqref="W1311">
    <cfRule type="cellIs" operator="equal" dxfId="3853" priority="3853">
      <formula>"Clássico"</formula>
    </cfRule>
  </conditionalFormatting>
  <conditionalFormatting sqref="J1312">
    <cfRule type="cellIs" operator="equal" dxfId="3854" priority="3854">
      <formula>"R$"</formula>
    </cfRule>
  </conditionalFormatting>
  <conditionalFormatting sqref="K1312">
    <cfRule type="cellIs" operator="equal" dxfId="3855" priority="3855">
      <formula>"Com impostos"</formula>
    </cfRule>
  </conditionalFormatting>
  <conditionalFormatting sqref="V1312">
    <cfRule type="cellIs" operator="equal" dxfId="3856" priority="3856">
      <formula>"Mercado Envios grátis"</formula>
    </cfRule>
  </conditionalFormatting>
  <conditionalFormatting sqref="W1312">
    <cfRule type="cellIs" operator="equal" dxfId="3857" priority="3857">
      <formula>"Premium"</formula>
    </cfRule>
  </conditionalFormatting>
  <conditionalFormatting sqref="J1313">
    <cfRule type="cellIs" operator="equal" dxfId="3858" priority="3858">
      <formula>"R$"</formula>
    </cfRule>
  </conditionalFormatting>
  <conditionalFormatting sqref="K1313">
    <cfRule type="cellIs" operator="equal" dxfId="3859" priority="3859">
      <formula>"Com impostos"</formula>
    </cfRule>
  </conditionalFormatting>
  <conditionalFormatting sqref="V1313">
    <cfRule type="cellIs" operator="equal" dxfId="3860" priority="3860">
      <formula>"Mercado Envios grátis"</formula>
    </cfRule>
  </conditionalFormatting>
  <conditionalFormatting sqref="W1313">
    <cfRule type="cellIs" operator="equal" dxfId="3861" priority="3861">
      <formula>"Clássico"</formula>
    </cfRule>
  </conditionalFormatting>
  <conditionalFormatting sqref="J1314">
    <cfRule type="cellIs" operator="equal" dxfId="3862" priority="3862">
      <formula>"R$"</formula>
    </cfRule>
  </conditionalFormatting>
  <conditionalFormatting sqref="K1314">
    <cfRule type="cellIs" operator="equal" dxfId="3863" priority="3863">
      <formula>"Com impostos"</formula>
    </cfRule>
  </conditionalFormatting>
  <conditionalFormatting sqref="V1314">
    <cfRule type="cellIs" operator="equal" dxfId="3864" priority="3864">
      <formula>"Mercado Envios grátis"</formula>
    </cfRule>
  </conditionalFormatting>
  <conditionalFormatting sqref="W1314">
    <cfRule type="cellIs" operator="equal" dxfId="3865" priority="3865">
      <formula>"Clássico"</formula>
    </cfRule>
  </conditionalFormatting>
  <conditionalFormatting sqref="J1315">
    <cfRule type="cellIs" operator="equal" dxfId="3866" priority="3866">
      <formula>"R$"</formula>
    </cfRule>
  </conditionalFormatting>
  <conditionalFormatting sqref="K1315">
    <cfRule type="cellIs" operator="equal" dxfId="3867" priority="3867">
      <formula>"Com impostos"</formula>
    </cfRule>
  </conditionalFormatting>
  <conditionalFormatting sqref="V1315">
    <cfRule type="cellIs" operator="equal" dxfId="3868" priority="3868">
      <formula>"Mercado Envios grátis"</formula>
    </cfRule>
  </conditionalFormatting>
  <conditionalFormatting sqref="W1315">
    <cfRule type="cellIs" operator="equal" dxfId="3869" priority="3869">
      <formula>"Premium"</formula>
    </cfRule>
  </conditionalFormatting>
  <conditionalFormatting sqref="J1316">
    <cfRule type="cellIs" operator="equal" dxfId="3870" priority="3870">
      <formula>"R$"</formula>
    </cfRule>
  </conditionalFormatting>
  <conditionalFormatting sqref="K1316">
    <cfRule type="cellIs" operator="equal" dxfId="3871" priority="3871">
      <formula>"Com impostos"</formula>
    </cfRule>
  </conditionalFormatting>
  <conditionalFormatting sqref="V1316">
    <cfRule type="cellIs" operator="equal" dxfId="3872" priority="3872">
      <formula>"Mercado Envios grátis"</formula>
    </cfRule>
  </conditionalFormatting>
  <conditionalFormatting sqref="W1316">
    <cfRule type="cellIs" operator="equal" dxfId="3873" priority="3873">
      <formula>"Clássico"</formula>
    </cfRule>
  </conditionalFormatting>
  <conditionalFormatting sqref="J1317">
    <cfRule type="cellIs" operator="equal" dxfId="3874" priority="3874">
      <formula>"R$"</formula>
    </cfRule>
  </conditionalFormatting>
  <conditionalFormatting sqref="K1317">
    <cfRule type="cellIs" operator="equal" dxfId="3875" priority="3875">
      <formula>"Com impostos"</formula>
    </cfRule>
  </conditionalFormatting>
  <conditionalFormatting sqref="V1317">
    <cfRule type="cellIs" operator="equal" dxfId="3876" priority="3876">
      <formula>"Mercado Envios grátis"</formula>
    </cfRule>
  </conditionalFormatting>
  <conditionalFormatting sqref="W1317">
    <cfRule type="cellIs" operator="equal" dxfId="3877" priority="3877">
      <formula>"Clássico"</formula>
    </cfRule>
  </conditionalFormatting>
  <conditionalFormatting sqref="J1318">
    <cfRule type="cellIs" operator="equal" dxfId="3878" priority="3878">
      <formula>"R$"</formula>
    </cfRule>
  </conditionalFormatting>
  <conditionalFormatting sqref="K1318">
    <cfRule type="cellIs" operator="equal" dxfId="3879" priority="3879">
      <formula>"Com impostos"</formula>
    </cfRule>
  </conditionalFormatting>
  <conditionalFormatting sqref="V1318">
    <cfRule type="cellIs" operator="equal" dxfId="3880" priority="3880">
      <formula>"Mercado Envios grátis"</formula>
    </cfRule>
  </conditionalFormatting>
  <conditionalFormatting sqref="W1318">
    <cfRule type="cellIs" operator="equal" dxfId="3881" priority="3881">
      <formula>"Clássico"</formula>
    </cfRule>
  </conditionalFormatting>
  <conditionalFormatting sqref="J1319">
    <cfRule type="cellIs" operator="equal" dxfId="3882" priority="3882">
      <formula>"R$"</formula>
    </cfRule>
  </conditionalFormatting>
  <conditionalFormatting sqref="K1319">
    <cfRule type="cellIs" operator="equal" dxfId="3883" priority="3883">
      <formula>"Com impostos"</formula>
    </cfRule>
  </conditionalFormatting>
  <conditionalFormatting sqref="V1319">
    <cfRule type="cellIs" operator="equal" dxfId="3884" priority="3884">
      <formula>"Mercado Envios grátis"</formula>
    </cfRule>
  </conditionalFormatting>
  <conditionalFormatting sqref="W1319">
    <cfRule type="cellIs" operator="equal" dxfId="3885" priority="3885">
      <formula>"Clássico"</formula>
    </cfRule>
  </conditionalFormatting>
  <conditionalFormatting sqref="J1320">
    <cfRule type="cellIs" operator="equal" dxfId="3886" priority="3886">
      <formula>"R$"</formula>
    </cfRule>
  </conditionalFormatting>
  <conditionalFormatting sqref="K1320">
    <cfRule type="cellIs" operator="equal" dxfId="3887" priority="3887">
      <formula>"Com impostos"</formula>
    </cfRule>
  </conditionalFormatting>
  <conditionalFormatting sqref="V1320">
    <cfRule type="cellIs" operator="equal" dxfId="3888" priority="3888">
      <formula>"Mercado Envios grátis"</formula>
    </cfRule>
  </conditionalFormatting>
  <conditionalFormatting sqref="W1320">
    <cfRule type="cellIs" operator="equal" dxfId="3889" priority="3889">
      <formula>"Clássico"</formula>
    </cfRule>
  </conditionalFormatting>
  <conditionalFormatting sqref="J1321">
    <cfRule type="cellIs" operator="equal" dxfId="3890" priority="3890">
      <formula>"R$"</formula>
    </cfRule>
  </conditionalFormatting>
  <conditionalFormatting sqref="K1321">
    <cfRule type="cellIs" operator="equal" dxfId="3891" priority="3891">
      <formula>"Com impostos"</formula>
    </cfRule>
  </conditionalFormatting>
  <conditionalFormatting sqref="V1321">
    <cfRule type="cellIs" operator="equal" dxfId="3892" priority="3892">
      <formula>"Mercado Envios grátis"</formula>
    </cfRule>
  </conditionalFormatting>
  <conditionalFormatting sqref="W1321">
    <cfRule type="cellIs" operator="equal" dxfId="3893" priority="3893">
      <formula>"Premium"</formula>
    </cfRule>
  </conditionalFormatting>
  <conditionalFormatting sqref="J1322">
    <cfRule type="cellIs" operator="equal" dxfId="3894" priority="3894">
      <formula>"R$"</formula>
    </cfRule>
  </conditionalFormatting>
  <conditionalFormatting sqref="K1322">
    <cfRule type="cellIs" operator="equal" dxfId="3895" priority="3895">
      <formula>"Com impostos"</formula>
    </cfRule>
  </conditionalFormatting>
  <conditionalFormatting sqref="V1322">
    <cfRule type="cellIs" operator="equal" dxfId="3896" priority="3896">
      <formula>"Mercado Envios grátis"</formula>
    </cfRule>
  </conditionalFormatting>
  <conditionalFormatting sqref="W1322">
    <cfRule type="cellIs" operator="equal" dxfId="3897" priority="3897">
      <formula>"Premium"</formula>
    </cfRule>
  </conditionalFormatting>
  <conditionalFormatting sqref="J1323">
    <cfRule type="cellIs" operator="equal" dxfId="3898" priority="3898">
      <formula>"R$"</formula>
    </cfRule>
  </conditionalFormatting>
  <conditionalFormatting sqref="K1323">
    <cfRule type="cellIs" operator="equal" dxfId="3899" priority="3899">
      <formula>"Com impostos"</formula>
    </cfRule>
  </conditionalFormatting>
  <conditionalFormatting sqref="V1323">
    <cfRule type="cellIs" operator="equal" dxfId="3900" priority="3900">
      <formula>"Mercado Envios grátis"</formula>
    </cfRule>
  </conditionalFormatting>
  <conditionalFormatting sqref="W1323">
    <cfRule type="cellIs" operator="equal" dxfId="3901" priority="3901">
      <formula>"Premium"</formula>
    </cfRule>
  </conditionalFormatting>
  <conditionalFormatting sqref="J1324">
    <cfRule type="cellIs" operator="equal" dxfId="3902" priority="3902">
      <formula>"R$"</formula>
    </cfRule>
  </conditionalFormatting>
  <conditionalFormatting sqref="K1324">
    <cfRule type="cellIs" operator="equal" dxfId="3903" priority="3903">
      <formula>"Com impostos"</formula>
    </cfRule>
  </conditionalFormatting>
  <conditionalFormatting sqref="V1324">
    <cfRule type="cellIs" operator="equal" dxfId="3904" priority="3904">
      <formula>"Mercado Envios grátis"</formula>
    </cfRule>
  </conditionalFormatting>
  <conditionalFormatting sqref="W1324">
    <cfRule type="cellIs" operator="equal" dxfId="3905" priority="3905">
      <formula>"Premium"</formula>
    </cfRule>
  </conditionalFormatting>
  <conditionalFormatting sqref="J1325">
    <cfRule type="cellIs" operator="equal" dxfId="3906" priority="3906">
      <formula>"R$"</formula>
    </cfRule>
  </conditionalFormatting>
  <conditionalFormatting sqref="K1325">
    <cfRule type="cellIs" operator="equal" dxfId="3907" priority="3907">
      <formula>"Com impostos"</formula>
    </cfRule>
  </conditionalFormatting>
  <conditionalFormatting sqref="V1325">
    <cfRule type="cellIs" operator="equal" dxfId="3908" priority="3908">
      <formula>"Mercado Envios grátis"</formula>
    </cfRule>
  </conditionalFormatting>
  <conditionalFormatting sqref="W1325">
    <cfRule type="cellIs" operator="equal" dxfId="3909" priority="3909">
      <formula>"Premium"</formula>
    </cfRule>
  </conditionalFormatting>
  <conditionalFormatting sqref="J1326">
    <cfRule type="cellIs" operator="equal" dxfId="3910" priority="3910">
      <formula>"R$"</formula>
    </cfRule>
  </conditionalFormatting>
  <conditionalFormatting sqref="V1326">
    <cfRule type="cellIs" operator="equal" dxfId="3911" priority="3911">
      <formula>"Mercado Envios por conta do comprador"</formula>
    </cfRule>
  </conditionalFormatting>
  <conditionalFormatting sqref="W1326">
    <cfRule type="cellIs" operator="equal" dxfId="3912" priority="3912">
      <formula>"Premium"</formula>
    </cfRule>
  </conditionalFormatting>
  <conditionalFormatting sqref="J1329">
    <cfRule type="cellIs" operator="equal" dxfId="3913" priority="3913">
      <formula>"R$"</formula>
    </cfRule>
  </conditionalFormatting>
  <conditionalFormatting sqref="K1329">
    <cfRule type="cellIs" operator="equal" dxfId="3914" priority="3914">
      <formula>"Com impostos"</formula>
    </cfRule>
  </conditionalFormatting>
  <conditionalFormatting sqref="V1329">
    <cfRule type="cellIs" operator="equal" dxfId="3915" priority="3915">
      <formula>"Mercado Envios grátis"</formula>
    </cfRule>
  </conditionalFormatting>
  <conditionalFormatting sqref="W1329">
    <cfRule type="cellIs" operator="equal" dxfId="3916" priority="3916">
      <formula>"Premium"</formula>
    </cfRule>
  </conditionalFormatting>
  <conditionalFormatting sqref="J1330">
    <cfRule type="cellIs" operator="equal" dxfId="3917" priority="3917">
      <formula>"R$"</formula>
    </cfRule>
  </conditionalFormatting>
  <conditionalFormatting sqref="K1330">
    <cfRule type="cellIs" operator="equal" dxfId="3918" priority="3918">
      <formula>"Com impostos"</formula>
    </cfRule>
  </conditionalFormatting>
  <conditionalFormatting sqref="V1330">
    <cfRule type="cellIs" operator="equal" dxfId="3919" priority="3919">
      <formula>"Mercado Envios grátis"</formula>
    </cfRule>
  </conditionalFormatting>
  <conditionalFormatting sqref="W1330">
    <cfRule type="cellIs" operator="equal" dxfId="3920" priority="3920">
      <formula>"Premium"</formula>
    </cfRule>
  </conditionalFormatting>
  <conditionalFormatting sqref="J1331">
    <cfRule type="cellIs" operator="equal" dxfId="3921" priority="3921">
      <formula>"R$"</formula>
    </cfRule>
  </conditionalFormatting>
  <conditionalFormatting sqref="K1331">
    <cfRule type="cellIs" operator="equal" dxfId="3922" priority="3922">
      <formula>"Com impostos"</formula>
    </cfRule>
  </conditionalFormatting>
  <conditionalFormatting sqref="V1331">
    <cfRule type="cellIs" operator="equal" dxfId="3923" priority="3923">
      <formula>"Mercado Envios grátis"</formula>
    </cfRule>
  </conditionalFormatting>
  <conditionalFormatting sqref="W1331">
    <cfRule type="cellIs" operator="equal" dxfId="3924" priority="3924">
      <formula>"Clássico"</formula>
    </cfRule>
  </conditionalFormatting>
  <conditionalFormatting sqref="J1332">
    <cfRule type="cellIs" operator="equal" dxfId="3925" priority="3925">
      <formula>"R$"</formula>
    </cfRule>
  </conditionalFormatting>
  <conditionalFormatting sqref="K1332">
    <cfRule type="cellIs" operator="equal" dxfId="3926" priority="3926">
      <formula>"Com impostos"</formula>
    </cfRule>
  </conditionalFormatting>
  <conditionalFormatting sqref="V1332">
    <cfRule type="cellIs" operator="equal" dxfId="3927" priority="3927">
      <formula>"Mercado Envios grátis"</formula>
    </cfRule>
  </conditionalFormatting>
  <conditionalFormatting sqref="W1332">
    <cfRule type="cellIs" operator="equal" dxfId="3928" priority="3928">
      <formula>"Premium"</formula>
    </cfRule>
  </conditionalFormatting>
  <conditionalFormatting sqref="J1333">
    <cfRule type="cellIs" operator="equal" dxfId="3929" priority="3929">
      <formula>"R$"</formula>
    </cfRule>
  </conditionalFormatting>
  <conditionalFormatting sqref="K1333">
    <cfRule type="cellIs" operator="equal" dxfId="3930" priority="3930">
      <formula>"Com impostos"</formula>
    </cfRule>
  </conditionalFormatting>
  <conditionalFormatting sqref="V1333">
    <cfRule type="cellIs" operator="equal" dxfId="3931" priority="3931">
      <formula>"Mercado Envios grátis"</formula>
    </cfRule>
  </conditionalFormatting>
  <conditionalFormatting sqref="W1333">
    <cfRule type="cellIs" operator="equal" dxfId="3932" priority="3932">
      <formula>"Clássico"</formula>
    </cfRule>
  </conditionalFormatting>
  <conditionalFormatting sqref="J1334">
    <cfRule type="cellIs" operator="equal" dxfId="3933" priority="3933">
      <formula>"R$"</formula>
    </cfRule>
  </conditionalFormatting>
  <conditionalFormatting sqref="K1334">
    <cfRule type="cellIs" operator="equal" dxfId="3934" priority="3934">
      <formula>"Com impostos"</formula>
    </cfRule>
  </conditionalFormatting>
  <conditionalFormatting sqref="V1334">
    <cfRule type="cellIs" operator="equal" dxfId="3935" priority="3935">
      <formula>"Mercado Envios grátis"</formula>
    </cfRule>
  </conditionalFormatting>
  <conditionalFormatting sqref="W1334">
    <cfRule type="cellIs" operator="equal" dxfId="3936" priority="3936">
      <formula>"Clássico"</formula>
    </cfRule>
  </conditionalFormatting>
  <conditionalFormatting sqref="J1335">
    <cfRule type="cellIs" operator="equal" dxfId="3937" priority="3937">
      <formula>"R$"</formula>
    </cfRule>
  </conditionalFormatting>
  <conditionalFormatting sqref="V1335">
    <cfRule type="cellIs" operator="equal" dxfId="3938" priority="3938">
      <formula>"Mercado Envios grátis"</formula>
    </cfRule>
  </conditionalFormatting>
  <conditionalFormatting sqref="W1335">
    <cfRule type="cellIs" operator="equal" dxfId="3939" priority="3939">
      <formula>"Premium"</formula>
    </cfRule>
  </conditionalFormatting>
  <conditionalFormatting sqref="J1340">
    <cfRule type="cellIs" operator="equal" dxfId="3940" priority="3940">
      <formula>"R$"</formula>
    </cfRule>
  </conditionalFormatting>
  <conditionalFormatting sqref="K1340">
    <cfRule type="cellIs" operator="equal" dxfId="3941" priority="3941">
      <formula>"Com impostos"</formula>
    </cfRule>
  </conditionalFormatting>
  <conditionalFormatting sqref="V1340">
    <cfRule type="cellIs" operator="equal" dxfId="3942" priority="3942">
      <formula>"Mercado Envios grátis"</formula>
    </cfRule>
  </conditionalFormatting>
  <conditionalFormatting sqref="W1340">
    <cfRule type="cellIs" operator="equal" dxfId="3943" priority="3943">
      <formula>"Premium"</formula>
    </cfRule>
  </conditionalFormatting>
  <conditionalFormatting sqref="J1341">
    <cfRule type="cellIs" operator="equal" dxfId="3944" priority="3944">
      <formula>"R$"</formula>
    </cfRule>
  </conditionalFormatting>
  <conditionalFormatting sqref="K1341">
    <cfRule type="cellIs" operator="equal" dxfId="3945" priority="3945">
      <formula>"Com impostos"</formula>
    </cfRule>
  </conditionalFormatting>
  <conditionalFormatting sqref="V1341">
    <cfRule type="cellIs" operator="equal" dxfId="3946" priority="3946">
      <formula>"Mercado Envios por conta do comprador"</formula>
    </cfRule>
  </conditionalFormatting>
  <conditionalFormatting sqref="W1341">
    <cfRule type="cellIs" operator="equal" dxfId="3947" priority="3947">
      <formula>"Premium"</formula>
    </cfRule>
  </conditionalFormatting>
  <conditionalFormatting sqref="J1342">
    <cfRule type="cellIs" operator="equal" dxfId="3948" priority="3948">
      <formula>"R$"</formula>
    </cfRule>
  </conditionalFormatting>
  <conditionalFormatting sqref="K1342">
    <cfRule type="cellIs" operator="equal" dxfId="3949" priority="3949">
      <formula>"Com impostos"</formula>
    </cfRule>
  </conditionalFormatting>
  <conditionalFormatting sqref="V1342">
    <cfRule type="cellIs" operator="equal" dxfId="3950" priority="3950">
      <formula>"Mercado Envios grátis"</formula>
    </cfRule>
  </conditionalFormatting>
  <conditionalFormatting sqref="W1342">
    <cfRule type="cellIs" operator="equal" dxfId="3951" priority="3951">
      <formula>"Premium"</formula>
    </cfRule>
  </conditionalFormatting>
  <conditionalFormatting sqref="J1343">
    <cfRule type="cellIs" operator="equal" dxfId="3952" priority="3952">
      <formula>"R$"</formula>
    </cfRule>
  </conditionalFormatting>
  <conditionalFormatting sqref="V1343">
    <cfRule type="cellIs" operator="equal" dxfId="3953" priority="3953">
      <formula>"Mercado Envios grátis"</formula>
    </cfRule>
  </conditionalFormatting>
  <conditionalFormatting sqref="W1343">
    <cfRule type="cellIs" operator="equal" dxfId="3954" priority="3954">
      <formula>"Clássico"</formula>
    </cfRule>
  </conditionalFormatting>
  <conditionalFormatting sqref="J1346">
    <cfRule type="cellIs" operator="equal" dxfId="3955" priority="3955">
      <formula>"R$"</formula>
    </cfRule>
  </conditionalFormatting>
  <conditionalFormatting sqref="K1346">
    <cfRule type="cellIs" operator="equal" dxfId="3956" priority="3956">
      <formula>"Com impostos"</formula>
    </cfRule>
  </conditionalFormatting>
  <conditionalFormatting sqref="V1346">
    <cfRule type="cellIs" operator="equal" dxfId="3957" priority="3957">
      <formula>"Mercado Envios grátis"</formula>
    </cfRule>
  </conditionalFormatting>
  <conditionalFormatting sqref="W1346">
    <cfRule type="cellIs" operator="equal" dxfId="3958" priority="3958">
      <formula>"Premium"</formula>
    </cfRule>
  </conditionalFormatting>
  <conditionalFormatting sqref="J1347">
    <cfRule type="cellIs" operator="equal" dxfId="3959" priority="3959">
      <formula>"R$"</formula>
    </cfRule>
  </conditionalFormatting>
  <conditionalFormatting sqref="K1347">
    <cfRule type="cellIs" operator="equal" dxfId="3960" priority="3960">
      <formula>"Com impostos"</formula>
    </cfRule>
  </conditionalFormatting>
  <conditionalFormatting sqref="V1347">
    <cfRule type="cellIs" operator="equal" dxfId="3961" priority="3961">
      <formula>"Mercado Envios grátis"</formula>
    </cfRule>
  </conditionalFormatting>
  <conditionalFormatting sqref="W1347">
    <cfRule type="cellIs" operator="equal" dxfId="3962" priority="3962">
      <formula>"Premium"</formula>
    </cfRule>
  </conditionalFormatting>
  <conditionalFormatting sqref="J1348">
    <cfRule type="cellIs" operator="equal" dxfId="3963" priority="3963">
      <formula>"R$"</formula>
    </cfRule>
  </conditionalFormatting>
  <conditionalFormatting sqref="K1348">
    <cfRule type="cellIs" operator="equal" dxfId="3964" priority="3964">
      <formula>"Com impostos"</formula>
    </cfRule>
  </conditionalFormatting>
  <conditionalFormatting sqref="V1348">
    <cfRule type="cellIs" operator="equal" dxfId="3965" priority="3965">
      <formula>"Mercado Envios grátis"</formula>
    </cfRule>
  </conditionalFormatting>
  <conditionalFormatting sqref="W1348">
    <cfRule type="cellIs" operator="equal" dxfId="3966" priority="3966">
      <formula>"Clássico"</formula>
    </cfRule>
  </conditionalFormatting>
  <conditionalFormatting sqref="J1349">
    <cfRule type="cellIs" operator="equal" dxfId="3967" priority="3967">
      <formula>"R$"</formula>
    </cfRule>
  </conditionalFormatting>
  <conditionalFormatting sqref="K1349">
    <cfRule type="cellIs" operator="equal" dxfId="3968" priority="3968">
      <formula>"Com impostos"</formula>
    </cfRule>
  </conditionalFormatting>
  <conditionalFormatting sqref="V1349">
    <cfRule type="cellIs" operator="equal" dxfId="3969" priority="3969">
      <formula>"Mercado Envios grátis"</formula>
    </cfRule>
  </conditionalFormatting>
  <conditionalFormatting sqref="W1349">
    <cfRule type="cellIs" operator="equal" dxfId="3970" priority="3970">
      <formula>"Clássico"</formula>
    </cfRule>
  </conditionalFormatting>
  <conditionalFormatting sqref="J1350">
    <cfRule type="cellIs" operator="equal" dxfId="3971" priority="3971">
      <formula>"R$"</formula>
    </cfRule>
  </conditionalFormatting>
  <conditionalFormatting sqref="K1350">
    <cfRule type="cellIs" operator="equal" dxfId="3972" priority="3972">
      <formula>"Com impostos"</formula>
    </cfRule>
  </conditionalFormatting>
  <conditionalFormatting sqref="V1350">
    <cfRule type="cellIs" operator="equal" dxfId="3973" priority="3973">
      <formula>"Mercado Envios grátis"</formula>
    </cfRule>
  </conditionalFormatting>
  <conditionalFormatting sqref="W1350">
    <cfRule type="cellIs" operator="equal" dxfId="3974" priority="3974">
      <formula>"Premium"</formula>
    </cfRule>
  </conditionalFormatting>
  <conditionalFormatting sqref="J1351">
    <cfRule type="cellIs" operator="equal" dxfId="3975" priority="3975">
      <formula>"R$"</formula>
    </cfRule>
  </conditionalFormatting>
  <conditionalFormatting sqref="K1351">
    <cfRule type="cellIs" operator="equal" dxfId="3976" priority="3976">
      <formula>"Com impostos"</formula>
    </cfRule>
  </conditionalFormatting>
  <conditionalFormatting sqref="V1351">
    <cfRule type="cellIs" operator="equal" dxfId="3977" priority="3977">
      <formula>"Mercado Envios grátis"</formula>
    </cfRule>
  </conditionalFormatting>
  <conditionalFormatting sqref="W1351">
    <cfRule type="cellIs" operator="equal" dxfId="3978" priority="3978">
      <formula>"Premium"</formula>
    </cfRule>
  </conditionalFormatting>
  <conditionalFormatting sqref="J1352">
    <cfRule type="cellIs" operator="equal" dxfId="3979" priority="3979">
      <formula>"R$"</formula>
    </cfRule>
  </conditionalFormatting>
  <conditionalFormatting sqref="K1352">
    <cfRule type="cellIs" operator="equal" dxfId="3980" priority="3980">
      <formula>"Com impostos"</formula>
    </cfRule>
  </conditionalFormatting>
  <conditionalFormatting sqref="V1352">
    <cfRule type="cellIs" operator="equal" dxfId="3981" priority="3981">
      <formula>"Mercado Envios grátis"</formula>
    </cfRule>
  </conditionalFormatting>
  <conditionalFormatting sqref="W1352">
    <cfRule type="cellIs" operator="equal" dxfId="3982" priority="3982">
      <formula>"Premium"</formula>
    </cfRule>
  </conditionalFormatting>
  <conditionalFormatting sqref="J1353">
    <cfRule type="cellIs" operator="equal" dxfId="3983" priority="3983">
      <formula>"R$"</formula>
    </cfRule>
  </conditionalFormatting>
  <conditionalFormatting sqref="K1353">
    <cfRule type="cellIs" operator="equal" dxfId="3984" priority="3984">
      <formula>"Com impostos"</formula>
    </cfRule>
  </conditionalFormatting>
  <conditionalFormatting sqref="V1353">
    <cfRule type="cellIs" operator="equal" dxfId="3985" priority="3985">
      <formula>"Mercado Envios grátis"</formula>
    </cfRule>
  </conditionalFormatting>
  <conditionalFormatting sqref="W1353">
    <cfRule type="cellIs" operator="equal" dxfId="3986" priority="3986">
      <formula>"Premium"</formula>
    </cfRule>
  </conditionalFormatting>
  <conditionalFormatting sqref="J1354">
    <cfRule type="cellIs" operator="equal" dxfId="3987" priority="3987">
      <formula>"R$"</formula>
    </cfRule>
  </conditionalFormatting>
  <conditionalFormatting sqref="K1354">
    <cfRule type="cellIs" operator="equal" dxfId="3988" priority="3988">
      <formula>"Com impostos"</formula>
    </cfRule>
  </conditionalFormatting>
  <conditionalFormatting sqref="V1354">
    <cfRule type="cellIs" operator="equal" dxfId="3989" priority="3989">
      <formula>"Mercado Envios grátis"</formula>
    </cfRule>
  </conditionalFormatting>
  <conditionalFormatting sqref="W1354">
    <cfRule type="cellIs" operator="equal" dxfId="3990" priority="3990">
      <formula>"Premium"</formula>
    </cfRule>
  </conditionalFormatting>
  <conditionalFormatting sqref="J1355">
    <cfRule type="cellIs" operator="equal" dxfId="3991" priority="3991">
      <formula>"R$"</formula>
    </cfRule>
  </conditionalFormatting>
  <conditionalFormatting sqref="K1355">
    <cfRule type="cellIs" operator="equal" dxfId="3992" priority="3992">
      <formula>"Com impostos"</formula>
    </cfRule>
  </conditionalFormatting>
  <conditionalFormatting sqref="V1355">
    <cfRule type="cellIs" operator="equal" dxfId="3993" priority="3993">
      <formula>"Mercado Envios grátis"</formula>
    </cfRule>
  </conditionalFormatting>
  <conditionalFormatting sqref="W1355">
    <cfRule type="cellIs" operator="equal" dxfId="3994" priority="3994">
      <formula>"Premium"</formula>
    </cfRule>
  </conditionalFormatting>
  <conditionalFormatting sqref="J1356">
    <cfRule type="cellIs" operator="equal" dxfId="3995" priority="3995">
      <formula>"R$"</formula>
    </cfRule>
  </conditionalFormatting>
  <conditionalFormatting sqref="K1356">
    <cfRule type="cellIs" operator="equal" dxfId="3996" priority="3996">
      <formula>"Com impostos"</formula>
    </cfRule>
  </conditionalFormatting>
  <conditionalFormatting sqref="V1356">
    <cfRule type="cellIs" operator="equal" dxfId="3997" priority="3997">
      <formula>"Mercado Envios grátis"</formula>
    </cfRule>
  </conditionalFormatting>
  <conditionalFormatting sqref="W1356">
    <cfRule type="cellIs" operator="equal" dxfId="3998" priority="3998">
      <formula>"Clássico"</formula>
    </cfRule>
  </conditionalFormatting>
  <conditionalFormatting sqref="J1357">
    <cfRule type="cellIs" operator="equal" dxfId="3999" priority="3999">
      <formula>"R$"</formula>
    </cfRule>
  </conditionalFormatting>
  <conditionalFormatting sqref="K1357">
    <cfRule type="cellIs" operator="equal" dxfId="4000" priority="4000">
      <formula>"Com impostos"</formula>
    </cfRule>
  </conditionalFormatting>
  <conditionalFormatting sqref="V1357">
    <cfRule type="cellIs" operator="equal" dxfId="4001" priority="4001">
      <formula>"Mercado Envios grátis"</formula>
    </cfRule>
  </conditionalFormatting>
  <conditionalFormatting sqref="W1357">
    <cfRule type="cellIs" operator="equal" dxfId="4002" priority="4002">
      <formula>"Premium"</formula>
    </cfRule>
  </conditionalFormatting>
  <conditionalFormatting sqref="J1358">
    <cfRule type="cellIs" operator="equal" dxfId="4003" priority="4003">
      <formula>"R$"</formula>
    </cfRule>
  </conditionalFormatting>
  <conditionalFormatting sqref="K1358">
    <cfRule type="cellIs" operator="equal" dxfId="4004" priority="4004">
      <formula>"Com impostos"</formula>
    </cfRule>
  </conditionalFormatting>
  <conditionalFormatting sqref="V1358">
    <cfRule type="cellIs" operator="equal" dxfId="4005" priority="4005">
      <formula>"Mercado Envios grátis"</formula>
    </cfRule>
  </conditionalFormatting>
  <conditionalFormatting sqref="W1358">
    <cfRule type="cellIs" operator="equal" dxfId="4006" priority="4006">
      <formula>"Premium"</formula>
    </cfRule>
  </conditionalFormatting>
  <conditionalFormatting sqref="J1359">
    <cfRule type="cellIs" operator="equal" dxfId="4007" priority="4007">
      <formula>"R$"</formula>
    </cfRule>
  </conditionalFormatting>
  <conditionalFormatting sqref="K1359">
    <cfRule type="cellIs" operator="equal" dxfId="4008" priority="4008">
      <formula>"Com impostos"</formula>
    </cfRule>
  </conditionalFormatting>
  <conditionalFormatting sqref="V1359">
    <cfRule type="cellIs" operator="equal" dxfId="4009" priority="4009">
      <formula>"Mercado Envios grátis"</formula>
    </cfRule>
  </conditionalFormatting>
  <conditionalFormatting sqref="W1359">
    <cfRule type="cellIs" operator="equal" dxfId="4010" priority="4010">
      <formula>"Premium"</formula>
    </cfRule>
  </conditionalFormatting>
  <conditionalFormatting sqref="J1360">
    <cfRule type="cellIs" operator="equal" dxfId="4011" priority="4011">
      <formula>"R$"</formula>
    </cfRule>
  </conditionalFormatting>
  <conditionalFormatting sqref="K1360">
    <cfRule type="cellIs" operator="equal" dxfId="4012" priority="4012">
      <formula>"Com impostos"</formula>
    </cfRule>
  </conditionalFormatting>
  <conditionalFormatting sqref="V1360">
    <cfRule type="cellIs" operator="equal" dxfId="4013" priority="4013">
      <formula>"Mercado Envios grátis"</formula>
    </cfRule>
  </conditionalFormatting>
  <conditionalFormatting sqref="W1360">
    <cfRule type="cellIs" operator="equal" dxfId="4014" priority="4014">
      <formula>"Clássico"</formula>
    </cfRule>
  </conditionalFormatting>
  <conditionalFormatting sqref="J1361">
    <cfRule type="cellIs" operator="equal" dxfId="4015" priority="4015">
      <formula>"R$"</formula>
    </cfRule>
  </conditionalFormatting>
  <conditionalFormatting sqref="K1361">
    <cfRule type="cellIs" operator="equal" dxfId="4016" priority="4016">
      <formula>"Com impostos"</formula>
    </cfRule>
  </conditionalFormatting>
  <conditionalFormatting sqref="V1361">
    <cfRule type="cellIs" operator="equal" dxfId="4017" priority="4017">
      <formula>"Mercado Envios grátis"</formula>
    </cfRule>
  </conditionalFormatting>
  <conditionalFormatting sqref="W1361">
    <cfRule type="cellIs" operator="equal" dxfId="4018" priority="4018">
      <formula>"Premium"</formula>
    </cfRule>
  </conditionalFormatting>
  <conditionalFormatting sqref="J1362">
    <cfRule type="cellIs" operator="equal" dxfId="4019" priority="4019">
      <formula>"R$"</formula>
    </cfRule>
  </conditionalFormatting>
  <conditionalFormatting sqref="K1362">
    <cfRule type="cellIs" operator="equal" dxfId="4020" priority="4020">
      <formula>"Com impostos"</formula>
    </cfRule>
  </conditionalFormatting>
  <conditionalFormatting sqref="V1362">
    <cfRule type="cellIs" operator="equal" dxfId="4021" priority="4021">
      <formula>"Mercado Envios grátis"</formula>
    </cfRule>
  </conditionalFormatting>
  <conditionalFormatting sqref="W1362">
    <cfRule type="cellIs" operator="equal" dxfId="4022" priority="4022">
      <formula>"Clássico"</formula>
    </cfRule>
  </conditionalFormatting>
  <conditionalFormatting sqref="J1363">
    <cfRule type="cellIs" operator="equal" dxfId="4023" priority="4023">
      <formula>"R$"</formula>
    </cfRule>
  </conditionalFormatting>
  <conditionalFormatting sqref="K1363">
    <cfRule type="cellIs" operator="equal" dxfId="4024" priority="4024">
      <formula>"Com impostos"</formula>
    </cfRule>
  </conditionalFormatting>
  <conditionalFormatting sqref="V1363">
    <cfRule type="cellIs" operator="equal" dxfId="4025" priority="4025">
      <formula>"Mercado Envios grátis"</formula>
    </cfRule>
  </conditionalFormatting>
  <conditionalFormatting sqref="W1363">
    <cfRule type="cellIs" operator="equal" dxfId="4026" priority="4026">
      <formula>"Premium"</formula>
    </cfRule>
  </conditionalFormatting>
  <conditionalFormatting sqref="J1364">
    <cfRule type="cellIs" operator="equal" dxfId="4027" priority="4027">
      <formula>"R$"</formula>
    </cfRule>
  </conditionalFormatting>
  <conditionalFormatting sqref="K1364">
    <cfRule type="cellIs" operator="equal" dxfId="4028" priority="4028">
      <formula>"Com impostos"</formula>
    </cfRule>
  </conditionalFormatting>
  <conditionalFormatting sqref="V1364">
    <cfRule type="cellIs" operator="equal" dxfId="4029" priority="4029">
      <formula>"Mercado Envios grátis"</formula>
    </cfRule>
  </conditionalFormatting>
  <conditionalFormatting sqref="W1364">
    <cfRule type="cellIs" operator="equal" dxfId="4030" priority="4030">
      <formula>"Clássico"</formula>
    </cfRule>
  </conditionalFormatting>
  <conditionalFormatting sqref="J1365">
    <cfRule type="cellIs" operator="equal" dxfId="4031" priority="4031">
      <formula>"R$"</formula>
    </cfRule>
  </conditionalFormatting>
  <conditionalFormatting sqref="K1365">
    <cfRule type="cellIs" operator="equal" dxfId="4032" priority="4032">
      <formula>"Com impostos"</formula>
    </cfRule>
  </conditionalFormatting>
  <conditionalFormatting sqref="V1365">
    <cfRule type="cellIs" operator="equal" dxfId="4033" priority="4033">
      <formula>"Mercado Envios grátis"</formula>
    </cfRule>
  </conditionalFormatting>
  <conditionalFormatting sqref="W1365">
    <cfRule type="cellIs" operator="equal" dxfId="4034" priority="4034">
      <formula>"Premium"</formula>
    </cfRule>
  </conditionalFormatting>
  <conditionalFormatting sqref="J1366">
    <cfRule type="cellIs" operator="equal" dxfId="4035" priority="4035">
      <formula>"R$"</formula>
    </cfRule>
  </conditionalFormatting>
  <conditionalFormatting sqref="K1366">
    <cfRule type="cellIs" operator="equal" dxfId="4036" priority="4036">
      <formula>"Com impostos"</formula>
    </cfRule>
  </conditionalFormatting>
  <conditionalFormatting sqref="V1366">
    <cfRule type="cellIs" operator="equal" dxfId="4037" priority="4037">
      <formula>"Mercado Envios grátis"</formula>
    </cfRule>
  </conditionalFormatting>
  <conditionalFormatting sqref="W1366">
    <cfRule type="cellIs" operator="equal" dxfId="4038" priority="4038">
      <formula>"Clássico"</formula>
    </cfRule>
  </conditionalFormatting>
  <conditionalFormatting sqref="J1367">
    <cfRule type="cellIs" operator="equal" dxfId="4039" priority="4039">
      <formula>"R$"</formula>
    </cfRule>
  </conditionalFormatting>
  <conditionalFormatting sqref="K1367">
    <cfRule type="cellIs" operator="equal" dxfId="4040" priority="4040">
      <formula>"Com impostos"</formula>
    </cfRule>
  </conditionalFormatting>
  <conditionalFormatting sqref="V1367">
    <cfRule type="cellIs" operator="equal" dxfId="4041" priority="4041">
      <formula>"Mercado Envios grátis"</formula>
    </cfRule>
  </conditionalFormatting>
  <conditionalFormatting sqref="W1367">
    <cfRule type="cellIs" operator="equal" dxfId="4042" priority="4042">
      <formula>"Clássico"</formula>
    </cfRule>
  </conditionalFormatting>
  <conditionalFormatting sqref="J1368">
    <cfRule type="cellIs" operator="equal" dxfId="4043" priority="4043">
      <formula>"R$"</formula>
    </cfRule>
  </conditionalFormatting>
  <conditionalFormatting sqref="K1368">
    <cfRule type="cellIs" operator="equal" dxfId="4044" priority="4044">
      <formula>"Com impostos"</formula>
    </cfRule>
  </conditionalFormatting>
  <conditionalFormatting sqref="V1368">
    <cfRule type="cellIs" operator="equal" dxfId="4045" priority="4045">
      <formula>"Mercado Envios grátis"</formula>
    </cfRule>
  </conditionalFormatting>
  <conditionalFormatting sqref="W1368">
    <cfRule type="cellIs" operator="equal" dxfId="4046" priority="4046">
      <formula>"Clássico"</formula>
    </cfRule>
  </conditionalFormatting>
  <conditionalFormatting sqref="J1369">
    <cfRule type="cellIs" operator="equal" dxfId="4047" priority="4047">
      <formula>"R$"</formula>
    </cfRule>
  </conditionalFormatting>
  <conditionalFormatting sqref="K1369">
    <cfRule type="cellIs" operator="equal" dxfId="4048" priority="4048">
      <formula>"Com impostos"</formula>
    </cfRule>
  </conditionalFormatting>
  <conditionalFormatting sqref="V1369">
    <cfRule type="cellIs" operator="equal" dxfId="4049" priority="4049">
      <formula>"Mercado Envios grátis"</formula>
    </cfRule>
  </conditionalFormatting>
  <conditionalFormatting sqref="W1369">
    <cfRule type="cellIs" operator="equal" dxfId="4050" priority="4050">
      <formula>"Premium"</formula>
    </cfRule>
  </conditionalFormatting>
  <conditionalFormatting sqref="J1370">
    <cfRule type="cellIs" operator="equal" dxfId="4051" priority="4051">
      <formula>"R$"</formula>
    </cfRule>
  </conditionalFormatting>
  <conditionalFormatting sqref="K1370">
    <cfRule type="cellIs" operator="equal" dxfId="4052" priority="4052">
      <formula>"Com impostos"</formula>
    </cfRule>
  </conditionalFormatting>
  <conditionalFormatting sqref="V1370">
    <cfRule type="cellIs" operator="equal" dxfId="4053" priority="4053">
      <formula>"Mercado Envios por conta do comprador"</formula>
    </cfRule>
  </conditionalFormatting>
  <conditionalFormatting sqref="W1370">
    <cfRule type="cellIs" operator="equal" dxfId="4054" priority="4054">
      <formula>"Clássico"</formula>
    </cfRule>
  </conditionalFormatting>
  <conditionalFormatting sqref="J1371">
    <cfRule type="cellIs" operator="equal" dxfId="4055" priority="4055">
      <formula>"R$"</formula>
    </cfRule>
  </conditionalFormatting>
  <conditionalFormatting sqref="K1371">
    <cfRule type="cellIs" operator="equal" dxfId="4056" priority="4056">
      <formula>"Com impostos"</formula>
    </cfRule>
  </conditionalFormatting>
  <conditionalFormatting sqref="V1371">
    <cfRule type="cellIs" operator="equal" dxfId="4057" priority="4057">
      <formula>"Mercado Envios grátis"</formula>
    </cfRule>
  </conditionalFormatting>
  <conditionalFormatting sqref="W1371">
    <cfRule type="cellIs" operator="equal" dxfId="4058" priority="4058">
      <formula>"Premium"</formula>
    </cfRule>
  </conditionalFormatting>
  <conditionalFormatting sqref="J1372">
    <cfRule type="cellIs" operator="equal" dxfId="4059" priority="4059">
      <formula>"R$"</formula>
    </cfRule>
  </conditionalFormatting>
  <conditionalFormatting sqref="K1372">
    <cfRule type="cellIs" operator="equal" dxfId="4060" priority="4060">
      <formula>"Com impostos"</formula>
    </cfRule>
  </conditionalFormatting>
  <conditionalFormatting sqref="V1372">
    <cfRule type="cellIs" operator="equal" dxfId="4061" priority="4061">
      <formula>"Mercado Envios grátis"</formula>
    </cfRule>
  </conditionalFormatting>
  <conditionalFormatting sqref="W1372">
    <cfRule type="cellIs" operator="equal" dxfId="4062" priority="4062">
      <formula>"Premium"</formula>
    </cfRule>
  </conditionalFormatting>
  <conditionalFormatting sqref="J1373">
    <cfRule type="cellIs" operator="equal" dxfId="4063" priority="4063">
      <formula>"R$"</formula>
    </cfRule>
  </conditionalFormatting>
  <conditionalFormatting sqref="K1373">
    <cfRule type="cellIs" operator="equal" dxfId="4064" priority="4064">
      <formula>"Com impostos"</formula>
    </cfRule>
  </conditionalFormatting>
  <conditionalFormatting sqref="V1373">
    <cfRule type="cellIs" operator="equal" dxfId="4065" priority="4065">
      <formula>"Mercado Envios grátis"</formula>
    </cfRule>
  </conditionalFormatting>
  <conditionalFormatting sqref="W1373">
    <cfRule type="cellIs" operator="equal" dxfId="4066" priority="4066">
      <formula>"Premium"</formula>
    </cfRule>
  </conditionalFormatting>
  <conditionalFormatting sqref="J1374">
    <cfRule type="cellIs" operator="equal" dxfId="4067" priority="4067">
      <formula>"R$"</formula>
    </cfRule>
  </conditionalFormatting>
  <conditionalFormatting sqref="K1374">
    <cfRule type="cellIs" operator="equal" dxfId="4068" priority="4068">
      <formula>"Com impostos"</formula>
    </cfRule>
  </conditionalFormatting>
  <conditionalFormatting sqref="V1374">
    <cfRule type="cellIs" operator="equal" dxfId="4069" priority="4069">
      <formula>"Mercado Envios grátis"</formula>
    </cfRule>
  </conditionalFormatting>
  <conditionalFormatting sqref="W1374">
    <cfRule type="cellIs" operator="equal" dxfId="4070" priority="4070">
      <formula>"Clássico"</formula>
    </cfRule>
  </conditionalFormatting>
  <conditionalFormatting sqref="J1375">
    <cfRule type="cellIs" operator="equal" dxfId="4071" priority="4071">
      <formula>"R$"</formula>
    </cfRule>
  </conditionalFormatting>
  <conditionalFormatting sqref="K1375">
    <cfRule type="cellIs" operator="equal" dxfId="4072" priority="4072">
      <formula>"Com impostos"</formula>
    </cfRule>
  </conditionalFormatting>
  <conditionalFormatting sqref="V1375">
    <cfRule type="cellIs" operator="equal" dxfId="4073" priority="4073">
      <formula>"Mercado Envios grátis"</formula>
    </cfRule>
  </conditionalFormatting>
  <conditionalFormatting sqref="W1375">
    <cfRule type="cellIs" operator="equal" dxfId="4074" priority="4074">
      <formula>"Premium"</formula>
    </cfRule>
  </conditionalFormatting>
  <conditionalFormatting sqref="J1376">
    <cfRule type="cellIs" operator="equal" dxfId="4075" priority="4075">
      <formula>"R$"</formula>
    </cfRule>
  </conditionalFormatting>
  <conditionalFormatting sqref="K1376">
    <cfRule type="cellIs" operator="equal" dxfId="4076" priority="4076">
      <formula>"Com impostos"</formula>
    </cfRule>
  </conditionalFormatting>
  <conditionalFormatting sqref="V1376">
    <cfRule type="cellIs" operator="equal" dxfId="4077" priority="4077">
      <formula>"Mercado Envios por conta do comprador"</formula>
    </cfRule>
  </conditionalFormatting>
  <conditionalFormatting sqref="W1376">
    <cfRule type="cellIs" operator="equal" dxfId="4078" priority="4078">
      <formula>"Clássico"</formula>
    </cfRule>
  </conditionalFormatting>
  <conditionalFormatting sqref="J1377">
    <cfRule type="cellIs" operator="equal" dxfId="4079" priority="4079">
      <formula>"R$"</formula>
    </cfRule>
  </conditionalFormatting>
  <conditionalFormatting sqref="K1377">
    <cfRule type="cellIs" operator="equal" dxfId="4080" priority="4080">
      <formula>"Com impostos"</formula>
    </cfRule>
  </conditionalFormatting>
  <conditionalFormatting sqref="V1377">
    <cfRule type="cellIs" operator="equal" dxfId="4081" priority="4081">
      <formula>"Mercado Envios grátis"</formula>
    </cfRule>
  </conditionalFormatting>
  <conditionalFormatting sqref="W1377">
    <cfRule type="cellIs" operator="equal" dxfId="4082" priority="4082">
      <formula>"Premium"</formula>
    </cfRule>
  </conditionalFormatting>
  <conditionalFormatting sqref="J1378">
    <cfRule type="cellIs" operator="equal" dxfId="4083" priority="4083">
      <formula>"R$"</formula>
    </cfRule>
  </conditionalFormatting>
  <conditionalFormatting sqref="K1378">
    <cfRule type="cellIs" operator="equal" dxfId="4084" priority="4084">
      <formula>"Com impostos"</formula>
    </cfRule>
  </conditionalFormatting>
  <conditionalFormatting sqref="V1378">
    <cfRule type="cellIs" operator="equal" dxfId="4085" priority="4085">
      <formula>"Mercado Envios por conta do comprador"</formula>
    </cfRule>
  </conditionalFormatting>
  <conditionalFormatting sqref="W1378">
    <cfRule type="cellIs" operator="equal" dxfId="4086" priority="4086">
      <formula>"Clássico"</formula>
    </cfRule>
  </conditionalFormatting>
  <conditionalFormatting sqref="J1379">
    <cfRule type="cellIs" operator="equal" dxfId="4087" priority="4087">
      <formula>"R$"</formula>
    </cfRule>
  </conditionalFormatting>
  <conditionalFormatting sqref="V1379">
    <cfRule type="cellIs" operator="equal" dxfId="4088" priority="4088">
      <formula>"Mercado Envios grátis"</formula>
    </cfRule>
  </conditionalFormatting>
  <conditionalFormatting sqref="W1379">
    <cfRule type="cellIs" operator="equal" dxfId="4089" priority="4089">
      <formula>"Premium"</formula>
    </cfRule>
  </conditionalFormatting>
  <conditionalFormatting sqref="J1382">
    <cfRule type="cellIs" operator="equal" dxfId="4090" priority="4090">
      <formula>"R$"</formula>
    </cfRule>
  </conditionalFormatting>
  <conditionalFormatting sqref="K1382">
    <cfRule type="cellIs" operator="equal" dxfId="4091" priority="4091">
      <formula>"Com impostos"</formula>
    </cfRule>
  </conditionalFormatting>
  <conditionalFormatting sqref="V1382">
    <cfRule type="cellIs" operator="equal" dxfId="4092" priority="4092">
      <formula>"Mercado Envios grátis"</formula>
    </cfRule>
  </conditionalFormatting>
  <conditionalFormatting sqref="W1382">
    <cfRule type="cellIs" operator="equal" dxfId="4093" priority="4093">
      <formula>"Clássico"</formula>
    </cfRule>
  </conditionalFormatting>
  <conditionalFormatting sqref="J1383">
    <cfRule type="cellIs" operator="equal" dxfId="4094" priority="4094">
      <formula>"R$"</formula>
    </cfRule>
  </conditionalFormatting>
  <conditionalFormatting sqref="K1383">
    <cfRule type="cellIs" operator="equal" dxfId="4095" priority="4095">
      <formula>"Com impostos"</formula>
    </cfRule>
  </conditionalFormatting>
  <conditionalFormatting sqref="V1383">
    <cfRule type="cellIs" operator="equal" dxfId="4096" priority="4096">
      <formula>"Mercado Envios grátis"</formula>
    </cfRule>
  </conditionalFormatting>
  <conditionalFormatting sqref="W1383">
    <cfRule type="cellIs" operator="equal" dxfId="4097" priority="4097">
      <formula>"Premium"</formula>
    </cfRule>
  </conditionalFormatting>
  <conditionalFormatting sqref="J1384">
    <cfRule type="cellIs" operator="equal" dxfId="4098" priority="4098">
      <formula>"R$"</formula>
    </cfRule>
  </conditionalFormatting>
  <conditionalFormatting sqref="K1384">
    <cfRule type="cellIs" operator="equal" dxfId="4099" priority="4099">
      <formula>"Com impostos"</formula>
    </cfRule>
  </conditionalFormatting>
  <conditionalFormatting sqref="V1384">
    <cfRule type="cellIs" operator="equal" dxfId="4100" priority="4100">
      <formula>"Mercado Envios grátis"</formula>
    </cfRule>
  </conditionalFormatting>
  <conditionalFormatting sqref="W1384">
    <cfRule type="cellIs" operator="equal" dxfId="4101" priority="4101">
      <formula>"Premium"</formula>
    </cfRule>
  </conditionalFormatting>
  <conditionalFormatting sqref="J1385">
    <cfRule type="cellIs" operator="equal" dxfId="4102" priority="4102">
      <formula>"R$"</formula>
    </cfRule>
  </conditionalFormatting>
  <conditionalFormatting sqref="K1385">
    <cfRule type="cellIs" operator="equal" dxfId="4103" priority="4103">
      <formula>"Com impostos"</formula>
    </cfRule>
  </conditionalFormatting>
  <conditionalFormatting sqref="V1385">
    <cfRule type="cellIs" operator="equal" dxfId="4104" priority="4104">
      <formula>"Mercado Envios grátis"</formula>
    </cfRule>
  </conditionalFormatting>
  <conditionalFormatting sqref="W1385">
    <cfRule type="cellIs" operator="equal" dxfId="4105" priority="4105">
      <formula>"Clássico"</formula>
    </cfRule>
  </conditionalFormatting>
  <conditionalFormatting sqref="J1386">
    <cfRule type="cellIs" operator="equal" dxfId="4106" priority="4106">
      <formula>"R$"</formula>
    </cfRule>
  </conditionalFormatting>
  <conditionalFormatting sqref="V1386">
    <cfRule type="cellIs" operator="equal" dxfId="4107" priority="4107">
      <formula>"Mercado Envios por conta do comprador"</formula>
    </cfRule>
  </conditionalFormatting>
  <conditionalFormatting sqref="W1386">
    <cfRule type="cellIs" operator="equal" dxfId="4108" priority="4108">
      <formula>"Clássico"</formula>
    </cfRule>
  </conditionalFormatting>
  <conditionalFormatting sqref="J1387">
    <cfRule type="cellIs" operator="equal" dxfId="4109" priority="4109">
      <formula>"R$"</formula>
    </cfRule>
  </conditionalFormatting>
  <conditionalFormatting sqref="K1387">
    <cfRule type="cellIs" operator="equal" dxfId="4110" priority="4110">
      <formula>"Com impostos"</formula>
    </cfRule>
  </conditionalFormatting>
  <conditionalFormatting sqref="V1387">
    <cfRule type="cellIs" operator="equal" dxfId="4111" priority="4111">
      <formula>"Mercado Envios grátis"</formula>
    </cfRule>
  </conditionalFormatting>
  <conditionalFormatting sqref="W1387">
    <cfRule type="cellIs" operator="equal" dxfId="4112" priority="4112">
      <formula>"Premium"</formula>
    </cfRule>
  </conditionalFormatting>
  <conditionalFormatting sqref="J1388">
    <cfRule type="cellIs" operator="equal" dxfId="4113" priority="4113">
      <formula>"R$"</formula>
    </cfRule>
  </conditionalFormatting>
  <conditionalFormatting sqref="K1388">
    <cfRule type="cellIs" operator="equal" dxfId="4114" priority="4114">
      <formula>"Com impostos"</formula>
    </cfRule>
  </conditionalFormatting>
  <conditionalFormatting sqref="V1388">
    <cfRule type="cellIs" operator="equal" dxfId="4115" priority="4115">
      <formula>"Mercado Envios grátis"</formula>
    </cfRule>
  </conditionalFormatting>
  <conditionalFormatting sqref="W1388">
    <cfRule type="cellIs" operator="equal" dxfId="4116" priority="4116">
      <formula>"Clássico"</formula>
    </cfRule>
  </conditionalFormatting>
  <conditionalFormatting sqref="J1389">
    <cfRule type="cellIs" operator="equal" dxfId="4117" priority="4117">
      <formula>"R$"</formula>
    </cfRule>
  </conditionalFormatting>
  <conditionalFormatting sqref="K1389">
    <cfRule type="cellIs" operator="equal" dxfId="4118" priority="4118">
      <formula>"Com impostos"</formula>
    </cfRule>
  </conditionalFormatting>
  <conditionalFormatting sqref="V1389">
    <cfRule type="cellIs" operator="equal" dxfId="4119" priority="4119">
      <formula>"Mercado Envios grátis"</formula>
    </cfRule>
  </conditionalFormatting>
  <conditionalFormatting sqref="W1389">
    <cfRule type="cellIs" operator="equal" dxfId="4120" priority="4120">
      <formula>"Premium"</formula>
    </cfRule>
  </conditionalFormatting>
  <conditionalFormatting sqref="J1390">
    <cfRule type="cellIs" operator="equal" dxfId="4121" priority="4121">
      <formula>"R$"</formula>
    </cfRule>
  </conditionalFormatting>
  <conditionalFormatting sqref="K1390">
    <cfRule type="cellIs" operator="equal" dxfId="4122" priority="4122">
      <formula>"Com impostos"</formula>
    </cfRule>
  </conditionalFormatting>
  <conditionalFormatting sqref="V1390">
    <cfRule type="cellIs" operator="equal" dxfId="4123" priority="4123">
      <formula>"Mercado Envios grátis"</formula>
    </cfRule>
  </conditionalFormatting>
  <conditionalFormatting sqref="W1390">
    <cfRule type="cellIs" operator="equal" dxfId="4124" priority="4124">
      <formula>"Premium"</formula>
    </cfRule>
  </conditionalFormatting>
  <conditionalFormatting sqref="J1391">
    <cfRule type="cellIs" operator="equal" dxfId="4125" priority="4125">
      <formula>"R$"</formula>
    </cfRule>
  </conditionalFormatting>
  <conditionalFormatting sqref="K1391">
    <cfRule type="cellIs" operator="equal" dxfId="4126" priority="4126">
      <formula>"Com impostos"</formula>
    </cfRule>
  </conditionalFormatting>
  <conditionalFormatting sqref="V1391">
    <cfRule type="cellIs" operator="equal" dxfId="4127" priority="4127">
      <formula>"Mercado Envios por conta do comprador"</formula>
    </cfRule>
  </conditionalFormatting>
  <conditionalFormatting sqref="W1391">
    <cfRule type="cellIs" operator="equal" dxfId="4128" priority="4128">
      <formula>"Clássico"</formula>
    </cfRule>
  </conditionalFormatting>
  <conditionalFormatting sqref="J1392">
    <cfRule type="cellIs" operator="equal" dxfId="4129" priority="4129">
      <formula>"R$"</formula>
    </cfRule>
  </conditionalFormatting>
  <conditionalFormatting sqref="K1392">
    <cfRule type="cellIs" operator="equal" dxfId="4130" priority="4130">
      <formula>"Com impostos"</formula>
    </cfRule>
  </conditionalFormatting>
  <conditionalFormatting sqref="V1392">
    <cfRule type="cellIs" operator="equal" dxfId="4131" priority="4131">
      <formula>"Mercado Envios por conta do comprador"</formula>
    </cfRule>
  </conditionalFormatting>
  <conditionalFormatting sqref="W1392">
    <cfRule type="cellIs" operator="equal" dxfId="4132" priority="4132">
      <formula>"Clássico"</formula>
    </cfRule>
  </conditionalFormatting>
  <conditionalFormatting sqref="J1393">
    <cfRule type="cellIs" operator="equal" dxfId="4133" priority="4133">
      <formula>"R$"</formula>
    </cfRule>
  </conditionalFormatting>
  <conditionalFormatting sqref="K1393">
    <cfRule type="cellIs" operator="equal" dxfId="4134" priority="4134">
      <formula>"Com impostos"</formula>
    </cfRule>
  </conditionalFormatting>
  <conditionalFormatting sqref="V1393">
    <cfRule type="cellIs" operator="equal" dxfId="4135" priority="4135">
      <formula>"Mercado Envios grátis"</formula>
    </cfRule>
  </conditionalFormatting>
  <conditionalFormatting sqref="W1393">
    <cfRule type="cellIs" operator="equal" dxfId="4136" priority="4136">
      <formula>"Clássico"</formula>
    </cfRule>
  </conditionalFormatting>
  <conditionalFormatting sqref="J1394">
    <cfRule type="cellIs" operator="equal" dxfId="4137" priority="4137">
      <formula>"R$"</formula>
    </cfRule>
  </conditionalFormatting>
  <conditionalFormatting sqref="K1394">
    <cfRule type="cellIs" operator="equal" dxfId="4138" priority="4138">
      <formula>"Com impostos"</formula>
    </cfRule>
  </conditionalFormatting>
  <conditionalFormatting sqref="V1394">
    <cfRule type="cellIs" operator="equal" dxfId="4139" priority="4139">
      <formula>"Mercado Envios grátis"</formula>
    </cfRule>
  </conditionalFormatting>
  <conditionalFormatting sqref="W1394">
    <cfRule type="cellIs" operator="equal" dxfId="4140" priority="4140">
      <formula>"Premium"</formula>
    </cfRule>
  </conditionalFormatting>
  <conditionalFormatting sqref="J1395">
    <cfRule type="cellIs" operator="equal" dxfId="4141" priority="4141">
      <formula>"R$"</formula>
    </cfRule>
  </conditionalFormatting>
  <conditionalFormatting sqref="K1395">
    <cfRule type="cellIs" operator="equal" dxfId="4142" priority="4142">
      <formula>"Com impostos"</formula>
    </cfRule>
  </conditionalFormatting>
  <conditionalFormatting sqref="V1395">
    <cfRule type="cellIs" operator="equal" dxfId="4143" priority="4143">
      <formula>"Mercado Envios por conta do comprador"</formula>
    </cfRule>
  </conditionalFormatting>
  <conditionalFormatting sqref="W1395">
    <cfRule type="cellIs" operator="equal" dxfId="4144" priority="4144">
      <formula>"Clássico"</formula>
    </cfRule>
  </conditionalFormatting>
  <conditionalFormatting sqref="J1396">
    <cfRule type="cellIs" operator="equal" dxfId="4145" priority="4145">
      <formula>"R$"</formula>
    </cfRule>
  </conditionalFormatting>
  <conditionalFormatting sqref="K1396">
    <cfRule type="cellIs" operator="equal" dxfId="4146" priority="4146">
      <formula>"Com impostos"</formula>
    </cfRule>
  </conditionalFormatting>
  <conditionalFormatting sqref="V1396">
    <cfRule type="cellIs" operator="equal" dxfId="4147" priority="4147">
      <formula>"Mercado Envios grátis"</formula>
    </cfRule>
  </conditionalFormatting>
  <conditionalFormatting sqref="W1396">
    <cfRule type="cellIs" operator="equal" dxfId="4148" priority="4148">
      <formula>"Clássico"</formula>
    </cfRule>
  </conditionalFormatting>
  <conditionalFormatting sqref="J1397">
    <cfRule type="cellIs" operator="equal" dxfId="4149" priority="4149">
      <formula>"R$"</formula>
    </cfRule>
  </conditionalFormatting>
  <conditionalFormatting sqref="V1397">
    <cfRule type="cellIs" operator="equal" dxfId="4150" priority="4150">
      <formula>"Mercado Envios por conta do comprador"</formula>
    </cfRule>
  </conditionalFormatting>
  <conditionalFormatting sqref="W1397">
    <cfRule type="cellIs" operator="equal" dxfId="4151" priority="4151">
      <formula>"Clássico"</formula>
    </cfRule>
  </conditionalFormatting>
  <conditionalFormatting sqref="J1398">
    <cfRule type="cellIs" operator="equal" dxfId="4152" priority="4152">
      <formula>"R$"</formula>
    </cfRule>
  </conditionalFormatting>
  <conditionalFormatting sqref="K1398">
    <cfRule type="cellIs" operator="equal" dxfId="4153" priority="4153">
      <formula>"Com impostos"</formula>
    </cfRule>
  </conditionalFormatting>
  <conditionalFormatting sqref="V1398">
    <cfRule type="cellIs" operator="equal" dxfId="4154" priority="4154">
      <formula>"Mercado Envios grátis"</formula>
    </cfRule>
  </conditionalFormatting>
  <conditionalFormatting sqref="W1398">
    <cfRule type="cellIs" operator="equal" dxfId="4155" priority="4155">
      <formula>"Premium"</formula>
    </cfRule>
  </conditionalFormatting>
  <conditionalFormatting sqref="J1399">
    <cfRule type="cellIs" operator="equal" dxfId="4156" priority="4156">
      <formula>"R$"</formula>
    </cfRule>
  </conditionalFormatting>
  <conditionalFormatting sqref="K1399">
    <cfRule type="cellIs" operator="equal" dxfId="4157" priority="4157">
      <formula>"Com impostos"</formula>
    </cfRule>
  </conditionalFormatting>
  <conditionalFormatting sqref="V1399">
    <cfRule type="cellIs" operator="equal" dxfId="4158" priority="4158">
      <formula>"Mercado Envios por conta do comprador"</formula>
    </cfRule>
  </conditionalFormatting>
  <conditionalFormatting sqref="W1399">
    <cfRule type="cellIs" operator="equal" dxfId="4159" priority="4159">
      <formula>"Clássico"</formula>
    </cfRule>
  </conditionalFormatting>
  <conditionalFormatting sqref="J1400">
    <cfRule type="cellIs" operator="equal" dxfId="4160" priority="4160">
      <formula>"R$"</formula>
    </cfRule>
  </conditionalFormatting>
  <conditionalFormatting sqref="K1400">
    <cfRule type="cellIs" operator="equal" dxfId="4161" priority="4161">
      <formula>"Com impostos"</formula>
    </cfRule>
  </conditionalFormatting>
  <conditionalFormatting sqref="V1400">
    <cfRule type="cellIs" operator="equal" dxfId="4162" priority="4162">
      <formula>"Mercado Envios por conta do comprador"</formula>
    </cfRule>
  </conditionalFormatting>
  <conditionalFormatting sqref="W1400">
    <cfRule type="cellIs" operator="equal" dxfId="4163" priority="4163">
      <formula>"Clássico"</formula>
    </cfRule>
  </conditionalFormatting>
  <conditionalFormatting sqref="J1401">
    <cfRule type="cellIs" operator="equal" dxfId="4164" priority="4164">
      <formula>"R$"</formula>
    </cfRule>
  </conditionalFormatting>
  <conditionalFormatting sqref="K1401">
    <cfRule type="cellIs" operator="equal" dxfId="4165" priority="4165">
      <formula>"Com impostos"</formula>
    </cfRule>
  </conditionalFormatting>
  <conditionalFormatting sqref="V1401">
    <cfRule type="cellIs" operator="equal" dxfId="4166" priority="4166">
      <formula>"Mercado Envios grátis"</formula>
    </cfRule>
  </conditionalFormatting>
  <conditionalFormatting sqref="W1401">
    <cfRule type="cellIs" operator="equal" dxfId="4167" priority="4167">
      <formula>"Clássico"</formula>
    </cfRule>
  </conditionalFormatting>
  <conditionalFormatting sqref="J1402">
    <cfRule type="cellIs" operator="equal" dxfId="4168" priority="4168">
      <formula>"R$"</formula>
    </cfRule>
  </conditionalFormatting>
  <conditionalFormatting sqref="K1402">
    <cfRule type="cellIs" operator="equal" dxfId="4169" priority="4169">
      <formula>"Com impostos"</formula>
    </cfRule>
  </conditionalFormatting>
  <conditionalFormatting sqref="V1402">
    <cfRule type="cellIs" operator="equal" dxfId="4170" priority="4170">
      <formula>"Mercado Envios grátis"</formula>
    </cfRule>
  </conditionalFormatting>
  <conditionalFormatting sqref="W1402">
    <cfRule type="cellIs" operator="equal" dxfId="4171" priority="4171">
      <formula>"Clássico"</formula>
    </cfRule>
  </conditionalFormatting>
  <conditionalFormatting sqref="J1403">
    <cfRule type="cellIs" operator="equal" dxfId="4172" priority="4172">
      <formula>"R$"</formula>
    </cfRule>
  </conditionalFormatting>
  <conditionalFormatting sqref="K1403">
    <cfRule type="cellIs" operator="equal" dxfId="4173" priority="4173">
      <formula>"Com impostos"</formula>
    </cfRule>
  </conditionalFormatting>
  <conditionalFormatting sqref="V1403">
    <cfRule type="cellIs" operator="equal" dxfId="4174" priority="4174">
      <formula>"Mercado Envios por conta do comprador"</formula>
    </cfRule>
  </conditionalFormatting>
  <conditionalFormatting sqref="W1403">
    <cfRule type="cellIs" operator="equal" dxfId="4175" priority="4175">
      <formula>"Premium"</formula>
    </cfRule>
  </conditionalFormatting>
  <conditionalFormatting sqref="J1404">
    <cfRule type="cellIs" operator="equal" dxfId="4176" priority="4176">
      <formula>"R$"</formula>
    </cfRule>
  </conditionalFormatting>
  <conditionalFormatting sqref="K1404">
    <cfRule type="cellIs" operator="equal" dxfId="4177" priority="4177">
      <formula>"Com impostos"</formula>
    </cfRule>
  </conditionalFormatting>
  <conditionalFormatting sqref="V1404">
    <cfRule type="cellIs" operator="equal" dxfId="4178" priority="4178">
      <formula>"Mercado Envios grátis"</formula>
    </cfRule>
  </conditionalFormatting>
  <conditionalFormatting sqref="W1404">
    <cfRule type="cellIs" operator="equal" dxfId="4179" priority="4179">
      <formula>"Clássico"</formula>
    </cfRule>
  </conditionalFormatting>
  <conditionalFormatting sqref="J1405">
    <cfRule type="cellIs" operator="equal" dxfId="4180" priority="4180">
      <formula>"R$"</formula>
    </cfRule>
  </conditionalFormatting>
  <conditionalFormatting sqref="K1405">
    <cfRule type="cellIs" operator="equal" dxfId="4181" priority="4181">
      <formula>"Com impostos"</formula>
    </cfRule>
  </conditionalFormatting>
  <conditionalFormatting sqref="V1405">
    <cfRule type="cellIs" operator="equal" dxfId="4182" priority="4182">
      <formula>"Mercado Envios grátis"</formula>
    </cfRule>
  </conditionalFormatting>
  <conditionalFormatting sqref="W1405">
    <cfRule type="cellIs" operator="equal" dxfId="4183" priority="4183">
      <formula>"Clássico"</formula>
    </cfRule>
  </conditionalFormatting>
  <conditionalFormatting sqref="J1406">
    <cfRule type="cellIs" operator="equal" dxfId="4184" priority="4184">
      <formula>"R$"</formula>
    </cfRule>
  </conditionalFormatting>
  <conditionalFormatting sqref="K1406">
    <cfRule type="cellIs" operator="equal" dxfId="4185" priority="4185">
      <formula>"Com impostos"</formula>
    </cfRule>
  </conditionalFormatting>
  <conditionalFormatting sqref="V1406">
    <cfRule type="cellIs" operator="equal" dxfId="4186" priority="4186">
      <formula>"Mercado Envios grátis"</formula>
    </cfRule>
  </conditionalFormatting>
  <conditionalFormatting sqref="W1406">
    <cfRule type="cellIs" operator="equal" dxfId="4187" priority="4187">
      <formula>"Clássico"</formula>
    </cfRule>
  </conditionalFormatting>
  <conditionalFormatting sqref="J1407">
    <cfRule type="cellIs" operator="equal" dxfId="4188" priority="4188">
      <formula>"R$"</formula>
    </cfRule>
  </conditionalFormatting>
  <conditionalFormatting sqref="K1407">
    <cfRule type="cellIs" operator="equal" dxfId="4189" priority="4189">
      <formula>"Com impostos"</formula>
    </cfRule>
  </conditionalFormatting>
  <conditionalFormatting sqref="V1407">
    <cfRule type="cellIs" operator="equal" dxfId="4190" priority="4190">
      <formula>"Mercado Envios por conta do comprador"</formula>
    </cfRule>
  </conditionalFormatting>
  <conditionalFormatting sqref="W1407">
    <cfRule type="cellIs" operator="equal" dxfId="4191" priority="4191">
      <formula>"Premium"</formula>
    </cfRule>
  </conditionalFormatting>
  <conditionalFormatting sqref="J1408">
    <cfRule type="cellIs" operator="equal" dxfId="4192" priority="4192">
      <formula>"R$"</formula>
    </cfRule>
  </conditionalFormatting>
  <conditionalFormatting sqref="K1408">
    <cfRule type="cellIs" operator="equal" dxfId="4193" priority="4193">
      <formula>"Com impostos"</formula>
    </cfRule>
  </conditionalFormatting>
  <conditionalFormatting sqref="V1408">
    <cfRule type="cellIs" operator="equal" dxfId="4194" priority="4194">
      <formula>"Mercado Envios grátis"</formula>
    </cfRule>
  </conditionalFormatting>
  <conditionalFormatting sqref="W1408">
    <cfRule type="cellIs" operator="equal" dxfId="4195" priority="4195">
      <formula>"Clássico"</formula>
    </cfRule>
  </conditionalFormatting>
  <conditionalFormatting sqref="J1409">
    <cfRule type="cellIs" operator="equal" dxfId="4196" priority="4196">
      <formula>"R$"</formula>
    </cfRule>
  </conditionalFormatting>
  <conditionalFormatting sqref="K1409">
    <cfRule type="cellIs" operator="equal" dxfId="4197" priority="4197">
      <formula>"Com impostos"</formula>
    </cfRule>
  </conditionalFormatting>
  <conditionalFormatting sqref="V1409">
    <cfRule type="cellIs" operator="equal" dxfId="4198" priority="4198">
      <formula>"Mercado Envios grátis"</formula>
    </cfRule>
  </conditionalFormatting>
  <conditionalFormatting sqref="W1409">
    <cfRule type="cellIs" operator="equal" dxfId="4199" priority="4199">
      <formula>"Clássico"</formula>
    </cfRule>
  </conditionalFormatting>
  <conditionalFormatting sqref="J1410">
    <cfRule type="cellIs" operator="equal" dxfId="4200" priority="4200">
      <formula>"R$"</formula>
    </cfRule>
  </conditionalFormatting>
  <conditionalFormatting sqref="K1410">
    <cfRule type="cellIs" operator="equal" dxfId="4201" priority="4201">
      <formula>"Com impostos"</formula>
    </cfRule>
  </conditionalFormatting>
  <conditionalFormatting sqref="V1410">
    <cfRule type="cellIs" operator="equal" dxfId="4202" priority="4202">
      <formula>"Mercado Envios grátis"</formula>
    </cfRule>
  </conditionalFormatting>
  <conditionalFormatting sqref="W1410">
    <cfRule type="cellIs" operator="equal" dxfId="4203" priority="4203">
      <formula>"Premium"</formula>
    </cfRule>
  </conditionalFormatting>
  <conditionalFormatting sqref="J1411">
    <cfRule type="cellIs" operator="equal" dxfId="4204" priority="4204">
      <formula>"R$"</formula>
    </cfRule>
  </conditionalFormatting>
  <conditionalFormatting sqref="V1411">
    <cfRule type="cellIs" operator="equal" dxfId="4205" priority="4205">
      <formula>"Mercado Envios grátis"</formula>
    </cfRule>
  </conditionalFormatting>
  <conditionalFormatting sqref="W1411">
    <cfRule type="cellIs" operator="equal" dxfId="4206" priority="4206">
      <formula>"Clássico"</formula>
    </cfRule>
  </conditionalFormatting>
  <conditionalFormatting sqref="J1412">
    <cfRule type="cellIs" operator="equal" dxfId="4207" priority="4207">
      <formula>"R$"</formula>
    </cfRule>
  </conditionalFormatting>
  <conditionalFormatting sqref="V1412">
    <cfRule type="cellIs" operator="equal" dxfId="4208" priority="4208">
      <formula>"Mercado Envios grátis"</formula>
    </cfRule>
  </conditionalFormatting>
  <conditionalFormatting sqref="W1412">
    <cfRule type="cellIs" operator="equal" dxfId="4209" priority="4209">
      <formula>"Premium"</formula>
    </cfRule>
  </conditionalFormatting>
  <conditionalFormatting sqref="J1413">
    <cfRule type="cellIs" operator="equal" dxfId="4210" priority="4210">
      <formula>"R$"</formula>
    </cfRule>
  </conditionalFormatting>
  <conditionalFormatting sqref="V1413">
    <cfRule type="cellIs" operator="equal" dxfId="4211" priority="4211">
      <formula>"Mercado Envios por conta do comprador"</formula>
    </cfRule>
  </conditionalFormatting>
  <conditionalFormatting sqref="W1413">
    <cfRule type="cellIs" operator="equal" dxfId="4212" priority="4212">
      <formula>"Clássico"</formula>
    </cfRule>
  </conditionalFormatting>
  <conditionalFormatting sqref="J1414">
    <cfRule type="cellIs" operator="equal" dxfId="4213" priority="4213">
      <formula>"R$"</formula>
    </cfRule>
  </conditionalFormatting>
  <conditionalFormatting sqref="V1414">
    <cfRule type="cellIs" operator="equal" dxfId="4214" priority="4214">
      <formula>"Mercado Envios por conta do comprador"</formula>
    </cfRule>
  </conditionalFormatting>
  <conditionalFormatting sqref="W1414">
    <cfRule type="cellIs" operator="equal" dxfId="4215" priority="4215">
      <formula>"Clássico"</formula>
    </cfRule>
  </conditionalFormatting>
  <conditionalFormatting sqref="J1415">
    <cfRule type="cellIs" operator="equal" dxfId="4216" priority="4216">
      <formula>"R$"</formula>
    </cfRule>
  </conditionalFormatting>
  <conditionalFormatting sqref="K1415">
    <cfRule type="cellIs" operator="equal" dxfId="4217" priority="4217">
      <formula>"Com impostos"</formula>
    </cfRule>
  </conditionalFormatting>
  <conditionalFormatting sqref="V1415">
    <cfRule type="cellIs" operator="equal" dxfId="4218" priority="4218">
      <formula>"Mercado Envios grátis"</formula>
    </cfRule>
  </conditionalFormatting>
  <conditionalFormatting sqref="W1415">
    <cfRule type="cellIs" operator="equal" dxfId="4219" priority="4219">
      <formula>"Premium"</formula>
    </cfRule>
  </conditionalFormatting>
  <conditionalFormatting sqref="J1416">
    <cfRule type="cellIs" operator="equal" dxfId="4220" priority="4220">
      <formula>"R$"</formula>
    </cfRule>
  </conditionalFormatting>
  <conditionalFormatting sqref="K1416">
    <cfRule type="cellIs" operator="equal" dxfId="4221" priority="4221">
      <formula>"Com impostos"</formula>
    </cfRule>
  </conditionalFormatting>
  <conditionalFormatting sqref="V1416">
    <cfRule type="cellIs" operator="equal" dxfId="4222" priority="4222">
      <formula>"Mercado Envios grátis"</formula>
    </cfRule>
  </conditionalFormatting>
  <conditionalFormatting sqref="W1416">
    <cfRule type="cellIs" operator="equal" dxfId="4223" priority="4223">
      <formula>"Premium"</formula>
    </cfRule>
  </conditionalFormatting>
  <conditionalFormatting sqref="J1417">
    <cfRule type="cellIs" operator="equal" dxfId="4224" priority="4224">
      <formula>"R$"</formula>
    </cfRule>
  </conditionalFormatting>
  <conditionalFormatting sqref="K1417">
    <cfRule type="cellIs" operator="equal" dxfId="4225" priority="4225">
      <formula>"Com impostos"</formula>
    </cfRule>
  </conditionalFormatting>
  <conditionalFormatting sqref="V1417">
    <cfRule type="cellIs" operator="equal" dxfId="4226" priority="4226">
      <formula>"Mercado Envios grátis"</formula>
    </cfRule>
  </conditionalFormatting>
  <conditionalFormatting sqref="W1417">
    <cfRule type="cellIs" operator="equal" dxfId="4227" priority="4227">
      <formula>"Premium"</formula>
    </cfRule>
  </conditionalFormatting>
  <conditionalFormatting sqref="J1418">
    <cfRule type="cellIs" operator="equal" dxfId="4228" priority="4228">
      <formula>"R$"</formula>
    </cfRule>
  </conditionalFormatting>
  <conditionalFormatting sqref="K1418">
    <cfRule type="cellIs" operator="equal" dxfId="4229" priority="4229">
      <formula>"Com impostos"</formula>
    </cfRule>
  </conditionalFormatting>
  <conditionalFormatting sqref="V1418">
    <cfRule type="cellIs" operator="equal" dxfId="4230" priority="4230">
      <formula>"Mercado Envios grátis"</formula>
    </cfRule>
  </conditionalFormatting>
  <conditionalFormatting sqref="W1418">
    <cfRule type="cellIs" operator="equal" dxfId="4231" priority="4231">
      <formula>"Premium"</formula>
    </cfRule>
  </conditionalFormatting>
  <conditionalFormatting sqref="J1419">
    <cfRule type="cellIs" operator="equal" dxfId="4232" priority="4232">
      <formula>"R$"</formula>
    </cfRule>
  </conditionalFormatting>
  <conditionalFormatting sqref="K1419">
    <cfRule type="cellIs" operator="equal" dxfId="4233" priority="4233">
      <formula>"Com impostos"</formula>
    </cfRule>
  </conditionalFormatting>
  <conditionalFormatting sqref="V1419">
    <cfRule type="cellIs" operator="equal" dxfId="4234" priority="4234">
      <formula>"Mercado Envios grátis"</formula>
    </cfRule>
  </conditionalFormatting>
  <conditionalFormatting sqref="W1419">
    <cfRule type="cellIs" operator="equal" dxfId="4235" priority="4235">
      <formula>"Premium"</formula>
    </cfRule>
  </conditionalFormatting>
  <conditionalFormatting sqref="J1420">
    <cfRule type="cellIs" operator="equal" dxfId="4236" priority="4236">
      <formula>"R$"</formula>
    </cfRule>
  </conditionalFormatting>
  <conditionalFormatting sqref="K1420">
    <cfRule type="cellIs" operator="equal" dxfId="4237" priority="4237">
      <formula>"Com impostos"</formula>
    </cfRule>
  </conditionalFormatting>
  <conditionalFormatting sqref="V1420">
    <cfRule type="cellIs" operator="equal" dxfId="4238" priority="4238">
      <formula>"Mercado Envios grátis"</formula>
    </cfRule>
  </conditionalFormatting>
  <conditionalFormatting sqref="W1420">
    <cfRule type="cellIs" operator="equal" dxfId="4239" priority="4239">
      <formula>"Premium"</formula>
    </cfRule>
  </conditionalFormatting>
  <dataValidations count="4239">
    <dataValidation type="list" sqref="J6" allowBlank="true" errorStyle="stop" showErrorMessage="true" showInputMessage="true">
      <formula1>"R$"</formula1>
    </dataValidation>
    <dataValidation type="list" sqref="K6" allowBlank="true" errorStyle="stop" showErrorMessage="true" showInputMessage="true">
      <formula1>"Com impostos,Sem impostos"</formula1>
    </dataValidation>
    <dataValidation type="list" sqref="V6" allowBlank="true" errorStyle="stop" showErrorMessage="true" showInputMessage="true">
      <formula1>"Mercado Envios por conta do comprador,Mercado Envios grátis"</formula1>
    </dataValidation>
    <dataValidation type="list" sqref="W6" allowBlank="true" errorStyle="stop" showErrorMessage="true" showInputMessage="true">
      <formula1>"Clássico,Premium"</formula1>
    </dataValidation>
    <dataValidation type="list" sqref="J7" allowBlank="true" errorStyle="stop" showErrorMessage="true" showInputMessage="true">
      <formula1>"R$"</formula1>
    </dataValidation>
    <dataValidation type="list" sqref="K7" allowBlank="true" errorStyle="stop" showErrorMessage="true" showInputMessage="true">
      <formula1>"Com impostos,Sem impostos"</formula1>
    </dataValidation>
    <dataValidation type="list" sqref="V7" allowBlank="true" errorStyle="stop" showErrorMessage="true" showInputMessage="true">
      <formula1>"Mercado Envios por conta do comprador,Mercado Envios grátis"</formula1>
    </dataValidation>
    <dataValidation type="list" sqref="W7" allowBlank="true" errorStyle="stop" showErrorMessage="true" showInputMessage="true">
      <formula1>"Clássico,Premium"</formula1>
    </dataValidation>
    <dataValidation type="list" sqref="J8" allowBlank="true" errorStyle="stop" showErrorMessage="true" showInputMessage="true">
      <formula1>"R$"</formula1>
    </dataValidation>
    <dataValidation type="list" sqref="K8" allowBlank="true" errorStyle="stop" showErrorMessage="true" showInputMessage="true">
      <formula1>"Com impostos,Sem impostos"</formula1>
    </dataValidation>
    <dataValidation type="list" sqref="V8" allowBlank="true" errorStyle="stop" showErrorMessage="true" showInputMessage="true">
      <formula1>"Mercado Envios por conta do comprador,Mercado Envios grátis"</formula1>
    </dataValidation>
    <dataValidation type="list" sqref="W8" allowBlank="true" errorStyle="stop" showErrorMessage="true" showInputMessage="true">
      <formula1>"Clássico,Premium"</formula1>
    </dataValidation>
    <dataValidation type="list" sqref="J9" allowBlank="true" errorStyle="stop" showErrorMessage="true" showInputMessage="true">
      <formula1>"R$"</formula1>
    </dataValidation>
    <dataValidation type="list" sqref="V9" allowBlank="true" errorStyle="stop" showErrorMessage="true" showInputMessage="true">
      <formula1>"Mercado Envios por conta do comprador,Mercado Envios grátis"</formula1>
    </dataValidation>
    <dataValidation type="list" sqref="W9" allowBlank="true" errorStyle="stop" showErrorMessage="true" showInputMessage="true">
      <formula1>"Clássico,Premium"</formula1>
    </dataValidation>
    <dataValidation type="list" sqref="J12" allowBlank="true" errorStyle="stop" showErrorMessage="true" showInputMessage="true">
      <formula1>"R$"</formula1>
    </dataValidation>
    <dataValidation type="list" sqref="K12" allowBlank="true" errorStyle="stop" showErrorMessage="true" showInputMessage="true">
      <formula1>"Com impostos,Sem impostos"</formula1>
    </dataValidation>
    <dataValidation type="list" sqref="V12" allowBlank="true" errorStyle="stop" showErrorMessage="true" showInputMessage="true">
      <formula1>"Mercado Envios por conta do comprador,Mercado Envios grátis"</formula1>
    </dataValidation>
    <dataValidation type="list" sqref="W12" allowBlank="true" errorStyle="stop" showErrorMessage="true" showInputMessage="true">
      <formula1>"Clássico,Premium"</formula1>
    </dataValidation>
    <dataValidation type="list" sqref="J13" allowBlank="true" errorStyle="stop" showErrorMessage="true" showInputMessage="true">
      <formula1>"R$"</formula1>
    </dataValidation>
    <dataValidation type="list" sqref="K13" allowBlank="true" errorStyle="stop" showErrorMessage="true" showInputMessage="true">
      <formula1>"Com impostos,Sem impostos"</formula1>
    </dataValidation>
    <dataValidation type="list" sqref="V13" allowBlank="true" errorStyle="stop" showErrorMessage="true" showInputMessage="true">
      <formula1>"Mercado Envios por conta do comprador,Mercado Envios grátis"</formula1>
    </dataValidation>
    <dataValidation type="list" sqref="W13" allowBlank="true" errorStyle="stop" showErrorMessage="true" showInputMessage="true">
      <formula1>"Clássico,Premium"</formula1>
    </dataValidation>
    <dataValidation type="list" sqref="J14" allowBlank="true" errorStyle="stop" showErrorMessage="true" showInputMessage="true">
      <formula1>"R$"</formula1>
    </dataValidation>
    <dataValidation type="list" sqref="K14" allowBlank="true" errorStyle="stop" showErrorMessage="true" showInputMessage="true">
      <formula1>"Com impostos,Sem impostos"</formula1>
    </dataValidation>
    <dataValidation type="list" sqref="V14" allowBlank="true" errorStyle="stop" showErrorMessage="true" showInputMessage="true">
      <formula1>"Mercado Envios por conta do comprador,Mercado Envios grátis"</formula1>
    </dataValidation>
    <dataValidation type="list" sqref="W14" allowBlank="true" errorStyle="stop" showErrorMessage="true" showInputMessage="true">
      <formula1>"Clássico,Premium"</formula1>
    </dataValidation>
    <dataValidation type="list" sqref="J15" allowBlank="true" errorStyle="stop" showErrorMessage="true" showInputMessage="true">
      <formula1>"R$"</formula1>
    </dataValidation>
    <dataValidation type="list" sqref="V15" allowBlank="true" errorStyle="stop" showErrorMessage="true" showInputMessage="true">
      <formula1>"Mercado Envios por conta do comprador,Mercado Envios grátis"</formula1>
    </dataValidation>
    <dataValidation type="list" sqref="W15" allowBlank="true" errorStyle="stop" showErrorMessage="true" showInputMessage="true">
      <formula1>"Clássico,Premium"</formula1>
    </dataValidation>
    <dataValidation type="list" sqref="J18" allowBlank="true" errorStyle="stop" showErrorMessage="true" showInputMessage="true">
      <formula1>"R$"</formula1>
    </dataValidation>
    <dataValidation type="list" sqref="K18" allowBlank="true" errorStyle="stop" showErrorMessage="true" showInputMessage="true">
      <formula1>"Com impostos,Sem impostos"</formula1>
    </dataValidation>
    <dataValidation type="list" sqref="V18" allowBlank="true" errorStyle="stop" showErrorMessage="true" showInputMessage="true">
      <formula1>"Mercado Envios por conta do comprador,Mercado Envios grátis"</formula1>
    </dataValidation>
    <dataValidation type="list" sqref="W18" allowBlank="true" errorStyle="stop" showErrorMessage="true" showInputMessage="true">
      <formula1>"Clássico,Premium"</formula1>
    </dataValidation>
    <dataValidation type="list" sqref="J19" allowBlank="true" errorStyle="stop" showErrorMessage="true" showInputMessage="true">
      <formula1>"R$"</formula1>
    </dataValidation>
    <dataValidation type="list" sqref="K19" allowBlank="true" errorStyle="stop" showErrorMessage="true" showInputMessage="true">
      <formula1>"Com impostos,Sem impostos"</formula1>
    </dataValidation>
    <dataValidation type="list" sqref="V19" allowBlank="true" errorStyle="stop" showErrorMessage="true" showInputMessage="true">
      <formula1>"Mercado Envios por conta do comprador,Mercado Envios grátis"</formula1>
    </dataValidation>
    <dataValidation type="list" sqref="W19" allowBlank="true" errorStyle="stop" showErrorMessage="true" showInputMessage="true">
      <formula1>"Clássico,Premium"</formula1>
    </dataValidation>
    <dataValidation type="list" sqref="J20" allowBlank="true" errorStyle="stop" showErrorMessage="true" showInputMessage="true">
      <formula1>"R$"</formula1>
    </dataValidation>
    <dataValidation type="list" sqref="K20" allowBlank="true" errorStyle="stop" showErrorMessage="true" showInputMessage="true">
      <formula1>"Com impostos,Sem impostos"</formula1>
    </dataValidation>
    <dataValidation type="list" sqref="V20" allowBlank="true" errorStyle="stop" showErrorMessage="true" showInputMessage="true">
      <formula1>"Mercado Envios por conta do comprador,Mercado Envios grátis"</formula1>
    </dataValidation>
    <dataValidation type="list" sqref="W20" allowBlank="true" errorStyle="stop" showErrorMessage="true" showInputMessage="true">
      <formula1>"Clássico,Premium"</formula1>
    </dataValidation>
    <dataValidation type="list" sqref="J21" allowBlank="true" errorStyle="stop" showErrorMessage="true" showInputMessage="true">
      <formula1>"R$"</formula1>
    </dataValidation>
    <dataValidation type="list" sqref="K21" allowBlank="true" errorStyle="stop" showErrorMessage="true" showInputMessage="true">
      <formula1>"Com impostos,Sem impostos"</formula1>
    </dataValidation>
    <dataValidation type="list" sqref="V21" allowBlank="true" errorStyle="stop" showErrorMessage="true" showInputMessage="true">
      <formula1>"Mercado Envios por conta do comprador,Mercado Envios grátis"</formula1>
    </dataValidation>
    <dataValidation type="list" sqref="W21" allowBlank="true" errorStyle="stop" showErrorMessage="true" showInputMessage="true">
      <formula1>"Clássico,Premium"</formula1>
    </dataValidation>
    <dataValidation type="list" sqref="J22" allowBlank="true" errorStyle="stop" showErrorMessage="true" showInputMessage="true">
      <formula1>"R$"</formula1>
    </dataValidation>
    <dataValidation type="list" sqref="K22" allowBlank="true" errorStyle="stop" showErrorMessage="true" showInputMessage="true">
      <formula1>"Com impostos,Sem impostos"</formula1>
    </dataValidation>
    <dataValidation type="list" sqref="V22" allowBlank="true" errorStyle="stop" showErrorMessage="true" showInputMessage="true">
      <formula1>"Mercado Envios por conta do comprador,Mercado Envios grátis"</formula1>
    </dataValidation>
    <dataValidation type="list" sqref="W22" allowBlank="true" errorStyle="stop" showErrorMessage="true" showInputMessage="true">
      <formula1>"Clássico,Premium"</formula1>
    </dataValidation>
    <dataValidation type="list" sqref="J23" allowBlank="true" errorStyle="stop" showErrorMessage="true" showInputMessage="true">
      <formula1>"R$"</formula1>
    </dataValidation>
    <dataValidation type="list" sqref="K23" allowBlank="true" errorStyle="stop" showErrorMessage="true" showInputMessage="true">
      <formula1>"Com impostos,Sem impostos"</formula1>
    </dataValidation>
    <dataValidation type="list" sqref="V23" allowBlank="true" errorStyle="stop" showErrorMessage="true" showInputMessage="true">
      <formula1>"Mercado Envios por conta do comprador,Mercado Envios grátis"</formula1>
    </dataValidation>
    <dataValidation type="list" sqref="W23" allowBlank="true" errorStyle="stop" showErrorMessage="true" showInputMessage="true">
      <formula1>"Clássico,Premium"</formula1>
    </dataValidation>
    <dataValidation type="list" sqref="J24" allowBlank="true" errorStyle="stop" showErrorMessage="true" showInputMessage="true">
      <formula1>"R$"</formula1>
    </dataValidation>
    <dataValidation type="list" sqref="K24" allowBlank="true" errorStyle="stop" showErrorMessage="true" showInputMessage="true">
      <formula1>"Com impostos,Sem impostos"</formula1>
    </dataValidation>
    <dataValidation type="list" sqref="V24" allowBlank="true" errorStyle="stop" showErrorMessage="true" showInputMessage="true">
      <formula1>"Mercado Envios por conta do comprador,Mercado Envios grátis"</formula1>
    </dataValidation>
    <dataValidation type="list" sqref="W24" allowBlank="true" errorStyle="stop" showErrorMessage="true" showInputMessage="true">
      <formula1>"Clássico,Premium"</formula1>
    </dataValidation>
    <dataValidation type="list" sqref="J25" allowBlank="true" errorStyle="stop" showErrorMessage="true" showInputMessage="true">
      <formula1>"R$"</formula1>
    </dataValidation>
    <dataValidation type="list" sqref="V25" allowBlank="true" errorStyle="stop" showErrorMessage="true" showInputMessage="true">
      <formula1>"Mercado Envios por conta do comprador,Mercado Envios grátis"</formula1>
    </dataValidation>
    <dataValidation type="list" sqref="W25" allowBlank="true" errorStyle="stop" showErrorMessage="true" showInputMessage="true">
      <formula1>"Clássico,Premium"</formula1>
    </dataValidation>
    <dataValidation type="list" sqref="J29" allowBlank="true" errorStyle="stop" showErrorMessage="true" showInputMessage="true">
      <formula1>"R$"</formula1>
    </dataValidation>
    <dataValidation type="list" sqref="K29" allowBlank="true" errorStyle="stop" showErrorMessage="true" showInputMessage="true">
      <formula1>"Com impostos,Sem impostos"</formula1>
    </dataValidation>
    <dataValidation type="list" sqref="V29" allowBlank="true" errorStyle="stop" showErrorMessage="true" showInputMessage="true">
      <formula1>"Mercado Envios por conta do comprador,Mercado Envios grátis"</formula1>
    </dataValidation>
    <dataValidation type="list" sqref="W29" allowBlank="true" errorStyle="stop" showErrorMessage="true" showInputMessage="true">
      <formula1>"Clássico,Premium"</formula1>
    </dataValidation>
    <dataValidation type="list" sqref="J30" allowBlank="true" errorStyle="stop" showErrorMessage="true" showInputMessage="true">
      <formula1>"R$"</formula1>
    </dataValidation>
    <dataValidation type="list" sqref="K30" allowBlank="true" errorStyle="stop" showErrorMessage="true" showInputMessage="true">
      <formula1>"Com impostos,Sem impostos"</formula1>
    </dataValidation>
    <dataValidation type="list" sqref="V30" allowBlank="true" errorStyle="stop" showErrorMessage="true" showInputMessage="true">
      <formula1>"Mercado Envios por conta do comprador,Mercado Envios grátis"</formula1>
    </dataValidation>
    <dataValidation type="list" sqref="W30" allowBlank="true" errorStyle="stop" showErrorMessage="true" showInputMessage="true">
      <formula1>"Clássico,Premium"</formula1>
    </dataValidation>
    <dataValidation type="list" sqref="J31" allowBlank="true" errorStyle="stop" showErrorMessage="true" showInputMessage="true">
      <formula1>"R$"</formula1>
    </dataValidation>
    <dataValidation type="list" sqref="K31" allowBlank="true" errorStyle="stop" showErrorMessage="true" showInputMessage="true">
      <formula1>"Com impostos,Sem impostos"</formula1>
    </dataValidation>
    <dataValidation type="list" sqref="V31" allowBlank="true" errorStyle="stop" showErrorMessage="true" showInputMessage="true">
      <formula1>"Mercado Envios por conta do comprador,Mercado Envios grátis"</formula1>
    </dataValidation>
    <dataValidation type="list" sqref="W31" allowBlank="true" errorStyle="stop" showErrorMessage="true" showInputMessage="true">
      <formula1>"Clássico,Premium"</formula1>
    </dataValidation>
    <dataValidation type="list" sqref="J32" allowBlank="true" errorStyle="stop" showErrorMessage="true" showInputMessage="true">
      <formula1>"R$"</formula1>
    </dataValidation>
    <dataValidation type="list" sqref="K32" allowBlank="true" errorStyle="stop" showErrorMessage="true" showInputMessage="true">
      <formula1>"Com impostos,Sem impostos"</formula1>
    </dataValidation>
    <dataValidation type="list" sqref="V32" allowBlank="true" errorStyle="stop" showErrorMessage="true" showInputMessage="true">
      <formula1>"Mercado Envios por conta do comprador,Mercado Envios grátis"</formula1>
    </dataValidation>
    <dataValidation type="list" sqref="W32" allowBlank="true" errorStyle="stop" showErrorMessage="true" showInputMessage="true">
      <formula1>"Clássico,Premium"</formula1>
    </dataValidation>
    <dataValidation type="list" sqref="J33" allowBlank="true" errorStyle="stop" showErrorMessage="true" showInputMessage="true">
      <formula1>"R$"</formula1>
    </dataValidation>
    <dataValidation type="list" sqref="K33" allowBlank="true" errorStyle="stop" showErrorMessage="true" showInputMessage="true">
      <formula1>"Com impostos,Sem impostos"</formula1>
    </dataValidation>
    <dataValidation type="list" sqref="V33" allowBlank="true" errorStyle="stop" showErrorMessage="true" showInputMessage="true">
      <formula1>"Mercado Envios por conta do comprador,Mercado Envios grátis"</formula1>
    </dataValidation>
    <dataValidation type="list" sqref="W33" allowBlank="true" errorStyle="stop" showErrorMessage="true" showInputMessage="true">
      <formula1>"Clássico,Premium"</formula1>
    </dataValidation>
    <dataValidation type="list" sqref="J34" allowBlank="true" errorStyle="stop" showErrorMessage="true" showInputMessage="true">
      <formula1>"R$"</formula1>
    </dataValidation>
    <dataValidation type="list" sqref="K34" allowBlank="true" errorStyle="stop" showErrorMessage="true" showInputMessage="true">
      <formula1>"Com impostos,Sem impostos"</formula1>
    </dataValidation>
    <dataValidation type="list" sqref="V34" allowBlank="true" errorStyle="stop" showErrorMessage="true" showInputMessage="true">
      <formula1>"Mercado Envios por conta do comprador,Mercado Envios grátis"</formula1>
    </dataValidation>
    <dataValidation type="list" sqref="W34" allowBlank="true" errorStyle="stop" showErrorMessage="true" showInputMessage="true">
      <formula1>"Clássico,Premium"</formula1>
    </dataValidation>
    <dataValidation type="list" sqref="J35" allowBlank="true" errorStyle="stop" showErrorMessage="true" showInputMessage="true">
      <formula1>"R$"</formula1>
    </dataValidation>
    <dataValidation type="list" sqref="K35" allowBlank="true" errorStyle="stop" showErrorMessage="true" showInputMessage="true">
      <formula1>"Com impostos,Sem impostos"</formula1>
    </dataValidation>
    <dataValidation type="list" sqref="V35" allowBlank="true" errorStyle="stop" showErrorMessage="true" showInputMessage="true">
      <formula1>"Mercado Envios por conta do comprador,Mercado Envios grátis"</formula1>
    </dataValidation>
    <dataValidation type="list" sqref="W35" allowBlank="true" errorStyle="stop" showErrorMessage="true" showInputMessage="true">
      <formula1>"Clássico,Premium"</formula1>
    </dataValidation>
    <dataValidation type="list" sqref="J36" allowBlank="true" errorStyle="stop" showErrorMessage="true" showInputMessage="true">
      <formula1>"R$"</formula1>
    </dataValidation>
    <dataValidation type="list" sqref="K36" allowBlank="true" errorStyle="stop" showErrorMessage="true" showInputMessage="true">
      <formula1>"Com impostos,Sem impostos"</formula1>
    </dataValidation>
    <dataValidation type="list" sqref="V36" allowBlank="true" errorStyle="stop" showErrorMessage="true" showInputMessage="true">
      <formula1>"Mercado Envios por conta do comprador,Mercado Envios grátis"</formula1>
    </dataValidation>
    <dataValidation type="list" sqref="W36" allowBlank="true" errorStyle="stop" showErrorMessage="true" showInputMessage="true">
      <formula1>"Clássico,Premium"</formula1>
    </dataValidation>
    <dataValidation type="list" sqref="J37" allowBlank="true" errorStyle="stop" showErrorMessage="true" showInputMessage="true">
      <formula1>"R$"</formula1>
    </dataValidation>
    <dataValidation type="list" sqref="K37" allowBlank="true" errorStyle="stop" showErrorMessage="true" showInputMessage="true">
      <formula1>"Com impostos,Sem impostos"</formula1>
    </dataValidation>
    <dataValidation type="list" sqref="V37" allowBlank="true" errorStyle="stop" showErrorMessage="true" showInputMessage="true">
      <formula1>"Mercado Envios por conta do comprador,Mercado Envios grátis"</formula1>
    </dataValidation>
    <dataValidation type="list" sqref="W37" allowBlank="true" errorStyle="stop" showErrorMessage="true" showInputMessage="true">
      <formula1>"Clássico,Premium"</formula1>
    </dataValidation>
    <dataValidation type="list" sqref="J38" allowBlank="true" errorStyle="stop" showErrorMessage="true" showInputMessage="true">
      <formula1>"R$"</formula1>
    </dataValidation>
    <dataValidation type="list" sqref="K38" allowBlank="true" errorStyle="stop" showErrorMessage="true" showInputMessage="true">
      <formula1>"Com impostos,Sem impostos"</formula1>
    </dataValidation>
    <dataValidation type="list" sqref="V38" allowBlank="true" errorStyle="stop" showErrorMessage="true" showInputMessage="true">
      <formula1>"Mercado Envios por conta do comprador,Mercado Envios grátis"</formula1>
    </dataValidation>
    <dataValidation type="list" sqref="W38" allowBlank="true" errorStyle="stop" showErrorMessage="true" showInputMessage="true">
      <formula1>"Clássico,Premium"</formula1>
    </dataValidation>
    <dataValidation type="list" sqref="J39" allowBlank="true" errorStyle="stop" showErrorMessage="true" showInputMessage="true">
      <formula1>"R$"</formula1>
    </dataValidation>
    <dataValidation type="list" sqref="K39" allowBlank="true" errorStyle="stop" showErrorMessage="true" showInputMessage="true">
      <formula1>"Com impostos,Sem impostos"</formula1>
    </dataValidation>
    <dataValidation type="list" sqref="V39" allowBlank="true" errorStyle="stop" showErrorMessage="true" showInputMessage="true">
      <formula1>"Mercado Envios por conta do comprador,Mercado Envios grátis"</formula1>
    </dataValidation>
    <dataValidation type="list" sqref="W39" allowBlank="true" errorStyle="stop" showErrorMessage="true" showInputMessage="true">
      <formula1>"Clássico,Premium"</formula1>
    </dataValidation>
    <dataValidation type="list" sqref="J40" allowBlank="true" errorStyle="stop" showErrorMessage="true" showInputMessage="true">
      <formula1>"R$"</formula1>
    </dataValidation>
    <dataValidation type="list" sqref="K40" allowBlank="true" errorStyle="stop" showErrorMessage="true" showInputMessage="true">
      <formula1>"Com impostos,Sem impostos"</formula1>
    </dataValidation>
    <dataValidation type="list" sqref="V40" allowBlank="true" errorStyle="stop" showErrorMessage="true" showInputMessage="true">
      <formula1>"Mercado Envios por conta do comprador,Mercado Envios grátis"</formula1>
    </dataValidation>
    <dataValidation type="list" sqref="W40" allowBlank="true" errorStyle="stop" showErrorMessage="true" showInputMessage="true">
      <formula1>"Clássico,Premium"</formula1>
    </dataValidation>
    <dataValidation type="list" sqref="J41" allowBlank="true" errorStyle="stop" showErrorMessage="true" showInputMessage="true">
      <formula1>"R$"</formula1>
    </dataValidation>
    <dataValidation type="list" sqref="K41" allowBlank="true" errorStyle="stop" showErrorMessage="true" showInputMessage="true">
      <formula1>"Com impostos,Sem impostos"</formula1>
    </dataValidation>
    <dataValidation type="list" sqref="V41" allowBlank="true" errorStyle="stop" showErrorMessage="true" showInputMessage="true">
      <formula1>"Mercado Envios por conta do comprador,Mercado Envios grátis"</formula1>
    </dataValidation>
    <dataValidation type="list" sqref="W41" allowBlank="true" errorStyle="stop" showErrorMessage="true" showInputMessage="true">
      <formula1>"Clássico,Premium"</formula1>
    </dataValidation>
    <dataValidation type="list" sqref="J42" allowBlank="true" errorStyle="stop" showErrorMessage="true" showInputMessage="true">
      <formula1>"R$"</formula1>
    </dataValidation>
    <dataValidation type="list" sqref="K42" allowBlank="true" errorStyle="stop" showErrorMessage="true" showInputMessage="true">
      <formula1>"Com impostos,Sem impostos"</formula1>
    </dataValidation>
    <dataValidation type="list" sqref="V42" allowBlank="true" errorStyle="stop" showErrorMessage="true" showInputMessage="true">
      <formula1>"Mercado Envios por conta do comprador,Mercado Envios grátis"</formula1>
    </dataValidation>
    <dataValidation type="list" sqref="W42" allowBlank="true" errorStyle="stop" showErrorMessage="true" showInputMessage="true">
      <formula1>"Clássico,Premium"</formula1>
    </dataValidation>
    <dataValidation type="list" sqref="J43" allowBlank="true" errorStyle="stop" showErrorMessage="true" showInputMessage="true">
      <formula1>"R$"</formula1>
    </dataValidation>
    <dataValidation type="list" sqref="K43" allowBlank="true" errorStyle="stop" showErrorMessage="true" showInputMessage="true">
      <formula1>"Com impostos,Sem impostos"</formula1>
    </dataValidation>
    <dataValidation type="list" sqref="V43" allowBlank="true" errorStyle="stop" showErrorMessage="true" showInputMessage="true">
      <formula1>"Mercado Envios por conta do comprador,Mercado Envios grátis"</formula1>
    </dataValidation>
    <dataValidation type="list" sqref="W43" allowBlank="true" errorStyle="stop" showErrorMessage="true" showInputMessage="true">
      <formula1>"Clássico,Premium"</formula1>
    </dataValidation>
    <dataValidation type="list" sqref="J44" allowBlank="true" errorStyle="stop" showErrorMessage="true" showInputMessage="true">
      <formula1>"R$"</formula1>
    </dataValidation>
    <dataValidation type="list" sqref="K44" allowBlank="true" errorStyle="stop" showErrorMessage="true" showInputMessage="true">
      <formula1>"Com impostos,Sem impostos"</formula1>
    </dataValidation>
    <dataValidation type="list" sqref="V44" allowBlank="true" errorStyle="stop" showErrorMessage="true" showInputMessage="true">
      <formula1>"Mercado Envios por conta do comprador,Mercado Envios grátis"</formula1>
    </dataValidation>
    <dataValidation type="list" sqref="W44" allowBlank="true" errorStyle="stop" showErrorMessage="true" showInputMessage="true">
      <formula1>"Clássico,Premium"</formula1>
    </dataValidation>
    <dataValidation type="list" sqref="J45" allowBlank="true" errorStyle="stop" showErrorMessage="true" showInputMessage="true">
      <formula1>"R$"</formula1>
    </dataValidation>
    <dataValidation type="list" sqref="K45" allowBlank="true" errorStyle="stop" showErrorMessage="true" showInputMessage="true">
      <formula1>"Com impostos,Sem impostos"</formula1>
    </dataValidation>
    <dataValidation type="list" sqref="V45" allowBlank="true" errorStyle="stop" showErrorMessage="true" showInputMessage="true">
      <formula1>"Mercado Envios por conta do comprador,Mercado Envios grátis"</formula1>
    </dataValidation>
    <dataValidation type="list" sqref="W45" allowBlank="true" errorStyle="stop" showErrorMessage="true" showInputMessage="true">
      <formula1>"Clássico,Premium"</formula1>
    </dataValidation>
    <dataValidation type="list" sqref="J46" allowBlank="true" errorStyle="stop" showErrorMessage="true" showInputMessage="true">
      <formula1>"R$"</formula1>
    </dataValidation>
    <dataValidation type="list" sqref="K46" allowBlank="true" errorStyle="stop" showErrorMessage="true" showInputMessage="true">
      <formula1>"Com impostos,Sem impostos"</formula1>
    </dataValidation>
    <dataValidation type="list" sqref="V46" allowBlank="true" errorStyle="stop" showErrorMessage="true" showInputMessage="true">
      <formula1>"Mercado Envios por conta do comprador,Mercado Envios grátis"</formula1>
    </dataValidation>
    <dataValidation type="list" sqref="W46" allowBlank="true" errorStyle="stop" showErrorMessage="true" showInputMessage="true">
      <formula1>"Clássico,Premium"</formula1>
    </dataValidation>
    <dataValidation type="list" sqref="J47" allowBlank="true" errorStyle="stop" showErrorMessage="true" showInputMessage="true">
      <formula1>"R$"</formula1>
    </dataValidation>
    <dataValidation type="list" sqref="K47" allowBlank="true" errorStyle="stop" showErrorMessage="true" showInputMessage="true">
      <formula1>"Com impostos,Sem impostos"</formula1>
    </dataValidation>
    <dataValidation type="list" sqref="V47" allowBlank="true" errorStyle="stop" showErrorMessage="true" showInputMessage="true">
      <formula1>"Mercado Envios por conta do comprador,Mercado Envios grátis"</formula1>
    </dataValidation>
    <dataValidation type="list" sqref="W47" allowBlank="true" errorStyle="stop" showErrorMessage="true" showInputMessage="true">
      <formula1>"Clássico,Premium"</formula1>
    </dataValidation>
    <dataValidation type="list" sqref="J48" allowBlank="true" errorStyle="stop" showErrorMessage="true" showInputMessage="true">
      <formula1>"R$"</formula1>
    </dataValidation>
    <dataValidation type="list" sqref="K48" allowBlank="true" errorStyle="stop" showErrorMessage="true" showInputMessage="true">
      <formula1>"Com impostos,Sem impostos"</formula1>
    </dataValidation>
    <dataValidation type="list" sqref="V48" allowBlank="true" errorStyle="stop" showErrorMessage="true" showInputMessage="true">
      <formula1>"Mercado Envios por conta do comprador,Mercado Envios grátis"</formula1>
    </dataValidation>
    <dataValidation type="list" sqref="W48" allowBlank="true" errorStyle="stop" showErrorMessage="true" showInputMessage="true">
      <formula1>"Clássico,Premium"</formula1>
    </dataValidation>
    <dataValidation type="list" sqref="J49" allowBlank="true" errorStyle="stop" showErrorMessage="true" showInputMessage="true">
      <formula1>"R$"</formula1>
    </dataValidation>
    <dataValidation type="list" sqref="K49" allowBlank="true" errorStyle="stop" showErrorMessage="true" showInputMessage="true">
      <formula1>"Com impostos,Sem impostos"</formula1>
    </dataValidation>
    <dataValidation type="list" sqref="V49" allowBlank="true" errorStyle="stop" showErrorMessage="true" showInputMessage="true">
      <formula1>"Mercado Envios por conta do comprador,Mercado Envios grátis"</formula1>
    </dataValidation>
    <dataValidation type="list" sqref="W49" allowBlank="true" errorStyle="stop" showErrorMessage="true" showInputMessage="true">
      <formula1>"Clássico,Premium"</formula1>
    </dataValidation>
    <dataValidation type="list" sqref="J50" allowBlank="true" errorStyle="stop" showErrorMessage="true" showInputMessage="true">
      <formula1>"R$"</formula1>
    </dataValidation>
    <dataValidation type="list" sqref="V50" allowBlank="true" errorStyle="stop" showErrorMessage="true" showInputMessage="true">
      <formula1>"Mercado Envios por conta do comprador,Mercado Envios grátis"</formula1>
    </dataValidation>
    <dataValidation type="list" sqref="W50" allowBlank="true" errorStyle="stop" showErrorMessage="true" showInputMessage="true">
      <formula1>"Clássico,Premium"</formula1>
    </dataValidation>
    <dataValidation type="list" sqref="J63" allowBlank="true" errorStyle="stop" showErrorMessage="true" showInputMessage="true">
      <formula1>"R$"</formula1>
    </dataValidation>
    <dataValidation type="list" sqref="K63" allowBlank="true" errorStyle="stop" showErrorMessage="true" showInputMessage="true">
      <formula1>"Com impostos,Sem impostos"</formula1>
    </dataValidation>
    <dataValidation type="list" sqref="V63" allowBlank="true" errorStyle="stop" showErrorMessage="true" showInputMessage="true">
      <formula1>"Mercado Envios por conta do comprador,Mercado Envios grátis"</formula1>
    </dataValidation>
    <dataValidation type="list" sqref="W63" allowBlank="true" errorStyle="stop" showErrorMessage="true" showInputMessage="true">
      <formula1>"Clássico,Premium"</formula1>
    </dataValidation>
    <dataValidation type="list" sqref="J64" allowBlank="true" errorStyle="stop" showErrorMessage="true" showInputMessage="true">
      <formula1>"R$"</formula1>
    </dataValidation>
    <dataValidation type="list" sqref="K64" allowBlank="true" errorStyle="stop" showErrorMessage="true" showInputMessage="true">
      <formula1>"Com impostos,Sem impostos"</formula1>
    </dataValidation>
    <dataValidation type="list" sqref="V64" allowBlank="true" errorStyle="stop" showErrorMessage="true" showInputMessage="true">
      <formula1>"Mercado Envios por conta do comprador,Mercado Envios grátis"</formula1>
    </dataValidation>
    <dataValidation type="list" sqref="W64" allowBlank="true" errorStyle="stop" showErrorMessage="true" showInputMessage="true">
      <formula1>"Clássico,Premium"</formula1>
    </dataValidation>
    <dataValidation type="list" sqref="J65" allowBlank="true" errorStyle="stop" showErrorMessage="true" showInputMessage="true">
      <formula1>"R$"</formula1>
    </dataValidation>
    <dataValidation type="list" sqref="K65" allowBlank="true" errorStyle="stop" showErrorMessage="true" showInputMessage="true">
      <formula1>"Com impostos,Sem impostos"</formula1>
    </dataValidation>
    <dataValidation type="list" sqref="V65" allowBlank="true" errorStyle="stop" showErrorMessage="true" showInputMessage="true">
      <formula1>"Mercado Envios por conta do comprador,Mercado Envios grátis"</formula1>
    </dataValidation>
    <dataValidation type="list" sqref="W65" allowBlank="true" errorStyle="stop" showErrorMessage="true" showInputMessage="true">
      <formula1>"Clássico,Premium"</formula1>
    </dataValidation>
    <dataValidation type="list" sqref="J66" allowBlank="true" errorStyle="stop" showErrorMessage="true" showInputMessage="true">
      <formula1>"R$"</formula1>
    </dataValidation>
    <dataValidation type="list" sqref="K66" allowBlank="true" errorStyle="stop" showErrorMessage="true" showInputMessage="true">
      <formula1>"Com impostos,Sem impostos"</formula1>
    </dataValidation>
    <dataValidation type="list" sqref="V66" allowBlank="true" errorStyle="stop" showErrorMessage="true" showInputMessage="true">
      <formula1>"Mercado Envios por conta do comprador,Mercado Envios grátis"</formula1>
    </dataValidation>
    <dataValidation type="list" sqref="W66" allowBlank="true" errorStyle="stop" showErrorMessage="true" showInputMessage="true">
      <formula1>"Clássico,Premium"</formula1>
    </dataValidation>
    <dataValidation type="list" sqref="J67" allowBlank="true" errorStyle="stop" showErrorMessage="true" showInputMessage="true">
      <formula1>"R$"</formula1>
    </dataValidation>
    <dataValidation type="list" sqref="K67" allowBlank="true" errorStyle="stop" showErrorMessage="true" showInputMessage="true">
      <formula1>"Com impostos,Sem impostos"</formula1>
    </dataValidation>
    <dataValidation type="list" sqref="V67" allowBlank="true" errorStyle="stop" showErrorMessage="true" showInputMessage="true">
      <formula1>"Mercado Envios por conta do comprador,Mercado Envios grátis"</formula1>
    </dataValidation>
    <dataValidation type="list" sqref="W67" allowBlank="true" errorStyle="stop" showErrorMessage="true" showInputMessage="true">
      <formula1>"Clássico,Premium"</formula1>
    </dataValidation>
    <dataValidation type="list" sqref="J68" allowBlank="true" errorStyle="stop" showErrorMessage="true" showInputMessage="true">
      <formula1>"R$"</formula1>
    </dataValidation>
    <dataValidation type="list" sqref="K68" allowBlank="true" errorStyle="stop" showErrorMessage="true" showInputMessage="true">
      <formula1>"Com impostos,Sem impostos"</formula1>
    </dataValidation>
    <dataValidation type="list" sqref="V68" allowBlank="true" errorStyle="stop" showErrorMessage="true" showInputMessage="true">
      <formula1>"Mercado Envios por conta do comprador,Mercado Envios grátis"</formula1>
    </dataValidation>
    <dataValidation type="list" sqref="W68" allowBlank="true" errorStyle="stop" showErrorMessage="true" showInputMessage="true">
      <formula1>"Clássico,Premium"</formula1>
    </dataValidation>
    <dataValidation type="list" sqref="J69" allowBlank="true" errorStyle="stop" showErrorMessage="true" showInputMessage="true">
      <formula1>"R$"</formula1>
    </dataValidation>
    <dataValidation type="list" sqref="V69" allowBlank="true" errorStyle="stop" showErrorMessage="true" showInputMessage="true">
      <formula1>"Mercado Envios por conta do comprador,Mercado Envios grátis"</formula1>
    </dataValidation>
    <dataValidation type="list" sqref="W69" allowBlank="true" errorStyle="stop" showErrorMessage="true" showInputMessage="true">
      <formula1>"Clássico,Premium"</formula1>
    </dataValidation>
    <dataValidation type="list" sqref="J82" allowBlank="true" errorStyle="stop" showErrorMessage="true" showInputMessage="true">
      <formula1>"R$"</formula1>
    </dataValidation>
    <dataValidation type="list" sqref="K82" allowBlank="true" errorStyle="stop" showErrorMessage="true" showInputMessage="true">
      <formula1>"Com impostos,Sem impostos"</formula1>
    </dataValidation>
    <dataValidation type="list" sqref="V82" allowBlank="true" errorStyle="stop" showErrorMessage="true" showInputMessage="true">
      <formula1>"Mercado Envios por conta do comprador,Mercado Envios grátis"</formula1>
    </dataValidation>
    <dataValidation type="list" sqref="W82" allowBlank="true" errorStyle="stop" showErrorMessage="true" showInputMessage="true">
      <formula1>"Clássico,Premium"</formula1>
    </dataValidation>
    <dataValidation type="list" sqref="J83" allowBlank="true" errorStyle="stop" showErrorMessage="true" showInputMessage="true">
      <formula1>"R$"</formula1>
    </dataValidation>
    <dataValidation type="list" sqref="K83" allowBlank="true" errorStyle="stop" showErrorMessage="true" showInputMessage="true">
      <formula1>"Com impostos,Sem impostos"</formula1>
    </dataValidation>
    <dataValidation type="list" sqref="V83" allowBlank="true" errorStyle="stop" showErrorMessage="true" showInputMessage="true">
      <formula1>"Mercado Envios por conta do comprador,Mercado Envios grátis"</formula1>
    </dataValidation>
    <dataValidation type="list" sqref="W83" allowBlank="true" errorStyle="stop" showErrorMessage="true" showInputMessage="true">
      <formula1>"Clássico,Premium"</formula1>
    </dataValidation>
    <dataValidation type="list" sqref="J84" allowBlank="true" errorStyle="stop" showErrorMessage="true" showInputMessage="true">
      <formula1>"R$"</formula1>
    </dataValidation>
    <dataValidation type="list" sqref="K84" allowBlank="true" errorStyle="stop" showErrorMessage="true" showInputMessage="true">
      <formula1>"Com impostos,Sem impostos"</formula1>
    </dataValidation>
    <dataValidation type="list" sqref="V84" allowBlank="true" errorStyle="stop" showErrorMessage="true" showInputMessage="true">
      <formula1>"Mercado Envios por conta do comprador,Mercado Envios grátis"</formula1>
    </dataValidation>
    <dataValidation type="list" sqref="W84" allowBlank="true" errorStyle="stop" showErrorMessage="true" showInputMessage="true">
      <formula1>"Clássico,Premium"</formula1>
    </dataValidation>
    <dataValidation type="list" sqref="J85" allowBlank="true" errorStyle="stop" showErrorMessage="true" showInputMessage="true">
      <formula1>"R$"</formula1>
    </dataValidation>
    <dataValidation type="list" sqref="K85" allowBlank="true" errorStyle="stop" showErrorMessage="true" showInputMessage="true">
      <formula1>"Com impostos,Sem impostos"</formula1>
    </dataValidation>
    <dataValidation type="list" sqref="V85" allowBlank="true" errorStyle="stop" showErrorMessage="true" showInputMessage="true">
      <formula1>"Mercado Envios por conta do comprador,Mercado Envios grátis"</formula1>
    </dataValidation>
    <dataValidation type="list" sqref="W85" allowBlank="true" errorStyle="stop" showErrorMessage="true" showInputMessage="true">
      <formula1>"Clássico,Premium"</formula1>
    </dataValidation>
    <dataValidation type="list" sqref="J86" allowBlank="true" errorStyle="stop" showErrorMessage="true" showInputMessage="true">
      <formula1>"R$"</formula1>
    </dataValidation>
    <dataValidation type="list" sqref="V86" allowBlank="true" errorStyle="stop" showErrorMessage="true" showInputMessage="true">
      <formula1>"Mercado Envios por conta do comprador,Mercado Envios grátis"</formula1>
    </dataValidation>
    <dataValidation type="list" sqref="W86" allowBlank="true" errorStyle="stop" showErrorMessage="true" showInputMessage="true">
      <formula1>"Clássico,Premium"</formula1>
    </dataValidation>
    <dataValidation type="list" sqref="J89" allowBlank="true" errorStyle="stop" showErrorMessage="true" showInputMessage="true">
      <formula1>"R$"</formula1>
    </dataValidation>
    <dataValidation type="list" sqref="V89" allowBlank="true" errorStyle="stop" showErrorMessage="true" showInputMessage="true">
      <formula1>"Mercado Envios por conta do comprador,Mercado Envios grátis"</formula1>
    </dataValidation>
    <dataValidation type="list" sqref="W89" allowBlank="true" errorStyle="stop" showErrorMessage="true" showInputMessage="true">
      <formula1>"Clássico,Premium"</formula1>
    </dataValidation>
    <dataValidation type="list" sqref="J92" allowBlank="true" errorStyle="stop" showErrorMessage="true" showInputMessage="true">
      <formula1>"R$"</formula1>
    </dataValidation>
    <dataValidation type="list" sqref="K92" allowBlank="true" errorStyle="stop" showErrorMessage="true" showInputMessage="true">
      <formula1>"Com impostos,Sem impostos"</formula1>
    </dataValidation>
    <dataValidation type="list" sqref="V92" allowBlank="true" errorStyle="stop" showErrorMessage="true" showInputMessage="true">
      <formula1>"Mercado Envios por conta do comprador,Mercado Envios grátis"</formula1>
    </dataValidation>
    <dataValidation type="list" sqref="W92" allowBlank="true" errorStyle="stop" showErrorMessage="true" showInputMessage="true">
      <formula1>"Clássico,Premium"</formula1>
    </dataValidation>
    <dataValidation type="list" sqref="J93" allowBlank="true" errorStyle="stop" showErrorMessage="true" showInputMessage="true">
      <formula1>"R$"</formula1>
    </dataValidation>
    <dataValidation type="list" sqref="K93" allowBlank="true" errorStyle="stop" showErrorMessage="true" showInputMessage="true">
      <formula1>"Com impostos,Sem impostos"</formula1>
    </dataValidation>
    <dataValidation type="list" sqref="V93" allowBlank="true" errorStyle="stop" showErrorMessage="true" showInputMessage="true">
      <formula1>"Mercado Envios por conta do comprador,Mercado Envios grátis"</formula1>
    </dataValidation>
    <dataValidation type="list" sqref="W93" allowBlank="true" errorStyle="stop" showErrorMessage="true" showInputMessage="true">
      <formula1>"Clássico,Premium"</formula1>
    </dataValidation>
    <dataValidation type="list" sqref="J94" allowBlank="true" errorStyle="stop" showErrorMessage="true" showInputMessage="true">
      <formula1>"R$"</formula1>
    </dataValidation>
    <dataValidation type="list" sqref="K94" allowBlank="true" errorStyle="stop" showErrorMessage="true" showInputMessage="true">
      <formula1>"Com impostos,Sem impostos"</formula1>
    </dataValidation>
    <dataValidation type="list" sqref="V94" allowBlank="true" errorStyle="stop" showErrorMessage="true" showInputMessage="true">
      <formula1>"Mercado Envios por conta do comprador,Mercado Envios grátis"</formula1>
    </dataValidation>
    <dataValidation type="list" sqref="W94" allowBlank="true" errorStyle="stop" showErrorMessage="true" showInputMessage="true">
      <formula1>"Clássico,Premium"</formula1>
    </dataValidation>
    <dataValidation type="list" sqref="J95" allowBlank="true" errorStyle="stop" showErrorMessage="true" showInputMessage="true">
      <formula1>"R$"</formula1>
    </dataValidation>
    <dataValidation type="list" sqref="K95" allowBlank="true" errorStyle="stop" showErrorMessage="true" showInputMessage="true">
      <formula1>"Com impostos,Sem impostos"</formula1>
    </dataValidation>
    <dataValidation type="list" sqref="V95" allowBlank="true" errorStyle="stop" showErrorMessage="true" showInputMessage="true">
      <formula1>"Mercado Envios por conta do comprador,Mercado Envios grátis"</formula1>
    </dataValidation>
    <dataValidation type="list" sqref="W95" allowBlank="true" errorStyle="stop" showErrorMessage="true" showInputMessage="true">
      <formula1>"Clássico,Premium"</formula1>
    </dataValidation>
    <dataValidation type="list" sqref="J96" allowBlank="true" errorStyle="stop" showErrorMessage="true" showInputMessage="true">
      <formula1>"R$"</formula1>
    </dataValidation>
    <dataValidation type="list" sqref="K96" allowBlank="true" errorStyle="stop" showErrorMessage="true" showInputMessage="true">
      <formula1>"Com impostos,Sem impostos"</formula1>
    </dataValidation>
    <dataValidation type="list" sqref="V96" allowBlank="true" errorStyle="stop" showErrorMessage="true" showInputMessage="true">
      <formula1>"Mercado Envios por conta do comprador,Mercado Envios grátis"</formula1>
    </dataValidation>
    <dataValidation type="list" sqref="W96" allowBlank="true" errorStyle="stop" showErrorMessage="true" showInputMessage="true">
      <formula1>"Clássico,Premium"</formula1>
    </dataValidation>
    <dataValidation type="list" sqref="J97" allowBlank="true" errorStyle="stop" showErrorMessage="true" showInputMessage="true">
      <formula1>"R$"</formula1>
    </dataValidation>
    <dataValidation type="list" sqref="K97" allowBlank="true" errorStyle="stop" showErrorMessage="true" showInputMessage="true">
      <formula1>"Com impostos,Sem impostos"</formula1>
    </dataValidation>
    <dataValidation type="list" sqref="V97" allowBlank="true" errorStyle="stop" showErrorMessage="true" showInputMessage="true">
      <formula1>"Mercado Envios por conta do comprador,Mercado Envios grátis"</formula1>
    </dataValidation>
    <dataValidation type="list" sqref="W97" allowBlank="true" errorStyle="stop" showErrorMessage="true" showInputMessage="true">
      <formula1>"Clássico,Premium"</formula1>
    </dataValidation>
    <dataValidation type="list" sqref="J98" allowBlank="true" errorStyle="stop" showErrorMessage="true" showInputMessage="true">
      <formula1>"R$"</formula1>
    </dataValidation>
    <dataValidation type="list" sqref="V98" allowBlank="true" errorStyle="stop" showErrorMessage="true" showInputMessage="true">
      <formula1>"Mercado Envios por conta do comprador,Mercado Envios grátis"</formula1>
    </dataValidation>
    <dataValidation type="list" sqref="W98" allowBlank="true" errorStyle="stop" showErrorMessage="true" showInputMessage="true">
      <formula1>"Clássico,Premium"</formula1>
    </dataValidation>
    <dataValidation type="list" sqref="J101" allowBlank="true" errorStyle="stop" showErrorMessage="true" showInputMessage="true">
      <formula1>"R$"</formula1>
    </dataValidation>
    <dataValidation type="list" sqref="K101" allowBlank="true" errorStyle="stop" showErrorMessage="true" showInputMessage="true">
      <formula1>"Com impostos,Sem impostos"</formula1>
    </dataValidation>
    <dataValidation type="list" sqref="V101" allowBlank="true" errorStyle="stop" showErrorMessage="true" showInputMessage="true">
      <formula1>"Mercado Envios por conta do comprador,Mercado Envios grátis"</formula1>
    </dataValidation>
    <dataValidation type="list" sqref="W101" allowBlank="true" errorStyle="stop" showErrorMessage="true" showInputMessage="true">
      <formula1>"Clássico,Premium"</formula1>
    </dataValidation>
    <dataValidation type="list" sqref="J102" allowBlank="true" errorStyle="stop" showErrorMessage="true" showInputMessage="true">
      <formula1>"R$"</formula1>
    </dataValidation>
    <dataValidation type="list" sqref="V102" allowBlank="true" errorStyle="stop" showErrorMessage="true" showInputMessage="true">
      <formula1>"Mercado Envios por conta do comprador,Mercado Envios grátis"</formula1>
    </dataValidation>
    <dataValidation type="list" sqref="W102" allowBlank="true" errorStyle="stop" showErrorMessage="true" showInputMessage="true">
      <formula1>"Clássico,Premium"</formula1>
    </dataValidation>
    <dataValidation type="list" sqref="J105" allowBlank="true" errorStyle="stop" showErrorMessage="true" showInputMessage="true">
      <formula1>"R$"</formula1>
    </dataValidation>
    <dataValidation type="list" sqref="K105" allowBlank="true" errorStyle="stop" showErrorMessage="true" showInputMessage="true">
      <formula1>"Com impostos,Sem impostos"</formula1>
    </dataValidation>
    <dataValidation type="list" sqref="V105" allowBlank="true" errorStyle="stop" showErrorMessage="true" showInputMessage="true">
      <formula1>"Mercado Envios por conta do comprador,Mercado Envios grátis"</formula1>
    </dataValidation>
    <dataValidation type="list" sqref="W105" allowBlank="true" errorStyle="stop" showErrorMessage="true" showInputMessage="true">
      <formula1>"Clássico,Premium"</formula1>
    </dataValidation>
    <dataValidation type="list" sqref="J106" allowBlank="true" errorStyle="stop" showErrorMessage="true" showInputMessage="true">
      <formula1>"R$"</formula1>
    </dataValidation>
    <dataValidation type="list" sqref="V106" allowBlank="true" errorStyle="stop" showErrorMessage="true" showInputMessage="true">
      <formula1>"Mercado Envios por conta do comprador,Mercado Envios grátis"</formula1>
    </dataValidation>
    <dataValidation type="list" sqref="W106" allowBlank="true" errorStyle="stop" showErrorMessage="true" showInputMessage="true">
      <formula1>"Clássico,Premium"</formula1>
    </dataValidation>
    <dataValidation type="list" sqref="J109" allowBlank="true" errorStyle="stop" showErrorMessage="true" showInputMessage="true">
      <formula1>"R$"</formula1>
    </dataValidation>
    <dataValidation type="list" sqref="K109" allowBlank="true" errorStyle="stop" showErrorMessage="true" showInputMessage="true">
      <formula1>"Com impostos,Sem impostos"</formula1>
    </dataValidation>
    <dataValidation type="list" sqref="V109" allowBlank="true" errorStyle="stop" showErrorMessage="true" showInputMessage="true">
      <formula1>"Mercado Envios por conta do comprador,Mercado Envios grátis"</formula1>
    </dataValidation>
    <dataValidation type="list" sqref="W109" allowBlank="true" errorStyle="stop" showErrorMessage="true" showInputMessage="true">
      <formula1>"Clássico,Premium"</formula1>
    </dataValidation>
    <dataValidation type="list" sqref="J110" allowBlank="true" errorStyle="stop" showErrorMessage="true" showInputMessage="true">
      <formula1>"R$"</formula1>
    </dataValidation>
    <dataValidation type="list" sqref="K110" allowBlank="true" errorStyle="stop" showErrorMessage="true" showInputMessage="true">
      <formula1>"Com impostos,Sem impostos"</formula1>
    </dataValidation>
    <dataValidation type="list" sqref="V110" allowBlank="true" errorStyle="stop" showErrorMessage="true" showInputMessage="true">
      <formula1>"Mercado Envios por conta do comprador,Mercado Envios grátis"</formula1>
    </dataValidation>
    <dataValidation type="list" sqref="W110" allowBlank="true" errorStyle="stop" showErrorMessage="true" showInputMessage="true">
      <formula1>"Clássico,Premium"</formula1>
    </dataValidation>
    <dataValidation type="list" sqref="J111" allowBlank="true" errorStyle="stop" showErrorMessage="true" showInputMessage="true">
      <formula1>"R$"</formula1>
    </dataValidation>
    <dataValidation type="list" sqref="K111" allowBlank="true" errorStyle="stop" showErrorMessage="true" showInputMessage="true">
      <formula1>"Com impostos,Sem impostos"</formula1>
    </dataValidation>
    <dataValidation type="list" sqref="V111" allowBlank="true" errorStyle="stop" showErrorMessage="true" showInputMessage="true">
      <formula1>"Mercado Envios por conta do comprador,Mercado Envios grátis"</formula1>
    </dataValidation>
    <dataValidation type="list" sqref="W111" allowBlank="true" errorStyle="stop" showErrorMessage="true" showInputMessage="true">
      <formula1>"Clássico,Premium"</formula1>
    </dataValidation>
    <dataValidation type="list" sqref="J112" allowBlank="true" errorStyle="stop" showErrorMessage="true" showInputMessage="true">
      <formula1>"R$"</formula1>
    </dataValidation>
    <dataValidation type="list" sqref="K112" allowBlank="true" errorStyle="stop" showErrorMessage="true" showInputMessage="true">
      <formula1>"Com impostos,Sem impostos"</formula1>
    </dataValidation>
    <dataValidation type="list" sqref="V112" allowBlank="true" errorStyle="stop" showErrorMessage="true" showInputMessage="true">
      <formula1>"Mercado Envios por conta do comprador,Mercado Envios grátis"</formula1>
    </dataValidation>
    <dataValidation type="list" sqref="W112" allowBlank="true" errorStyle="stop" showErrorMessage="true" showInputMessage="true">
      <formula1>"Clássico,Premium"</formula1>
    </dataValidation>
    <dataValidation type="list" sqref="J113" allowBlank="true" errorStyle="stop" showErrorMessage="true" showInputMessage="true">
      <formula1>"R$"</formula1>
    </dataValidation>
    <dataValidation type="list" sqref="K113" allowBlank="true" errorStyle="stop" showErrorMessage="true" showInputMessage="true">
      <formula1>"Com impostos,Sem impostos"</formula1>
    </dataValidation>
    <dataValidation type="list" sqref="V113" allowBlank="true" errorStyle="stop" showErrorMessage="true" showInputMessage="true">
      <formula1>"Mercado Envios por conta do comprador,Mercado Envios grátis"</formula1>
    </dataValidation>
    <dataValidation type="list" sqref="W113" allowBlank="true" errorStyle="stop" showErrorMessage="true" showInputMessage="true">
      <formula1>"Clássico,Premium"</formula1>
    </dataValidation>
    <dataValidation type="list" sqref="J114" allowBlank="true" errorStyle="stop" showErrorMessage="true" showInputMessage="true">
      <formula1>"R$"</formula1>
    </dataValidation>
    <dataValidation type="list" sqref="V114" allowBlank="true" errorStyle="stop" showErrorMessage="true" showInputMessage="true">
      <formula1>"Mercado Envios por conta do comprador,Mercado Envios grátis"</formula1>
    </dataValidation>
    <dataValidation type="list" sqref="W114" allowBlank="true" errorStyle="stop" showErrorMessage="true" showInputMessage="true">
      <formula1>"Clássico,Premium"</formula1>
    </dataValidation>
    <dataValidation type="list" sqref="J117" allowBlank="true" errorStyle="stop" showErrorMessage="true" showInputMessage="true">
      <formula1>"R$"</formula1>
    </dataValidation>
    <dataValidation type="list" sqref="K117" allowBlank="true" errorStyle="stop" showErrorMessage="true" showInputMessage="true">
      <formula1>"Com impostos,Sem impostos"</formula1>
    </dataValidation>
    <dataValidation type="list" sqref="V117" allowBlank="true" errorStyle="stop" showErrorMessage="true" showInputMessage="true">
      <formula1>"Mercado Envios por conta do comprador,Mercado Envios grátis"</formula1>
    </dataValidation>
    <dataValidation type="list" sqref="W117" allowBlank="true" errorStyle="stop" showErrorMessage="true" showInputMessage="true">
      <formula1>"Clássico,Premium"</formula1>
    </dataValidation>
    <dataValidation type="list" sqref="J118" allowBlank="true" errorStyle="stop" showErrorMessage="true" showInputMessage="true">
      <formula1>"R$"</formula1>
    </dataValidation>
    <dataValidation type="list" sqref="K118" allowBlank="true" errorStyle="stop" showErrorMessage="true" showInputMessage="true">
      <formula1>"Com impostos,Sem impostos"</formula1>
    </dataValidation>
    <dataValidation type="list" sqref="V118" allowBlank="true" errorStyle="stop" showErrorMessage="true" showInputMessage="true">
      <formula1>"Mercado Envios por conta do comprador,Mercado Envios grátis"</formula1>
    </dataValidation>
    <dataValidation type="list" sqref="W118" allowBlank="true" errorStyle="stop" showErrorMessage="true" showInputMessage="true">
      <formula1>"Clássico,Premium"</formula1>
    </dataValidation>
    <dataValidation type="list" sqref="J119" allowBlank="true" errorStyle="stop" showErrorMessage="true" showInputMessage="true">
      <formula1>"R$"</formula1>
    </dataValidation>
    <dataValidation type="list" sqref="K119" allowBlank="true" errorStyle="stop" showErrorMessage="true" showInputMessage="true">
      <formula1>"Com impostos,Sem impostos"</formula1>
    </dataValidation>
    <dataValidation type="list" sqref="V119" allowBlank="true" errorStyle="stop" showErrorMessage="true" showInputMessage="true">
      <formula1>"Mercado Envios por conta do comprador,Mercado Envios grátis"</formula1>
    </dataValidation>
    <dataValidation type="list" sqref="W119" allowBlank="true" errorStyle="stop" showErrorMessage="true" showInputMessage="true">
      <formula1>"Clássico,Premium"</formula1>
    </dataValidation>
    <dataValidation type="list" sqref="J120" allowBlank="true" errorStyle="stop" showErrorMessage="true" showInputMessage="true">
      <formula1>"R$"</formula1>
    </dataValidation>
    <dataValidation type="list" sqref="K120" allowBlank="true" errorStyle="stop" showErrorMessage="true" showInputMessage="true">
      <formula1>"Com impostos,Sem impostos"</formula1>
    </dataValidation>
    <dataValidation type="list" sqref="V120" allowBlank="true" errorStyle="stop" showErrorMessage="true" showInputMessage="true">
      <formula1>"Mercado Envios por conta do comprador,Mercado Envios grátis"</formula1>
    </dataValidation>
    <dataValidation type="list" sqref="W120" allowBlank="true" errorStyle="stop" showErrorMessage="true" showInputMessage="true">
      <formula1>"Clássico,Premium"</formula1>
    </dataValidation>
    <dataValidation type="list" sqref="J121" allowBlank="true" errorStyle="stop" showErrorMessage="true" showInputMessage="true">
      <formula1>"R$"</formula1>
    </dataValidation>
    <dataValidation type="list" sqref="K121" allowBlank="true" errorStyle="stop" showErrorMessage="true" showInputMessage="true">
      <formula1>"Com impostos,Sem impostos"</formula1>
    </dataValidation>
    <dataValidation type="list" sqref="V121" allowBlank="true" errorStyle="stop" showErrorMessage="true" showInputMessage="true">
      <formula1>"Mercado Envios por conta do comprador,Mercado Envios grátis"</formula1>
    </dataValidation>
    <dataValidation type="list" sqref="W121" allowBlank="true" errorStyle="stop" showErrorMessage="true" showInputMessage="true">
      <formula1>"Clássico,Premium"</formula1>
    </dataValidation>
    <dataValidation type="list" sqref="J122" allowBlank="true" errorStyle="stop" showErrorMessage="true" showInputMessage="true">
      <formula1>"R$"</formula1>
    </dataValidation>
    <dataValidation type="list" sqref="K122" allowBlank="true" errorStyle="stop" showErrorMessage="true" showInputMessage="true">
      <formula1>"Com impostos,Sem impostos"</formula1>
    </dataValidation>
    <dataValidation type="list" sqref="V122" allowBlank="true" errorStyle="stop" showErrorMessage="true" showInputMessage="true">
      <formula1>"Mercado Envios por conta do comprador,Mercado Envios grátis"</formula1>
    </dataValidation>
    <dataValidation type="list" sqref="W122" allowBlank="true" errorStyle="stop" showErrorMessage="true" showInputMessage="true">
      <formula1>"Clássico,Premium"</formula1>
    </dataValidation>
    <dataValidation type="list" sqref="J123" allowBlank="true" errorStyle="stop" showErrorMessage="true" showInputMessage="true">
      <formula1>"R$"</formula1>
    </dataValidation>
    <dataValidation type="list" sqref="K123" allowBlank="true" errorStyle="stop" showErrorMessage="true" showInputMessage="true">
      <formula1>"Com impostos,Sem impostos"</formula1>
    </dataValidation>
    <dataValidation type="list" sqref="V123" allowBlank="true" errorStyle="stop" showErrorMessage="true" showInputMessage="true">
      <formula1>"Mercado Envios por conta do comprador,Mercado Envios grátis"</formula1>
    </dataValidation>
    <dataValidation type="list" sqref="W123" allowBlank="true" errorStyle="stop" showErrorMessage="true" showInputMessage="true">
      <formula1>"Clássico,Premium"</formula1>
    </dataValidation>
    <dataValidation type="list" sqref="J124" allowBlank="true" errorStyle="stop" showErrorMessage="true" showInputMessage="true">
      <formula1>"R$"</formula1>
    </dataValidation>
    <dataValidation type="list" sqref="K124" allowBlank="true" errorStyle="stop" showErrorMessage="true" showInputMessage="true">
      <formula1>"Com impostos,Sem impostos"</formula1>
    </dataValidation>
    <dataValidation type="list" sqref="V124" allowBlank="true" errorStyle="stop" showErrorMessage="true" showInputMessage="true">
      <formula1>"Mercado Envios por conta do comprador,Mercado Envios grátis"</formula1>
    </dataValidation>
    <dataValidation type="list" sqref="W124" allowBlank="true" errorStyle="stop" showErrorMessage="true" showInputMessage="true">
      <formula1>"Clássico,Premium"</formula1>
    </dataValidation>
    <dataValidation type="list" sqref="J125" allowBlank="true" errorStyle="stop" showErrorMessage="true" showInputMessage="true">
      <formula1>"R$"</formula1>
    </dataValidation>
    <dataValidation type="list" sqref="K125" allowBlank="true" errorStyle="stop" showErrorMessage="true" showInputMessage="true">
      <formula1>"Com impostos,Sem impostos"</formula1>
    </dataValidation>
    <dataValidation type="list" sqref="V125" allowBlank="true" errorStyle="stop" showErrorMessage="true" showInputMessage="true">
      <formula1>"Mercado Envios por conta do comprador,Mercado Envios grátis"</formula1>
    </dataValidation>
    <dataValidation type="list" sqref="W125" allowBlank="true" errorStyle="stop" showErrorMessage="true" showInputMessage="true">
      <formula1>"Clássico,Premium"</formula1>
    </dataValidation>
    <dataValidation type="list" sqref="J126" allowBlank="true" errorStyle="stop" showErrorMessage="true" showInputMessage="true">
      <formula1>"R$"</formula1>
    </dataValidation>
    <dataValidation type="list" sqref="K126" allowBlank="true" errorStyle="stop" showErrorMessage="true" showInputMessage="true">
      <formula1>"Com impostos,Sem impostos"</formula1>
    </dataValidation>
    <dataValidation type="list" sqref="V126" allowBlank="true" errorStyle="stop" showErrorMessage="true" showInputMessage="true">
      <formula1>"Mercado Envios por conta do comprador,Mercado Envios grátis"</formula1>
    </dataValidation>
    <dataValidation type="list" sqref="W126" allowBlank="true" errorStyle="stop" showErrorMessage="true" showInputMessage="true">
      <formula1>"Clássico,Premium"</formula1>
    </dataValidation>
    <dataValidation type="list" sqref="J127" allowBlank="true" errorStyle="stop" showErrorMessage="true" showInputMessage="true">
      <formula1>"R$"</formula1>
    </dataValidation>
    <dataValidation type="list" sqref="K127" allowBlank="true" errorStyle="stop" showErrorMessage="true" showInputMessage="true">
      <formula1>"Com impostos,Sem impostos"</formula1>
    </dataValidation>
    <dataValidation type="list" sqref="V127" allowBlank="true" errorStyle="stop" showErrorMessage="true" showInputMessage="true">
      <formula1>"Mercado Envios por conta do comprador,Mercado Envios grátis"</formula1>
    </dataValidation>
    <dataValidation type="list" sqref="W127" allowBlank="true" errorStyle="stop" showErrorMessage="true" showInputMessage="true">
      <formula1>"Clássico,Premium"</formula1>
    </dataValidation>
    <dataValidation type="list" sqref="J128" allowBlank="true" errorStyle="stop" showErrorMessage="true" showInputMessage="true">
      <formula1>"R$"</formula1>
    </dataValidation>
    <dataValidation type="list" sqref="V128" allowBlank="true" errorStyle="stop" showErrorMessage="true" showInputMessage="true">
      <formula1>"Mercado Envios por conta do comprador,Mercado Envios grátis"</formula1>
    </dataValidation>
    <dataValidation type="list" sqref="W128" allowBlank="true" errorStyle="stop" showErrorMessage="true" showInputMessage="true">
      <formula1>"Clássico,Premium"</formula1>
    </dataValidation>
    <dataValidation type="list" sqref="J131" allowBlank="true" errorStyle="stop" showErrorMessage="true" showInputMessage="true">
      <formula1>"R$"</formula1>
    </dataValidation>
    <dataValidation type="list" sqref="K131" allowBlank="true" errorStyle="stop" showErrorMessage="true" showInputMessage="true">
      <formula1>"Com impostos,Sem impostos"</formula1>
    </dataValidation>
    <dataValidation type="list" sqref="V131" allowBlank="true" errorStyle="stop" showErrorMessage="true" showInputMessage="true">
      <formula1>"Mercado Envios por conta do comprador,Mercado Envios grátis"</formula1>
    </dataValidation>
    <dataValidation type="list" sqref="W131" allowBlank="true" errorStyle="stop" showErrorMessage="true" showInputMessage="true">
      <formula1>"Clássico,Premium"</formula1>
    </dataValidation>
    <dataValidation type="list" sqref="J132" allowBlank="true" errorStyle="stop" showErrorMessage="true" showInputMessage="true">
      <formula1>"R$"</formula1>
    </dataValidation>
    <dataValidation type="list" sqref="K132" allowBlank="true" errorStyle="stop" showErrorMessage="true" showInputMessage="true">
      <formula1>"Com impostos,Sem impostos"</formula1>
    </dataValidation>
    <dataValidation type="list" sqref="V132" allowBlank="true" errorStyle="stop" showErrorMessage="true" showInputMessage="true">
      <formula1>"Mercado Envios por conta do comprador,Mercado Envios grátis"</formula1>
    </dataValidation>
    <dataValidation type="list" sqref="W132" allowBlank="true" errorStyle="stop" showErrorMessage="true" showInputMessage="true">
      <formula1>"Clássico,Premium"</formula1>
    </dataValidation>
    <dataValidation type="list" sqref="J133" allowBlank="true" errorStyle="stop" showErrorMessage="true" showInputMessage="true">
      <formula1>"R$"</formula1>
    </dataValidation>
    <dataValidation type="list" sqref="K133" allowBlank="true" errorStyle="stop" showErrorMessage="true" showInputMessage="true">
      <formula1>"Com impostos,Sem impostos"</formula1>
    </dataValidation>
    <dataValidation type="list" sqref="V133" allowBlank="true" errorStyle="stop" showErrorMessage="true" showInputMessage="true">
      <formula1>"Mercado Envios por conta do comprador,Mercado Envios grátis"</formula1>
    </dataValidation>
    <dataValidation type="list" sqref="W133" allowBlank="true" errorStyle="stop" showErrorMessage="true" showInputMessage="true">
      <formula1>"Clássico,Premium"</formula1>
    </dataValidation>
    <dataValidation type="list" sqref="J134" allowBlank="true" errorStyle="stop" showErrorMessage="true" showInputMessage="true">
      <formula1>"R$"</formula1>
    </dataValidation>
    <dataValidation type="list" sqref="K134" allowBlank="true" errorStyle="stop" showErrorMessage="true" showInputMessage="true">
      <formula1>"Com impostos,Sem impostos"</formula1>
    </dataValidation>
    <dataValidation type="list" sqref="V134" allowBlank="true" errorStyle="stop" showErrorMessage="true" showInputMessage="true">
      <formula1>"Mercado Envios por conta do comprador,Mercado Envios grátis"</formula1>
    </dataValidation>
    <dataValidation type="list" sqref="W134" allowBlank="true" errorStyle="stop" showErrorMessage="true" showInputMessage="true">
      <formula1>"Clássico,Premium"</formula1>
    </dataValidation>
    <dataValidation type="list" sqref="J135" allowBlank="true" errorStyle="stop" showErrorMessage="true" showInputMessage="true">
      <formula1>"R$"</formula1>
    </dataValidation>
    <dataValidation type="list" sqref="K135" allowBlank="true" errorStyle="stop" showErrorMessage="true" showInputMessage="true">
      <formula1>"Com impostos,Sem impostos"</formula1>
    </dataValidation>
    <dataValidation type="list" sqref="V135" allowBlank="true" errorStyle="stop" showErrorMessage="true" showInputMessage="true">
      <formula1>"Mercado Envios por conta do comprador,Mercado Envios grátis"</formula1>
    </dataValidation>
    <dataValidation type="list" sqref="W135" allowBlank="true" errorStyle="stop" showErrorMessage="true" showInputMessage="true">
      <formula1>"Clássico,Premium"</formula1>
    </dataValidation>
    <dataValidation type="list" sqref="J136" allowBlank="true" errorStyle="stop" showErrorMessage="true" showInputMessage="true">
      <formula1>"R$"</formula1>
    </dataValidation>
    <dataValidation type="list" sqref="K136" allowBlank="true" errorStyle="stop" showErrorMessage="true" showInputMessage="true">
      <formula1>"Com impostos,Sem impostos"</formula1>
    </dataValidation>
    <dataValidation type="list" sqref="V136" allowBlank="true" errorStyle="stop" showErrorMessage="true" showInputMessage="true">
      <formula1>"Mercado Envios por conta do comprador,Mercado Envios grátis"</formula1>
    </dataValidation>
    <dataValidation type="list" sqref="W136" allowBlank="true" errorStyle="stop" showErrorMessage="true" showInputMessage="true">
      <formula1>"Clássico,Premium"</formula1>
    </dataValidation>
    <dataValidation type="list" sqref="J137" allowBlank="true" errorStyle="stop" showErrorMessage="true" showInputMessage="true">
      <formula1>"R$"</formula1>
    </dataValidation>
    <dataValidation type="list" sqref="K137" allowBlank="true" errorStyle="stop" showErrorMessage="true" showInputMessage="true">
      <formula1>"Com impostos,Sem impostos"</formula1>
    </dataValidation>
    <dataValidation type="list" sqref="V137" allowBlank="true" errorStyle="stop" showErrorMessage="true" showInputMessage="true">
      <formula1>"Mercado Envios por conta do comprador,Mercado Envios grátis"</formula1>
    </dataValidation>
    <dataValidation type="list" sqref="W137" allowBlank="true" errorStyle="stop" showErrorMessage="true" showInputMessage="true">
      <formula1>"Clássico,Premium"</formula1>
    </dataValidation>
    <dataValidation type="list" sqref="J138" allowBlank="true" errorStyle="stop" showErrorMessage="true" showInputMessage="true">
      <formula1>"R$"</formula1>
    </dataValidation>
    <dataValidation type="list" sqref="K138" allowBlank="true" errorStyle="stop" showErrorMessage="true" showInputMessage="true">
      <formula1>"Com impostos,Sem impostos"</formula1>
    </dataValidation>
    <dataValidation type="list" sqref="V138" allowBlank="true" errorStyle="stop" showErrorMessage="true" showInputMessage="true">
      <formula1>"Mercado Envios por conta do comprador,Mercado Envios grátis"</formula1>
    </dataValidation>
    <dataValidation type="list" sqref="W138" allowBlank="true" errorStyle="stop" showErrorMessage="true" showInputMessage="true">
      <formula1>"Clássico,Premium"</formula1>
    </dataValidation>
    <dataValidation type="list" sqref="J139" allowBlank="true" errorStyle="stop" showErrorMessage="true" showInputMessage="true">
      <formula1>"R$"</formula1>
    </dataValidation>
    <dataValidation type="list" sqref="K139" allowBlank="true" errorStyle="stop" showErrorMessage="true" showInputMessage="true">
      <formula1>"Com impostos,Sem impostos"</formula1>
    </dataValidation>
    <dataValidation type="list" sqref="V139" allowBlank="true" errorStyle="stop" showErrorMessage="true" showInputMessage="true">
      <formula1>"Mercado Envios por conta do comprador,Mercado Envios grátis"</formula1>
    </dataValidation>
    <dataValidation type="list" sqref="W139" allowBlank="true" errorStyle="stop" showErrorMessage="true" showInputMessage="true">
      <formula1>"Clássico,Premium"</formula1>
    </dataValidation>
    <dataValidation type="list" sqref="J140" allowBlank="true" errorStyle="stop" showErrorMessage="true" showInputMessage="true">
      <formula1>"R$"</formula1>
    </dataValidation>
    <dataValidation type="list" sqref="V140" allowBlank="true" errorStyle="stop" showErrorMessage="true" showInputMessage="true">
      <formula1>"Mercado Envios por conta do comprador,Mercado Envios grátis"</formula1>
    </dataValidation>
    <dataValidation type="list" sqref="W140" allowBlank="true" errorStyle="stop" showErrorMessage="true" showInputMessage="true">
      <formula1>"Clássico,Premium"</formula1>
    </dataValidation>
    <dataValidation type="list" sqref="J143" allowBlank="true" errorStyle="stop" showErrorMessage="true" showInputMessage="true">
      <formula1>"R$"</formula1>
    </dataValidation>
    <dataValidation type="list" sqref="K143" allowBlank="true" errorStyle="stop" showErrorMessage="true" showInputMessage="true">
      <formula1>"Com impostos,Sem impostos"</formula1>
    </dataValidation>
    <dataValidation type="list" sqref="V143" allowBlank="true" errorStyle="stop" showErrorMessage="true" showInputMessage="true">
      <formula1>"Mercado Envios por conta do comprador,Mercado Envios grátis"</formula1>
    </dataValidation>
    <dataValidation type="list" sqref="W143" allowBlank="true" errorStyle="stop" showErrorMessage="true" showInputMessage="true">
      <formula1>"Clássico,Premium"</formula1>
    </dataValidation>
    <dataValidation type="list" sqref="J144" allowBlank="true" errorStyle="stop" showErrorMessage="true" showInputMessage="true">
      <formula1>"R$"</formula1>
    </dataValidation>
    <dataValidation type="list" sqref="K144" allowBlank="true" errorStyle="stop" showErrorMessage="true" showInputMessage="true">
      <formula1>"Com impostos,Sem impostos"</formula1>
    </dataValidation>
    <dataValidation type="list" sqref="V144" allowBlank="true" errorStyle="stop" showErrorMessage="true" showInputMessage="true">
      <formula1>"Mercado Envios por conta do comprador,Mercado Envios grátis"</formula1>
    </dataValidation>
    <dataValidation type="list" sqref="W144" allowBlank="true" errorStyle="stop" showErrorMessage="true" showInputMessage="true">
      <formula1>"Clássico,Premium"</formula1>
    </dataValidation>
    <dataValidation type="list" sqref="J145" allowBlank="true" errorStyle="stop" showErrorMessage="true" showInputMessage="true">
      <formula1>"R$"</formula1>
    </dataValidation>
    <dataValidation type="list" sqref="K145" allowBlank="true" errorStyle="stop" showErrorMessage="true" showInputMessage="true">
      <formula1>"Com impostos,Sem impostos"</formula1>
    </dataValidation>
    <dataValidation type="list" sqref="V145" allowBlank="true" errorStyle="stop" showErrorMessage="true" showInputMessage="true">
      <formula1>"Mercado Envios por conta do comprador,Mercado Envios grátis"</formula1>
    </dataValidation>
    <dataValidation type="list" sqref="W145" allowBlank="true" errorStyle="stop" showErrorMessage="true" showInputMessage="true">
      <formula1>"Clássico,Premium"</formula1>
    </dataValidation>
    <dataValidation type="list" sqref="J146" allowBlank="true" errorStyle="stop" showErrorMessage="true" showInputMessage="true">
      <formula1>"R$"</formula1>
    </dataValidation>
    <dataValidation type="list" sqref="K146" allowBlank="true" errorStyle="stop" showErrorMessage="true" showInputMessage="true">
      <formula1>"Com impostos,Sem impostos"</formula1>
    </dataValidation>
    <dataValidation type="list" sqref="V146" allowBlank="true" errorStyle="stop" showErrorMessage="true" showInputMessage="true">
      <formula1>"Mercado Envios por conta do comprador,Mercado Envios grátis"</formula1>
    </dataValidation>
    <dataValidation type="list" sqref="W146" allowBlank="true" errorStyle="stop" showErrorMessage="true" showInputMessage="true">
      <formula1>"Clássico,Premium"</formula1>
    </dataValidation>
    <dataValidation type="list" sqref="J147" allowBlank="true" errorStyle="stop" showErrorMessage="true" showInputMessage="true">
      <formula1>"R$"</formula1>
    </dataValidation>
    <dataValidation type="list" sqref="K147" allowBlank="true" errorStyle="stop" showErrorMessage="true" showInputMessage="true">
      <formula1>"Com impostos,Sem impostos"</formula1>
    </dataValidation>
    <dataValidation type="list" sqref="V147" allowBlank="true" errorStyle="stop" showErrorMessage="true" showInputMessage="true">
      <formula1>"Mercado Envios por conta do comprador,Mercado Envios grátis"</formula1>
    </dataValidation>
    <dataValidation type="list" sqref="W147" allowBlank="true" errorStyle="stop" showErrorMessage="true" showInputMessage="true">
      <formula1>"Clássico,Premium"</formula1>
    </dataValidation>
    <dataValidation type="list" sqref="J148" allowBlank="true" errorStyle="stop" showErrorMessage="true" showInputMessage="true">
      <formula1>"R$"</formula1>
    </dataValidation>
    <dataValidation type="list" sqref="K148" allowBlank="true" errorStyle="stop" showErrorMessage="true" showInputMessage="true">
      <formula1>"Com impostos,Sem impostos"</formula1>
    </dataValidation>
    <dataValidation type="list" sqref="V148" allowBlank="true" errorStyle="stop" showErrorMessage="true" showInputMessage="true">
      <formula1>"Mercado Envios por conta do comprador,Mercado Envios grátis"</formula1>
    </dataValidation>
    <dataValidation type="list" sqref="W148" allowBlank="true" errorStyle="stop" showErrorMessage="true" showInputMessage="true">
      <formula1>"Clássico,Premium"</formula1>
    </dataValidation>
    <dataValidation type="list" sqref="J149" allowBlank="true" errorStyle="stop" showErrorMessage="true" showInputMessage="true">
      <formula1>"R$"</formula1>
    </dataValidation>
    <dataValidation type="list" sqref="K149" allowBlank="true" errorStyle="stop" showErrorMessage="true" showInputMessage="true">
      <formula1>"Com impostos,Sem impostos"</formula1>
    </dataValidation>
    <dataValidation type="list" sqref="V149" allowBlank="true" errorStyle="stop" showErrorMessage="true" showInputMessage="true">
      <formula1>"Mercado Envios por conta do comprador,Mercado Envios grátis"</formula1>
    </dataValidation>
    <dataValidation type="list" sqref="W149" allowBlank="true" errorStyle="stop" showErrorMessage="true" showInputMessage="true">
      <formula1>"Clássico,Premium"</formula1>
    </dataValidation>
    <dataValidation type="list" sqref="J150" allowBlank="true" errorStyle="stop" showErrorMessage="true" showInputMessage="true">
      <formula1>"R$"</formula1>
    </dataValidation>
    <dataValidation type="list" sqref="V150" allowBlank="true" errorStyle="stop" showErrorMessage="true" showInputMessage="true">
      <formula1>"Mercado Envios por conta do comprador,Mercado Envios grátis"</formula1>
    </dataValidation>
    <dataValidation type="list" sqref="W150" allowBlank="true" errorStyle="stop" showErrorMessage="true" showInputMessage="true">
      <formula1>"Clássico,Premium"</formula1>
    </dataValidation>
    <dataValidation type="list" sqref="J153" allowBlank="true" errorStyle="stop" showErrorMessage="true" showInputMessage="true">
      <formula1>"R$"</formula1>
    </dataValidation>
    <dataValidation type="list" sqref="K153" allowBlank="true" errorStyle="stop" showErrorMessage="true" showInputMessage="true">
      <formula1>"Com impostos,Sem impostos"</formula1>
    </dataValidation>
    <dataValidation type="list" sqref="V153" allowBlank="true" errorStyle="stop" showErrorMessage="true" showInputMessage="true">
      <formula1>"Mercado Envios por conta do comprador,Mercado Envios grátis"</formula1>
    </dataValidation>
    <dataValidation type="list" sqref="W153" allowBlank="true" errorStyle="stop" showErrorMessage="true" showInputMessage="true">
      <formula1>"Clássico,Premium"</formula1>
    </dataValidation>
    <dataValidation type="list" sqref="J154" allowBlank="true" errorStyle="stop" showErrorMessage="true" showInputMessage="true">
      <formula1>"R$"</formula1>
    </dataValidation>
    <dataValidation type="list" sqref="K154" allowBlank="true" errorStyle="stop" showErrorMessage="true" showInputMessage="true">
      <formula1>"Com impostos,Sem impostos"</formula1>
    </dataValidation>
    <dataValidation type="list" sqref="V154" allowBlank="true" errorStyle="stop" showErrorMessage="true" showInputMessage="true">
      <formula1>"Mercado Envios por conta do comprador,Mercado Envios grátis"</formula1>
    </dataValidation>
    <dataValidation type="list" sqref="W154" allowBlank="true" errorStyle="stop" showErrorMessage="true" showInputMessage="true">
      <formula1>"Clássico,Premium"</formula1>
    </dataValidation>
    <dataValidation type="list" sqref="J155" allowBlank="true" errorStyle="stop" showErrorMessage="true" showInputMessage="true">
      <formula1>"R$"</formula1>
    </dataValidation>
    <dataValidation type="list" sqref="K155" allowBlank="true" errorStyle="stop" showErrorMessage="true" showInputMessage="true">
      <formula1>"Com impostos,Sem impostos"</formula1>
    </dataValidation>
    <dataValidation type="list" sqref="V155" allowBlank="true" errorStyle="stop" showErrorMessage="true" showInputMessage="true">
      <formula1>"Mercado Envios por conta do comprador,Mercado Envios grátis"</formula1>
    </dataValidation>
    <dataValidation type="list" sqref="W155" allowBlank="true" errorStyle="stop" showErrorMessage="true" showInputMessage="true">
      <formula1>"Clássico,Premium"</formula1>
    </dataValidation>
    <dataValidation type="list" sqref="J156" allowBlank="true" errorStyle="stop" showErrorMessage="true" showInputMessage="true">
      <formula1>"R$"</formula1>
    </dataValidation>
    <dataValidation type="list" sqref="K156" allowBlank="true" errorStyle="stop" showErrorMessage="true" showInputMessage="true">
      <formula1>"Com impostos,Sem impostos"</formula1>
    </dataValidation>
    <dataValidation type="list" sqref="V156" allowBlank="true" errorStyle="stop" showErrorMessage="true" showInputMessage="true">
      <formula1>"Mercado Envios por conta do comprador,Mercado Envios grátis"</formula1>
    </dataValidation>
    <dataValidation type="list" sqref="W156" allowBlank="true" errorStyle="stop" showErrorMessage="true" showInputMessage="true">
      <formula1>"Clássico,Premium"</formula1>
    </dataValidation>
    <dataValidation type="list" sqref="J157" allowBlank="true" errorStyle="stop" showErrorMessage="true" showInputMessage="true">
      <formula1>"R$"</formula1>
    </dataValidation>
    <dataValidation type="list" sqref="K157" allowBlank="true" errorStyle="stop" showErrorMessage="true" showInputMessage="true">
      <formula1>"Com impostos,Sem impostos"</formula1>
    </dataValidation>
    <dataValidation type="list" sqref="V157" allowBlank="true" errorStyle="stop" showErrorMessage="true" showInputMessage="true">
      <formula1>"Mercado Envios por conta do comprador,Mercado Envios grátis"</formula1>
    </dataValidation>
    <dataValidation type="list" sqref="W157" allowBlank="true" errorStyle="stop" showErrorMessage="true" showInputMessage="true">
      <formula1>"Clássico,Premium"</formula1>
    </dataValidation>
    <dataValidation type="list" sqref="J158" allowBlank="true" errorStyle="stop" showErrorMessage="true" showInputMessage="true">
      <formula1>"R$"</formula1>
    </dataValidation>
    <dataValidation type="list" sqref="V158" allowBlank="true" errorStyle="stop" showErrorMessage="true" showInputMessage="true">
      <formula1>"Mercado Envios por conta do comprador,Mercado Envios grátis"</formula1>
    </dataValidation>
    <dataValidation type="list" sqref="W158" allowBlank="true" errorStyle="stop" showErrorMessage="true" showInputMessage="true">
      <formula1>"Clássico,Premium"</formula1>
    </dataValidation>
    <dataValidation type="list" sqref="J165" allowBlank="true" errorStyle="stop" showErrorMessage="true" showInputMessage="true">
      <formula1>"R$"</formula1>
    </dataValidation>
    <dataValidation type="list" sqref="V165" allowBlank="true" errorStyle="stop" showErrorMessage="true" showInputMessage="true">
      <formula1>"Mercado Envios por conta do comprador,Mercado Envios grátis"</formula1>
    </dataValidation>
    <dataValidation type="list" sqref="W165" allowBlank="true" errorStyle="stop" showErrorMessage="true" showInputMessage="true">
      <formula1>"Clássico,Premium"</formula1>
    </dataValidation>
    <dataValidation type="list" sqref="J168" allowBlank="true" errorStyle="stop" showErrorMessage="true" showInputMessage="true">
      <formula1>"R$"</formula1>
    </dataValidation>
    <dataValidation type="list" sqref="K168" allowBlank="true" errorStyle="stop" showErrorMessage="true" showInputMessage="true">
      <formula1>"Com impostos,Sem impostos"</formula1>
    </dataValidation>
    <dataValidation type="list" sqref="V168" allowBlank="true" errorStyle="stop" showErrorMessage="true" showInputMessage="true">
      <formula1>"Mercado Envios por conta do comprador,Mercado Envios grátis"</formula1>
    </dataValidation>
    <dataValidation type="list" sqref="W168" allowBlank="true" errorStyle="stop" showErrorMessage="true" showInputMessage="true">
      <formula1>"Clássico,Premium"</formula1>
    </dataValidation>
    <dataValidation type="list" sqref="J169" allowBlank="true" errorStyle="stop" showErrorMessage="true" showInputMessage="true">
      <formula1>"R$"</formula1>
    </dataValidation>
    <dataValidation type="list" sqref="K169" allowBlank="true" errorStyle="stop" showErrorMessage="true" showInputMessage="true">
      <formula1>"Com impostos,Sem impostos"</formula1>
    </dataValidation>
    <dataValidation type="list" sqref="V169" allowBlank="true" errorStyle="stop" showErrorMessage="true" showInputMessage="true">
      <formula1>"Mercado Envios por conta do comprador,Mercado Envios grátis"</formula1>
    </dataValidation>
    <dataValidation type="list" sqref="W169" allowBlank="true" errorStyle="stop" showErrorMessage="true" showInputMessage="true">
      <formula1>"Clássico,Premium"</formula1>
    </dataValidation>
    <dataValidation type="list" sqref="J170" allowBlank="true" errorStyle="stop" showErrorMessage="true" showInputMessage="true">
      <formula1>"R$"</formula1>
    </dataValidation>
    <dataValidation type="list" sqref="K170" allowBlank="true" errorStyle="stop" showErrorMessage="true" showInputMessage="true">
      <formula1>"Com impostos,Sem impostos"</formula1>
    </dataValidation>
    <dataValidation type="list" sqref="V170" allowBlank="true" errorStyle="stop" showErrorMessage="true" showInputMessage="true">
      <formula1>"Mercado Envios por conta do comprador,Mercado Envios grátis"</formula1>
    </dataValidation>
    <dataValidation type="list" sqref="W170" allowBlank="true" errorStyle="stop" showErrorMessage="true" showInputMessage="true">
      <formula1>"Clássico,Premium"</formula1>
    </dataValidation>
    <dataValidation type="list" sqref="J171" allowBlank="true" errorStyle="stop" showErrorMessage="true" showInputMessage="true">
      <formula1>"R$"</formula1>
    </dataValidation>
    <dataValidation type="list" sqref="K171" allowBlank="true" errorStyle="stop" showErrorMessage="true" showInputMessage="true">
      <formula1>"Com impostos,Sem impostos"</formula1>
    </dataValidation>
    <dataValidation type="list" sqref="V171" allowBlank="true" errorStyle="stop" showErrorMessage="true" showInputMessage="true">
      <formula1>"Mercado Envios por conta do comprador,Mercado Envios grátis"</formula1>
    </dataValidation>
    <dataValidation type="list" sqref="W171" allowBlank="true" errorStyle="stop" showErrorMessage="true" showInputMessage="true">
      <formula1>"Clássico,Premium"</formula1>
    </dataValidation>
    <dataValidation type="list" sqref="J172" allowBlank="true" errorStyle="stop" showErrorMessage="true" showInputMessage="true">
      <formula1>"R$"</formula1>
    </dataValidation>
    <dataValidation type="list" sqref="K172" allowBlank="true" errorStyle="stop" showErrorMessage="true" showInputMessage="true">
      <formula1>"Com impostos,Sem impostos"</formula1>
    </dataValidation>
    <dataValidation type="list" sqref="V172" allowBlank="true" errorStyle="stop" showErrorMessage="true" showInputMessage="true">
      <formula1>"Mercado Envios por conta do comprador,Mercado Envios grátis"</formula1>
    </dataValidation>
    <dataValidation type="list" sqref="W172" allowBlank="true" errorStyle="stop" showErrorMessage="true" showInputMessage="true">
      <formula1>"Clássico,Premium"</formula1>
    </dataValidation>
    <dataValidation type="list" sqref="J173" allowBlank="true" errorStyle="stop" showErrorMessage="true" showInputMessage="true">
      <formula1>"R$"</formula1>
    </dataValidation>
    <dataValidation type="list" sqref="K173" allowBlank="true" errorStyle="stop" showErrorMessage="true" showInputMessage="true">
      <formula1>"Com impostos,Sem impostos"</formula1>
    </dataValidation>
    <dataValidation type="list" sqref="V173" allowBlank="true" errorStyle="stop" showErrorMessage="true" showInputMessage="true">
      <formula1>"Mercado Envios por conta do comprador,Mercado Envios grátis"</formula1>
    </dataValidation>
    <dataValidation type="list" sqref="W173" allowBlank="true" errorStyle="stop" showErrorMessage="true" showInputMessage="true">
      <formula1>"Clássico,Premium"</formula1>
    </dataValidation>
    <dataValidation type="list" sqref="J174" allowBlank="true" errorStyle="stop" showErrorMessage="true" showInputMessage="true">
      <formula1>"R$"</formula1>
    </dataValidation>
    <dataValidation type="list" sqref="K174" allowBlank="true" errorStyle="stop" showErrorMessage="true" showInputMessage="true">
      <formula1>"Com impostos,Sem impostos"</formula1>
    </dataValidation>
    <dataValidation type="list" sqref="V174" allowBlank="true" errorStyle="stop" showErrorMessage="true" showInputMessage="true">
      <formula1>"Mercado Envios por conta do comprador,Mercado Envios grátis"</formula1>
    </dataValidation>
    <dataValidation type="list" sqref="W174" allowBlank="true" errorStyle="stop" showErrorMessage="true" showInputMessage="true">
      <formula1>"Clássico,Premium"</formula1>
    </dataValidation>
    <dataValidation type="list" sqref="J175" allowBlank="true" errorStyle="stop" showErrorMessage="true" showInputMessage="true">
      <formula1>"R$"</formula1>
    </dataValidation>
    <dataValidation type="list" sqref="K175" allowBlank="true" errorStyle="stop" showErrorMessage="true" showInputMessage="true">
      <formula1>"Com impostos,Sem impostos"</formula1>
    </dataValidation>
    <dataValidation type="list" sqref="V175" allowBlank="true" errorStyle="stop" showErrorMessage="true" showInputMessage="true">
      <formula1>"Mercado Envios por conta do comprador,Mercado Envios grátis"</formula1>
    </dataValidation>
    <dataValidation type="list" sqref="W175" allowBlank="true" errorStyle="stop" showErrorMessage="true" showInputMessage="true">
      <formula1>"Clássico,Premium"</formula1>
    </dataValidation>
    <dataValidation type="list" sqref="J176" allowBlank="true" errorStyle="stop" showErrorMessage="true" showInputMessage="true">
      <formula1>"R$"</formula1>
    </dataValidation>
    <dataValidation type="list" sqref="K176" allowBlank="true" errorStyle="stop" showErrorMessage="true" showInputMessage="true">
      <formula1>"Com impostos,Sem impostos"</formula1>
    </dataValidation>
    <dataValidation type="list" sqref="V176" allowBlank="true" errorStyle="stop" showErrorMessage="true" showInputMessage="true">
      <formula1>"Mercado Envios por conta do comprador,Mercado Envios grátis"</formula1>
    </dataValidation>
    <dataValidation type="list" sqref="W176" allowBlank="true" errorStyle="stop" showErrorMessage="true" showInputMessage="true">
      <formula1>"Clássico,Premium"</formula1>
    </dataValidation>
    <dataValidation type="list" sqref="J177" allowBlank="true" errorStyle="stop" showErrorMessage="true" showInputMessage="true">
      <formula1>"R$"</formula1>
    </dataValidation>
    <dataValidation type="list" sqref="K177" allowBlank="true" errorStyle="stop" showErrorMessage="true" showInputMessage="true">
      <formula1>"Com impostos,Sem impostos"</formula1>
    </dataValidation>
    <dataValidation type="list" sqref="V177" allowBlank="true" errorStyle="stop" showErrorMessage="true" showInputMessage="true">
      <formula1>"Mercado Envios por conta do comprador,Mercado Envios grátis"</formula1>
    </dataValidation>
    <dataValidation type="list" sqref="W177" allowBlank="true" errorStyle="stop" showErrorMessage="true" showInputMessage="true">
      <formula1>"Clássico,Premium"</formula1>
    </dataValidation>
    <dataValidation type="list" sqref="J178" allowBlank="true" errorStyle="stop" showErrorMessage="true" showInputMessage="true">
      <formula1>"R$"</formula1>
    </dataValidation>
    <dataValidation type="list" sqref="K178" allowBlank="true" errorStyle="stop" showErrorMessage="true" showInputMessage="true">
      <formula1>"Com impostos,Sem impostos"</formula1>
    </dataValidation>
    <dataValidation type="list" sqref="V178" allowBlank="true" errorStyle="stop" showErrorMessage="true" showInputMessage="true">
      <formula1>"Mercado Envios por conta do comprador,Mercado Envios grátis"</formula1>
    </dataValidation>
    <dataValidation type="list" sqref="W178" allowBlank="true" errorStyle="stop" showErrorMessage="true" showInputMessage="true">
      <formula1>"Clássico,Premium"</formula1>
    </dataValidation>
    <dataValidation type="list" sqref="J179" allowBlank="true" errorStyle="stop" showErrorMessage="true" showInputMessage="true">
      <formula1>"R$"</formula1>
    </dataValidation>
    <dataValidation type="list" sqref="K179" allowBlank="true" errorStyle="stop" showErrorMessage="true" showInputMessage="true">
      <formula1>"Com impostos,Sem impostos"</formula1>
    </dataValidation>
    <dataValidation type="list" sqref="V179" allowBlank="true" errorStyle="stop" showErrorMessage="true" showInputMessage="true">
      <formula1>"Mercado Envios por conta do comprador,Mercado Envios grátis"</formula1>
    </dataValidation>
    <dataValidation type="list" sqref="W179" allowBlank="true" errorStyle="stop" showErrorMessage="true" showInputMessage="true">
      <formula1>"Clássico,Premium"</formula1>
    </dataValidation>
    <dataValidation type="list" sqref="J180" allowBlank="true" errorStyle="stop" showErrorMessage="true" showInputMessage="true">
      <formula1>"R$"</formula1>
    </dataValidation>
    <dataValidation type="list" sqref="K180" allowBlank="true" errorStyle="stop" showErrorMessage="true" showInputMessage="true">
      <formula1>"Com impostos,Sem impostos"</formula1>
    </dataValidation>
    <dataValidation type="list" sqref="V180" allowBlank="true" errorStyle="stop" showErrorMessage="true" showInputMessage="true">
      <formula1>"Mercado Envios por conta do comprador,Mercado Envios grátis"</formula1>
    </dataValidation>
    <dataValidation type="list" sqref="W180" allowBlank="true" errorStyle="stop" showErrorMessage="true" showInputMessage="true">
      <formula1>"Clássico,Premium"</formula1>
    </dataValidation>
    <dataValidation type="list" sqref="J181" allowBlank="true" errorStyle="stop" showErrorMessage="true" showInputMessage="true">
      <formula1>"R$"</formula1>
    </dataValidation>
    <dataValidation type="list" sqref="V181" allowBlank="true" errorStyle="stop" showErrorMessage="true" showInputMessage="true">
      <formula1>"Mercado Envios por conta do comprador,Mercado Envios grátis"</formula1>
    </dataValidation>
    <dataValidation type="list" sqref="W181" allowBlank="true" errorStyle="stop" showErrorMessage="true" showInputMessage="true">
      <formula1>"Clássico,Premium"</formula1>
    </dataValidation>
    <dataValidation type="list" sqref="J194" allowBlank="true" errorStyle="stop" showErrorMessage="true" showInputMessage="true">
      <formula1>"R$"</formula1>
    </dataValidation>
    <dataValidation type="list" sqref="K194" allowBlank="true" errorStyle="stop" showErrorMessage="true" showInputMessage="true">
      <formula1>"Com impostos,Sem impostos"</formula1>
    </dataValidation>
    <dataValidation type="list" sqref="V194" allowBlank="true" errorStyle="stop" showErrorMessage="true" showInputMessage="true">
      <formula1>"Mercado Envios por conta do comprador,Mercado Envios grátis"</formula1>
    </dataValidation>
    <dataValidation type="list" sqref="W194" allowBlank="true" errorStyle="stop" showErrorMessage="true" showInputMessage="true">
      <formula1>"Clássico,Premium"</formula1>
    </dataValidation>
    <dataValidation type="list" sqref="J195" allowBlank="true" errorStyle="stop" showErrorMessage="true" showInputMessage="true">
      <formula1>"R$"</formula1>
    </dataValidation>
    <dataValidation type="list" sqref="K195" allowBlank="true" errorStyle="stop" showErrorMessage="true" showInputMessage="true">
      <formula1>"Com impostos,Sem impostos"</formula1>
    </dataValidation>
    <dataValidation type="list" sqref="V195" allowBlank="true" errorStyle="stop" showErrorMessage="true" showInputMessage="true">
      <formula1>"Mercado Envios por conta do comprador,Mercado Envios grátis"</formula1>
    </dataValidation>
    <dataValidation type="list" sqref="W195" allowBlank="true" errorStyle="stop" showErrorMessage="true" showInputMessage="true">
      <formula1>"Clássico,Premium"</formula1>
    </dataValidation>
    <dataValidation type="list" sqref="J196" allowBlank="true" errorStyle="stop" showErrorMessage="true" showInputMessage="true">
      <formula1>"R$"</formula1>
    </dataValidation>
    <dataValidation type="list" sqref="K196" allowBlank="true" errorStyle="stop" showErrorMessage="true" showInputMessage="true">
      <formula1>"Com impostos,Sem impostos"</formula1>
    </dataValidation>
    <dataValidation type="list" sqref="V196" allowBlank="true" errorStyle="stop" showErrorMessage="true" showInputMessage="true">
      <formula1>"Mercado Envios por conta do comprador,Mercado Envios grátis"</formula1>
    </dataValidation>
    <dataValidation type="list" sqref="W196" allowBlank="true" errorStyle="stop" showErrorMessage="true" showInputMessage="true">
      <formula1>"Clássico,Premium"</formula1>
    </dataValidation>
    <dataValidation type="list" sqref="J197" allowBlank="true" errorStyle="stop" showErrorMessage="true" showInputMessage="true">
      <formula1>"R$"</formula1>
    </dataValidation>
    <dataValidation type="list" sqref="K197" allowBlank="true" errorStyle="stop" showErrorMessage="true" showInputMessage="true">
      <formula1>"Com impostos,Sem impostos"</formula1>
    </dataValidation>
    <dataValidation type="list" sqref="V197" allowBlank="true" errorStyle="stop" showErrorMessage="true" showInputMessage="true">
      <formula1>"Mercado Envios por conta do comprador,Mercado Envios grátis"</formula1>
    </dataValidation>
    <dataValidation type="list" sqref="W197" allowBlank="true" errorStyle="stop" showErrorMessage="true" showInputMessage="true">
      <formula1>"Clássico,Premium"</formula1>
    </dataValidation>
    <dataValidation type="list" sqref="J198" allowBlank="true" errorStyle="stop" showErrorMessage="true" showInputMessage="true">
      <formula1>"R$"</formula1>
    </dataValidation>
    <dataValidation type="list" sqref="K198" allowBlank="true" errorStyle="stop" showErrorMessage="true" showInputMessage="true">
      <formula1>"Com impostos,Sem impostos"</formula1>
    </dataValidation>
    <dataValidation type="list" sqref="V198" allowBlank="true" errorStyle="stop" showErrorMessage="true" showInputMessage="true">
      <formula1>"Mercado Envios por conta do comprador,Mercado Envios grátis"</formula1>
    </dataValidation>
    <dataValidation type="list" sqref="W198" allowBlank="true" errorStyle="stop" showErrorMessage="true" showInputMessage="true">
      <formula1>"Clássico,Premium"</formula1>
    </dataValidation>
    <dataValidation type="list" sqref="J199" allowBlank="true" errorStyle="stop" showErrorMessage="true" showInputMessage="true">
      <formula1>"R$"</formula1>
    </dataValidation>
    <dataValidation type="list" sqref="K199" allowBlank="true" errorStyle="stop" showErrorMessage="true" showInputMessage="true">
      <formula1>"Com impostos,Sem impostos"</formula1>
    </dataValidation>
    <dataValidation type="list" sqref="V199" allowBlank="true" errorStyle="stop" showErrorMessage="true" showInputMessage="true">
      <formula1>"Mercado Envios por conta do comprador,Mercado Envios grátis"</formula1>
    </dataValidation>
    <dataValidation type="list" sqref="W199" allowBlank="true" errorStyle="stop" showErrorMessage="true" showInputMessage="true">
      <formula1>"Clássico,Premium"</formula1>
    </dataValidation>
    <dataValidation type="list" sqref="J200" allowBlank="true" errorStyle="stop" showErrorMessage="true" showInputMessage="true">
      <formula1>"R$"</formula1>
    </dataValidation>
    <dataValidation type="list" sqref="K200" allowBlank="true" errorStyle="stop" showErrorMessage="true" showInputMessage="true">
      <formula1>"Com impostos,Sem impostos"</formula1>
    </dataValidation>
    <dataValidation type="list" sqref="V200" allowBlank="true" errorStyle="stop" showErrorMessage="true" showInputMessage="true">
      <formula1>"Mercado Envios por conta do comprador,Mercado Envios grátis"</formula1>
    </dataValidation>
    <dataValidation type="list" sqref="W200" allowBlank="true" errorStyle="stop" showErrorMessage="true" showInputMessage="true">
      <formula1>"Clássico,Premium"</formula1>
    </dataValidation>
    <dataValidation type="list" sqref="J201" allowBlank="true" errorStyle="stop" showErrorMessage="true" showInputMessage="true">
      <formula1>"R$"</formula1>
    </dataValidation>
    <dataValidation type="list" sqref="K201" allowBlank="true" errorStyle="stop" showErrorMessage="true" showInputMessage="true">
      <formula1>"Com impostos,Sem impostos"</formula1>
    </dataValidation>
    <dataValidation type="list" sqref="V201" allowBlank="true" errorStyle="stop" showErrorMessage="true" showInputMessage="true">
      <formula1>"Mercado Envios por conta do comprador,Mercado Envios grátis"</formula1>
    </dataValidation>
    <dataValidation type="list" sqref="W201" allowBlank="true" errorStyle="stop" showErrorMessage="true" showInputMessage="true">
      <formula1>"Clássico,Premium"</formula1>
    </dataValidation>
    <dataValidation type="list" sqref="J202" allowBlank="true" errorStyle="stop" showErrorMessage="true" showInputMessage="true">
      <formula1>"R$"</formula1>
    </dataValidation>
    <dataValidation type="list" sqref="K202" allowBlank="true" errorStyle="stop" showErrorMessage="true" showInputMessage="true">
      <formula1>"Com impostos,Sem impostos"</formula1>
    </dataValidation>
    <dataValidation type="list" sqref="V202" allowBlank="true" errorStyle="stop" showErrorMessage="true" showInputMessage="true">
      <formula1>"Mercado Envios por conta do comprador,Mercado Envios grátis"</formula1>
    </dataValidation>
    <dataValidation type="list" sqref="W202" allowBlank="true" errorStyle="stop" showErrorMessage="true" showInputMessage="true">
      <formula1>"Clássico,Premium"</formula1>
    </dataValidation>
    <dataValidation type="list" sqref="J203" allowBlank="true" errorStyle="stop" showErrorMessage="true" showInputMessage="true">
      <formula1>"R$"</formula1>
    </dataValidation>
    <dataValidation type="list" sqref="K203" allowBlank="true" errorStyle="stop" showErrorMessage="true" showInputMessage="true">
      <formula1>"Com impostos,Sem impostos"</formula1>
    </dataValidation>
    <dataValidation type="list" sqref="V203" allowBlank="true" errorStyle="stop" showErrorMessage="true" showInputMessage="true">
      <formula1>"Mercado Envios por conta do comprador,Mercado Envios grátis"</formula1>
    </dataValidation>
    <dataValidation type="list" sqref="W203" allowBlank="true" errorStyle="stop" showErrorMessage="true" showInputMessage="true">
      <formula1>"Clássico,Premium"</formula1>
    </dataValidation>
    <dataValidation type="list" sqref="J204" allowBlank="true" errorStyle="stop" showErrorMessage="true" showInputMessage="true">
      <formula1>"R$"</formula1>
    </dataValidation>
    <dataValidation type="list" sqref="K204" allowBlank="true" errorStyle="stop" showErrorMessage="true" showInputMessage="true">
      <formula1>"Com impostos,Sem impostos"</formula1>
    </dataValidation>
    <dataValidation type="list" sqref="V204" allowBlank="true" errorStyle="stop" showErrorMessage="true" showInputMessage="true">
      <formula1>"Mercado Envios por conta do comprador,Mercado Envios grátis"</formula1>
    </dataValidation>
    <dataValidation type="list" sqref="W204" allowBlank="true" errorStyle="stop" showErrorMessage="true" showInputMessage="true">
      <formula1>"Clássico,Premium"</formula1>
    </dataValidation>
    <dataValidation type="list" sqref="J205" allowBlank="true" errorStyle="stop" showErrorMessage="true" showInputMessage="true">
      <formula1>"R$"</formula1>
    </dataValidation>
    <dataValidation type="list" sqref="K205" allowBlank="true" errorStyle="stop" showErrorMessage="true" showInputMessage="true">
      <formula1>"Com impostos,Sem impostos"</formula1>
    </dataValidation>
    <dataValidation type="list" sqref="V205" allowBlank="true" errorStyle="stop" showErrorMessage="true" showInputMessage="true">
      <formula1>"Mercado Envios por conta do comprador,Mercado Envios grátis"</formula1>
    </dataValidation>
    <dataValidation type="list" sqref="W205" allowBlank="true" errorStyle="stop" showErrorMessage="true" showInputMessage="true">
      <formula1>"Clássico,Premium"</formula1>
    </dataValidation>
    <dataValidation type="list" sqref="J206" allowBlank="true" errorStyle="stop" showErrorMessage="true" showInputMessage="true">
      <formula1>"R$"</formula1>
    </dataValidation>
    <dataValidation type="list" sqref="K206" allowBlank="true" errorStyle="stop" showErrorMessage="true" showInputMessage="true">
      <formula1>"Com impostos,Sem impostos"</formula1>
    </dataValidation>
    <dataValidation type="list" sqref="V206" allowBlank="true" errorStyle="stop" showErrorMessage="true" showInputMessage="true">
      <formula1>"Mercado Envios por conta do comprador,Mercado Envios grátis"</formula1>
    </dataValidation>
    <dataValidation type="list" sqref="W206" allowBlank="true" errorStyle="stop" showErrorMessage="true" showInputMessage="true">
      <formula1>"Clássico,Premium"</formula1>
    </dataValidation>
    <dataValidation type="list" sqref="J207" allowBlank="true" errorStyle="stop" showErrorMessage="true" showInputMessage="true">
      <formula1>"R$"</formula1>
    </dataValidation>
    <dataValidation type="list" sqref="K207" allowBlank="true" errorStyle="stop" showErrorMessage="true" showInputMessage="true">
      <formula1>"Com impostos,Sem impostos"</formula1>
    </dataValidation>
    <dataValidation type="list" sqref="V207" allowBlank="true" errorStyle="stop" showErrorMessage="true" showInputMessage="true">
      <formula1>"Mercado Envios por conta do comprador,Mercado Envios grátis"</formula1>
    </dataValidation>
    <dataValidation type="list" sqref="W207" allowBlank="true" errorStyle="stop" showErrorMessage="true" showInputMessage="true">
      <formula1>"Clássico,Premium"</formula1>
    </dataValidation>
    <dataValidation type="list" sqref="J208" allowBlank="true" errorStyle="stop" showErrorMessage="true" showInputMessage="true">
      <formula1>"R$"</formula1>
    </dataValidation>
    <dataValidation type="list" sqref="K208" allowBlank="true" errorStyle="stop" showErrorMessage="true" showInputMessage="true">
      <formula1>"Com impostos,Sem impostos"</formula1>
    </dataValidation>
    <dataValidation type="list" sqref="V208" allowBlank="true" errorStyle="stop" showErrorMessage="true" showInputMessage="true">
      <formula1>"Mercado Envios por conta do comprador,Mercado Envios grátis"</formula1>
    </dataValidation>
    <dataValidation type="list" sqref="W208" allowBlank="true" errorStyle="stop" showErrorMessage="true" showInputMessage="true">
      <formula1>"Clássico,Premium"</formula1>
    </dataValidation>
    <dataValidation type="list" sqref="J209" allowBlank="true" errorStyle="stop" showErrorMessage="true" showInputMessage="true">
      <formula1>"R$"</formula1>
    </dataValidation>
    <dataValidation type="list" sqref="K209" allowBlank="true" errorStyle="stop" showErrorMessage="true" showInputMessage="true">
      <formula1>"Com impostos,Sem impostos"</formula1>
    </dataValidation>
    <dataValidation type="list" sqref="V209" allowBlank="true" errorStyle="stop" showErrorMessage="true" showInputMessage="true">
      <formula1>"Mercado Envios por conta do comprador,Mercado Envios grátis"</formula1>
    </dataValidation>
    <dataValidation type="list" sqref="W209" allowBlank="true" errorStyle="stop" showErrorMessage="true" showInputMessage="true">
      <formula1>"Clássico,Premium"</formula1>
    </dataValidation>
    <dataValidation type="list" sqref="J210" allowBlank="true" errorStyle="stop" showErrorMessage="true" showInputMessage="true">
      <formula1>"R$"</formula1>
    </dataValidation>
    <dataValidation type="list" sqref="K210" allowBlank="true" errorStyle="stop" showErrorMessage="true" showInputMessage="true">
      <formula1>"Com impostos,Sem impostos"</formula1>
    </dataValidation>
    <dataValidation type="list" sqref="V210" allowBlank="true" errorStyle="stop" showErrorMessage="true" showInputMessage="true">
      <formula1>"Mercado Envios por conta do comprador,Mercado Envios grátis"</formula1>
    </dataValidation>
    <dataValidation type="list" sqref="W210" allowBlank="true" errorStyle="stop" showErrorMessage="true" showInputMessage="true">
      <formula1>"Clássico,Premium"</formula1>
    </dataValidation>
    <dataValidation type="list" sqref="J211" allowBlank="true" errorStyle="stop" showErrorMessage="true" showInputMessage="true">
      <formula1>"R$"</formula1>
    </dataValidation>
    <dataValidation type="list" sqref="K211" allowBlank="true" errorStyle="stop" showErrorMessage="true" showInputMessage="true">
      <formula1>"Com impostos,Sem impostos"</formula1>
    </dataValidation>
    <dataValidation type="list" sqref="V211" allowBlank="true" errorStyle="stop" showErrorMessage="true" showInputMessage="true">
      <formula1>"Mercado Envios por conta do comprador,Mercado Envios grátis"</formula1>
    </dataValidation>
    <dataValidation type="list" sqref="W211" allowBlank="true" errorStyle="stop" showErrorMessage="true" showInputMessage="true">
      <formula1>"Clássico,Premium"</formula1>
    </dataValidation>
    <dataValidation type="list" sqref="J212" allowBlank="true" errorStyle="stop" showErrorMessage="true" showInputMessage="true">
      <formula1>"R$"</formula1>
    </dataValidation>
    <dataValidation type="list" sqref="K212" allowBlank="true" errorStyle="stop" showErrorMessage="true" showInputMessage="true">
      <formula1>"Com impostos,Sem impostos"</formula1>
    </dataValidation>
    <dataValidation type="list" sqref="V212" allowBlank="true" errorStyle="stop" showErrorMessage="true" showInputMessage="true">
      <formula1>"Mercado Envios por conta do comprador,Mercado Envios grátis"</formula1>
    </dataValidation>
    <dataValidation type="list" sqref="W212" allowBlank="true" errorStyle="stop" showErrorMessage="true" showInputMessage="true">
      <formula1>"Clássico,Premium"</formula1>
    </dataValidation>
    <dataValidation type="list" sqref="J213" allowBlank="true" errorStyle="stop" showErrorMessage="true" showInputMessage="true">
      <formula1>"R$"</formula1>
    </dataValidation>
    <dataValidation type="list" sqref="K213" allowBlank="true" errorStyle="stop" showErrorMessage="true" showInputMessage="true">
      <formula1>"Com impostos,Sem impostos"</formula1>
    </dataValidation>
    <dataValidation type="list" sqref="V213" allowBlank="true" errorStyle="stop" showErrorMessage="true" showInputMessage="true">
      <formula1>"Mercado Envios por conta do comprador,Mercado Envios grátis"</formula1>
    </dataValidation>
    <dataValidation type="list" sqref="W213" allowBlank="true" errorStyle="stop" showErrorMessage="true" showInputMessage="true">
      <formula1>"Clássico,Premium"</formula1>
    </dataValidation>
    <dataValidation type="list" sqref="J214" allowBlank="true" errorStyle="stop" showErrorMessage="true" showInputMessage="true">
      <formula1>"R$"</formula1>
    </dataValidation>
    <dataValidation type="list" sqref="K214" allowBlank="true" errorStyle="stop" showErrorMessage="true" showInputMessage="true">
      <formula1>"Com impostos,Sem impostos"</formula1>
    </dataValidation>
    <dataValidation type="list" sqref="V214" allowBlank="true" errorStyle="stop" showErrorMessage="true" showInputMessage="true">
      <formula1>"Mercado Envios por conta do comprador,Mercado Envios grátis"</formula1>
    </dataValidation>
    <dataValidation type="list" sqref="W214" allowBlank="true" errorStyle="stop" showErrorMessage="true" showInputMessage="true">
      <formula1>"Clássico,Premium"</formula1>
    </dataValidation>
    <dataValidation type="list" sqref="J215" allowBlank="true" errorStyle="stop" showErrorMessage="true" showInputMessage="true">
      <formula1>"R$"</formula1>
    </dataValidation>
    <dataValidation type="list" sqref="V215" allowBlank="true" errorStyle="stop" showErrorMessage="true" showInputMessage="true">
      <formula1>"Mercado Envios por conta do comprador,Mercado Envios grátis"</formula1>
    </dataValidation>
    <dataValidation type="list" sqref="W215" allowBlank="true" errorStyle="stop" showErrorMessage="true" showInputMessage="true">
      <formula1>"Clássico,Premium"</formula1>
    </dataValidation>
    <dataValidation type="list" sqref="J218" allowBlank="true" errorStyle="stop" showErrorMessage="true" showInputMessage="true">
      <formula1>"R$"</formula1>
    </dataValidation>
    <dataValidation type="list" sqref="K218" allowBlank="true" errorStyle="stop" showErrorMessage="true" showInputMessage="true">
      <formula1>"Com impostos,Sem impostos"</formula1>
    </dataValidation>
    <dataValidation type="list" sqref="V218" allowBlank="true" errorStyle="stop" showErrorMessage="true" showInputMessage="true">
      <formula1>"Mercado Envios por conta do comprador,Mercado Envios grátis"</formula1>
    </dataValidation>
    <dataValidation type="list" sqref="W218" allowBlank="true" errorStyle="stop" showErrorMessage="true" showInputMessage="true">
      <formula1>"Clássico,Premium"</formula1>
    </dataValidation>
    <dataValidation type="list" sqref="J219" allowBlank="true" errorStyle="stop" showErrorMessage="true" showInputMessage="true">
      <formula1>"R$"</formula1>
    </dataValidation>
    <dataValidation type="list" sqref="K219" allowBlank="true" errorStyle="stop" showErrorMessage="true" showInputMessage="true">
      <formula1>"Com impostos,Sem impostos"</formula1>
    </dataValidation>
    <dataValidation type="list" sqref="V219" allowBlank="true" errorStyle="stop" showErrorMessage="true" showInputMessage="true">
      <formula1>"Mercado Envios por conta do comprador,Mercado Envios grátis"</formula1>
    </dataValidation>
    <dataValidation type="list" sqref="W219" allowBlank="true" errorStyle="stop" showErrorMessage="true" showInputMessage="true">
      <formula1>"Clássico,Premium"</formula1>
    </dataValidation>
    <dataValidation type="list" sqref="J220" allowBlank="true" errorStyle="stop" showErrorMessage="true" showInputMessage="true">
      <formula1>"R$"</formula1>
    </dataValidation>
    <dataValidation type="list" sqref="K220" allowBlank="true" errorStyle="stop" showErrorMessage="true" showInputMessage="true">
      <formula1>"Com impostos,Sem impostos"</formula1>
    </dataValidation>
    <dataValidation type="list" sqref="V220" allowBlank="true" errorStyle="stop" showErrorMessage="true" showInputMessage="true">
      <formula1>"Mercado Envios por conta do comprador,Mercado Envios grátis"</formula1>
    </dataValidation>
    <dataValidation type="list" sqref="W220" allowBlank="true" errorStyle="stop" showErrorMessage="true" showInputMessage="true">
      <formula1>"Clássico,Premium"</formula1>
    </dataValidation>
    <dataValidation type="list" sqref="J221" allowBlank="true" errorStyle="stop" showErrorMessage="true" showInputMessage="true">
      <formula1>"R$"</formula1>
    </dataValidation>
    <dataValidation type="list" sqref="K221" allowBlank="true" errorStyle="stop" showErrorMessage="true" showInputMessage="true">
      <formula1>"Com impostos,Sem impostos"</formula1>
    </dataValidation>
    <dataValidation type="list" sqref="V221" allowBlank="true" errorStyle="stop" showErrorMessage="true" showInputMessage="true">
      <formula1>"Mercado Envios por conta do comprador,Mercado Envios grátis"</formula1>
    </dataValidation>
    <dataValidation type="list" sqref="W221" allowBlank="true" errorStyle="stop" showErrorMessage="true" showInputMessage="true">
      <formula1>"Clássico,Premium"</formula1>
    </dataValidation>
    <dataValidation type="list" sqref="J222" allowBlank="true" errorStyle="stop" showErrorMessage="true" showInputMessage="true">
      <formula1>"R$"</formula1>
    </dataValidation>
    <dataValidation type="list" sqref="K222" allowBlank="true" errorStyle="stop" showErrorMessage="true" showInputMessage="true">
      <formula1>"Com impostos,Sem impostos"</formula1>
    </dataValidation>
    <dataValidation type="list" sqref="V222" allowBlank="true" errorStyle="stop" showErrorMessage="true" showInputMessage="true">
      <formula1>"Mercado Envios por conta do comprador,Mercado Envios grátis"</formula1>
    </dataValidation>
    <dataValidation type="list" sqref="W222" allowBlank="true" errorStyle="stop" showErrorMessage="true" showInputMessage="true">
      <formula1>"Clássico,Premium"</formula1>
    </dataValidation>
    <dataValidation type="list" sqref="J223" allowBlank="true" errorStyle="stop" showErrorMessage="true" showInputMessage="true">
      <formula1>"R$"</formula1>
    </dataValidation>
    <dataValidation type="list" sqref="K223" allowBlank="true" errorStyle="stop" showErrorMessage="true" showInputMessage="true">
      <formula1>"Com impostos,Sem impostos"</formula1>
    </dataValidation>
    <dataValidation type="list" sqref="V223" allowBlank="true" errorStyle="stop" showErrorMessage="true" showInputMessage="true">
      <formula1>"Mercado Envios por conta do comprador,Mercado Envios grátis"</formula1>
    </dataValidation>
    <dataValidation type="list" sqref="W223" allowBlank="true" errorStyle="stop" showErrorMessage="true" showInputMessage="true">
      <formula1>"Clássico,Premium"</formula1>
    </dataValidation>
    <dataValidation type="list" sqref="J224" allowBlank="true" errorStyle="stop" showErrorMessage="true" showInputMessage="true">
      <formula1>"R$"</formula1>
    </dataValidation>
    <dataValidation type="list" sqref="V224" allowBlank="true" errorStyle="stop" showErrorMessage="true" showInputMessage="true">
      <formula1>"Mercado Envios por conta do comprador,Mercado Envios grátis"</formula1>
    </dataValidation>
    <dataValidation type="list" sqref="W224" allowBlank="true" errorStyle="stop" showErrorMessage="true" showInputMessage="true">
      <formula1>"Clássico,Premium"</formula1>
    </dataValidation>
    <dataValidation type="list" sqref="J228" allowBlank="true" errorStyle="stop" showErrorMessage="true" showInputMessage="true">
      <formula1>"R$"</formula1>
    </dataValidation>
    <dataValidation type="list" sqref="K228" allowBlank="true" errorStyle="stop" showErrorMessage="true" showInputMessage="true">
      <formula1>"Com impostos,Sem impostos"</formula1>
    </dataValidation>
    <dataValidation type="list" sqref="V228" allowBlank="true" errorStyle="stop" showErrorMessage="true" showInputMessage="true">
      <formula1>"Mercado Envios por conta do comprador,Mercado Envios grátis"</formula1>
    </dataValidation>
    <dataValidation type="list" sqref="W228" allowBlank="true" errorStyle="stop" showErrorMessage="true" showInputMessage="true">
      <formula1>"Clássico,Premium"</formula1>
    </dataValidation>
    <dataValidation type="list" sqref="J229" allowBlank="true" errorStyle="stop" showErrorMessage="true" showInputMessage="true">
      <formula1>"R$"</formula1>
    </dataValidation>
    <dataValidation type="list" sqref="K229" allowBlank="true" errorStyle="stop" showErrorMessage="true" showInputMessage="true">
      <formula1>"Com impostos,Sem impostos"</formula1>
    </dataValidation>
    <dataValidation type="list" sqref="V229" allowBlank="true" errorStyle="stop" showErrorMessage="true" showInputMessage="true">
      <formula1>"Mercado Envios por conta do comprador,Mercado Envios grátis"</formula1>
    </dataValidation>
    <dataValidation type="list" sqref="W229" allowBlank="true" errorStyle="stop" showErrorMessage="true" showInputMessage="true">
      <formula1>"Clássico,Premium"</formula1>
    </dataValidation>
    <dataValidation type="list" sqref="J230" allowBlank="true" errorStyle="stop" showErrorMessage="true" showInputMessage="true">
      <formula1>"R$"</formula1>
    </dataValidation>
    <dataValidation type="list" sqref="K230" allowBlank="true" errorStyle="stop" showErrorMessage="true" showInputMessage="true">
      <formula1>"Com impostos,Sem impostos"</formula1>
    </dataValidation>
    <dataValidation type="list" sqref="V230" allowBlank="true" errorStyle="stop" showErrorMessage="true" showInputMessage="true">
      <formula1>"Mercado Envios por conta do comprador,Mercado Envios grátis"</formula1>
    </dataValidation>
    <dataValidation type="list" sqref="W230" allowBlank="true" errorStyle="stop" showErrorMessage="true" showInputMessage="true">
      <formula1>"Clássico,Premium"</formula1>
    </dataValidation>
    <dataValidation type="list" sqref="J231" allowBlank="true" errorStyle="stop" showErrorMessage="true" showInputMessage="true">
      <formula1>"R$"</formula1>
    </dataValidation>
    <dataValidation type="list" sqref="K231" allowBlank="true" errorStyle="stop" showErrorMessage="true" showInputMessage="true">
      <formula1>"Com impostos,Sem impostos"</formula1>
    </dataValidation>
    <dataValidation type="list" sqref="V231" allowBlank="true" errorStyle="stop" showErrorMessage="true" showInputMessage="true">
      <formula1>"Mercado Envios por conta do comprador,Mercado Envios grátis"</formula1>
    </dataValidation>
    <dataValidation type="list" sqref="W231" allowBlank="true" errorStyle="stop" showErrorMessage="true" showInputMessage="true">
      <formula1>"Clássico,Premium"</formula1>
    </dataValidation>
    <dataValidation type="list" sqref="J232" allowBlank="true" errorStyle="stop" showErrorMessage="true" showInputMessage="true">
      <formula1>"R$"</formula1>
    </dataValidation>
    <dataValidation type="list" sqref="K232" allowBlank="true" errorStyle="stop" showErrorMessage="true" showInputMessage="true">
      <formula1>"Com impostos,Sem impostos"</formula1>
    </dataValidation>
    <dataValidation type="list" sqref="V232" allowBlank="true" errorStyle="stop" showErrorMessage="true" showInputMessage="true">
      <formula1>"Mercado Envios por conta do comprador,Mercado Envios grátis"</formula1>
    </dataValidation>
    <dataValidation type="list" sqref="W232" allowBlank="true" errorStyle="stop" showErrorMessage="true" showInputMessage="true">
      <formula1>"Clássico,Premium"</formula1>
    </dataValidation>
    <dataValidation type="list" sqref="J233" allowBlank="true" errorStyle="stop" showErrorMessage="true" showInputMessage="true">
      <formula1>"R$"</formula1>
    </dataValidation>
    <dataValidation type="list" sqref="K233" allowBlank="true" errorStyle="stop" showErrorMessage="true" showInputMessage="true">
      <formula1>"Com impostos,Sem impostos"</formula1>
    </dataValidation>
    <dataValidation type="list" sqref="V233" allowBlank="true" errorStyle="stop" showErrorMessage="true" showInputMessage="true">
      <formula1>"Mercado Envios por conta do comprador,Mercado Envios grátis"</formula1>
    </dataValidation>
    <dataValidation type="list" sqref="W233" allowBlank="true" errorStyle="stop" showErrorMessage="true" showInputMessage="true">
      <formula1>"Clássico,Premium"</formula1>
    </dataValidation>
    <dataValidation type="list" sqref="J234" allowBlank="true" errorStyle="stop" showErrorMessage="true" showInputMessage="true">
      <formula1>"R$"</formula1>
    </dataValidation>
    <dataValidation type="list" sqref="K234" allowBlank="true" errorStyle="stop" showErrorMessage="true" showInputMessage="true">
      <formula1>"Com impostos,Sem impostos"</formula1>
    </dataValidation>
    <dataValidation type="list" sqref="V234" allowBlank="true" errorStyle="stop" showErrorMessage="true" showInputMessage="true">
      <formula1>"Mercado Envios por conta do comprador,Mercado Envios grátis"</formula1>
    </dataValidation>
    <dataValidation type="list" sqref="W234" allowBlank="true" errorStyle="stop" showErrorMessage="true" showInputMessage="true">
      <formula1>"Clássico,Premium"</formula1>
    </dataValidation>
    <dataValidation type="list" sqref="J235" allowBlank="true" errorStyle="stop" showErrorMessage="true" showInputMessage="true">
      <formula1>"R$"</formula1>
    </dataValidation>
    <dataValidation type="list" sqref="V235" allowBlank="true" errorStyle="stop" showErrorMessage="true" showInputMessage="true">
      <formula1>"Mercado Envios por conta do comprador,Mercado Envios grátis"</formula1>
    </dataValidation>
    <dataValidation type="list" sqref="W235" allowBlank="true" errorStyle="stop" showErrorMessage="true" showInputMessage="true">
      <formula1>"Clássico,Premium"</formula1>
    </dataValidation>
    <dataValidation type="list" sqref="J238" allowBlank="true" errorStyle="stop" showErrorMessage="true" showInputMessage="true">
      <formula1>"R$"</formula1>
    </dataValidation>
    <dataValidation type="list" sqref="K238" allowBlank="true" errorStyle="stop" showErrorMessage="true" showInputMessage="true">
      <formula1>"Com impostos,Sem impostos"</formula1>
    </dataValidation>
    <dataValidation type="list" sqref="V238" allowBlank="true" errorStyle="stop" showErrorMessage="true" showInputMessage="true">
      <formula1>"Mercado Envios por conta do comprador,Mercado Envios grátis"</formula1>
    </dataValidation>
    <dataValidation type="list" sqref="W238" allowBlank="true" errorStyle="stop" showErrorMessage="true" showInputMessage="true">
      <formula1>"Clássico,Premium"</formula1>
    </dataValidation>
    <dataValidation type="list" sqref="J239" allowBlank="true" errorStyle="stop" showErrorMessage="true" showInputMessage="true">
      <formula1>"R$"</formula1>
    </dataValidation>
    <dataValidation type="list" sqref="K239" allowBlank="true" errorStyle="stop" showErrorMessage="true" showInputMessage="true">
      <formula1>"Com impostos,Sem impostos"</formula1>
    </dataValidation>
    <dataValidation type="list" sqref="V239" allowBlank="true" errorStyle="stop" showErrorMessage="true" showInputMessage="true">
      <formula1>"Mercado Envios por conta do comprador,Mercado Envios grátis"</formula1>
    </dataValidation>
    <dataValidation type="list" sqref="W239" allowBlank="true" errorStyle="stop" showErrorMessage="true" showInputMessage="true">
      <formula1>"Clássico,Premium"</formula1>
    </dataValidation>
    <dataValidation type="list" sqref="J240" allowBlank="true" errorStyle="stop" showErrorMessage="true" showInputMessage="true">
      <formula1>"R$"</formula1>
    </dataValidation>
    <dataValidation type="list" sqref="K240" allowBlank="true" errorStyle="stop" showErrorMessage="true" showInputMessage="true">
      <formula1>"Com impostos,Sem impostos"</formula1>
    </dataValidation>
    <dataValidation type="list" sqref="V240" allowBlank="true" errorStyle="stop" showErrorMessage="true" showInputMessage="true">
      <formula1>"Mercado Envios por conta do comprador,Mercado Envios grátis"</formula1>
    </dataValidation>
    <dataValidation type="list" sqref="W240" allowBlank="true" errorStyle="stop" showErrorMessage="true" showInputMessage="true">
      <formula1>"Clássico,Premium"</formula1>
    </dataValidation>
    <dataValidation type="list" sqref="J241" allowBlank="true" errorStyle="stop" showErrorMessage="true" showInputMessage="true">
      <formula1>"R$"</formula1>
    </dataValidation>
    <dataValidation type="list" sqref="K241" allowBlank="true" errorStyle="stop" showErrorMessage="true" showInputMessage="true">
      <formula1>"Com impostos,Sem impostos"</formula1>
    </dataValidation>
    <dataValidation type="list" sqref="V241" allowBlank="true" errorStyle="stop" showErrorMessage="true" showInputMessage="true">
      <formula1>"Mercado Envios por conta do comprador,Mercado Envios grátis"</formula1>
    </dataValidation>
    <dataValidation type="list" sqref="W241" allowBlank="true" errorStyle="stop" showErrorMessage="true" showInputMessage="true">
      <formula1>"Clássico,Premium"</formula1>
    </dataValidation>
    <dataValidation type="list" sqref="J242" allowBlank="true" errorStyle="stop" showErrorMessage="true" showInputMessage="true">
      <formula1>"R$"</formula1>
    </dataValidation>
    <dataValidation type="list" sqref="K242" allowBlank="true" errorStyle="stop" showErrorMessage="true" showInputMessage="true">
      <formula1>"Com impostos,Sem impostos"</formula1>
    </dataValidation>
    <dataValidation type="list" sqref="V242" allowBlank="true" errorStyle="stop" showErrorMessage="true" showInputMessage="true">
      <formula1>"Mercado Envios por conta do comprador,Mercado Envios grátis"</formula1>
    </dataValidation>
    <dataValidation type="list" sqref="W242" allowBlank="true" errorStyle="stop" showErrorMessage="true" showInputMessage="true">
      <formula1>"Clássico,Premium"</formula1>
    </dataValidation>
    <dataValidation type="list" sqref="J243" allowBlank="true" errorStyle="stop" showErrorMessage="true" showInputMessage="true">
      <formula1>"R$"</formula1>
    </dataValidation>
    <dataValidation type="list" sqref="K243" allowBlank="true" errorStyle="stop" showErrorMessage="true" showInputMessage="true">
      <formula1>"Com impostos,Sem impostos"</formula1>
    </dataValidation>
    <dataValidation type="list" sqref="V243" allowBlank="true" errorStyle="stop" showErrorMessage="true" showInputMessage="true">
      <formula1>"Mercado Envios por conta do comprador,Mercado Envios grátis"</formula1>
    </dataValidation>
    <dataValidation type="list" sqref="W243" allowBlank="true" errorStyle="stop" showErrorMessage="true" showInputMessage="true">
      <formula1>"Clássico,Premium"</formula1>
    </dataValidation>
    <dataValidation type="list" sqref="J244" allowBlank="true" errorStyle="stop" showErrorMessage="true" showInputMessage="true">
      <formula1>"R$"</formula1>
    </dataValidation>
    <dataValidation type="list" sqref="K244" allowBlank="true" errorStyle="stop" showErrorMessage="true" showInputMessage="true">
      <formula1>"Com impostos,Sem impostos"</formula1>
    </dataValidation>
    <dataValidation type="list" sqref="V244" allowBlank="true" errorStyle="stop" showErrorMessage="true" showInputMessage="true">
      <formula1>"Mercado Envios por conta do comprador,Mercado Envios grátis"</formula1>
    </dataValidation>
    <dataValidation type="list" sqref="W244" allowBlank="true" errorStyle="stop" showErrorMessage="true" showInputMessage="true">
      <formula1>"Clássico,Premium"</formula1>
    </dataValidation>
    <dataValidation type="list" sqref="J245" allowBlank="true" errorStyle="stop" showErrorMessage="true" showInputMessage="true">
      <formula1>"R$"</formula1>
    </dataValidation>
    <dataValidation type="list" sqref="K245" allowBlank="true" errorStyle="stop" showErrorMessage="true" showInputMessage="true">
      <formula1>"Com impostos,Sem impostos"</formula1>
    </dataValidation>
    <dataValidation type="list" sqref="V245" allowBlank="true" errorStyle="stop" showErrorMessage="true" showInputMessage="true">
      <formula1>"Mercado Envios por conta do comprador,Mercado Envios grátis"</formula1>
    </dataValidation>
    <dataValidation type="list" sqref="W245" allowBlank="true" errorStyle="stop" showErrorMessage="true" showInputMessage="true">
      <formula1>"Clássico,Premium"</formula1>
    </dataValidation>
    <dataValidation type="list" sqref="J246" allowBlank="true" errorStyle="stop" showErrorMessage="true" showInputMessage="true">
      <formula1>"R$"</formula1>
    </dataValidation>
    <dataValidation type="list" sqref="K246" allowBlank="true" errorStyle="stop" showErrorMessage="true" showInputMessage="true">
      <formula1>"Com impostos,Sem impostos"</formula1>
    </dataValidation>
    <dataValidation type="list" sqref="V246" allowBlank="true" errorStyle="stop" showErrorMessage="true" showInputMessage="true">
      <formula1>"Mercado Envios por conta do comprador,Mercado Envios grátis"</formula1>
    </dataValidation>
    <dataValidation type="list" sqref="W246" allowBlank="true" errorStyle="stop" showErrorMessage="true" showInputMessage="true">
      <formula1>"Clássico,Premium"</formula1>
    </dataValidation>
    <dataValidation type="list" sqref="J247" allowBlank="true" errorStyle="stop" showErrorMessage="true" showInputMessage="true">
      <formula1>"R$"</formula1>
    </dataValidation>
    <dataValidation type="list" sqref="V247" allowBlank="true" errorStyle="stop" showErrorMessage="true" showInputMessage="true">
      <formula1>"Mercado Envios por conta do comprador,Mercado Envios grátis"</formula1>
    </dataValidation>
    <dataValidation type="list" sqref="W247" allowBlank="true" errorStyle="stop" showErrorMessage="true" showInputMessage="true">
      <formula1>"Clássico,Premium"</formula1>
    </dataValidation>
    <dataValidation type="list" sqref="J250" allowBlank="true" errorStyle="stop" showErrorMessage="true" showInputMessage="true">
      <formula1>"R$"</formula1>
    </dataValidation>
    <dataValidation type="list" sqref="K250" allowBlank="true" errorStyle="stop" showErrorMessage="true" showInputMessage="true">
      <formula1>"Com impostos,Sem impostos"</formula1>
    </dataValidation>
    <dataValidation type="list" sqref="V250" allowBlank="true" errorStyle="stop" showErrorMessage="true" showInputMessage="true">
      <formula1>"Mercado Envios por conta do comprador,Mercado Envios grátis"</formula1>
    </dataValidation>
    <dataValidation type="list" sqref="W250" allowBlank="true" errorStyle="stop" showErrorMessage="true" showInputMessage="true">
      <formula1>"Clássico,Premium"</formula1>
    </dataValidation>
    <dataValidation type="list" sqref="J251" allowBlank="true" errorStyle="stop" showErrorMessage="true" showInputMessage="true">
      <formula1>"R$"</formula1>
    </dataValidation>
    <dataValidation type="list" sqref="K251" allowBlank="true" errorStyle="stop" showErrorMessage="true" showInputMessage="true">
      <formula1>"Com impostos,Sem impostos"</formula1>
    </dataValidation>
    <dataValidation type="list" sqref="V251" allowBlank="true" errorStyle="stop" showErrorMessage="true" showInputMessage="true">
      <formula1>"Mercado Envios por conta do comprador,Mercado Envios grátis"</formula1>
    </dataValidation>
    <dataValidation type="list" sqref="W251" allowBlank="true" errorStyle="stop" showErrorMessage="true" showInputMessage="true">
      <formula1>"Clássico,Premium"</formula1>
    </dataValidation>
    <dataValidation type="list" sqref="J252" allowBlank="true" errorStyle="stop" showErrorMessage="true" showInputMessage="true">
      <formula1>"R$"</formula1>
    </dataValidation>
    <dataValidation type="list" sqref="K252" allowBlank="true" errorStyle="stop" showErrorMessage="true" showInputMessage="true">
      <formula1>"Com impostos,Sem impostos"</formula1>
    </dataValidation>
    <dataValidation type="list" sqref="V252" allowBlank="true" errorStyle="stop" showErrorMessage="true" showInputMessage="true">
      <formula1>"Mercado Envios por conta do comprador,Mercado Envios grátis"</formula1>
    </dataValidation>
    <dataValidation type="list" sqref="W252" allowBlank="true" errorStyle="stop" showErrorMessage="true" showInputMessage="true">
      <formula1>"Clássico,Premium"</formula1>
    </dataValidation>
    <dataValidation type="list" sqref="J253" allowBlank="true" errorStyle="stop" showErrorMessage="true" showInputMessage="true">
      <formula1>"R$"</formula1>
    </dataValidation>
    <dataValidation type="list" sqref="K253" allowBlank="true" errorStyle="stop" showErrorMessage="true" showInputMessage="true">
      <formula1>"Com impostos,Sem impostos"</formula1>
    </dataValidation>
    <dataValidation type="list" sqref="V253" allowBlank="true" errorStyle="stop" showErrorMessage="true" showInputMessage="true">
      <formula1>"Mercado Envios por conta do comprador,Mercado Envios grátis"</formula1>
    </dataValidation>
    <dataValidation type="list" sqref="W253" allowBlank="true" errorStyle="stop" showErrorMessage="true" showInputMessage="true">
      <formula1>"Clássico,Premium"</formula1>
    </dataValidation>
    <dataValidation type="list" sqref="J254" allowBlank="true" errorStyle="stop" showErrorMessage="true" showInputMessage="true">
      <formula1>"R$"</formula1>
    </dataValidation>
    <dataValidation type="list" sqref="V254" allowBlank="true" errorStyle="stop" showErrorMessage="true" showInputMessage="true">
      <formula1>"Mercado Envios por conta do comprador,Mercado Envios grátis"</formula1>
    </dataValidation>
    <dataValidation type="list" sqref="W254" allowBlank="true" errorStyle="stop" showErrorMessage="true" showInputMessage="true">
      <formula1>"Clássico,Premium"</formula1>
    </dataValidation>
    <dataValidation type="list" sqref="J259" allowBlank="true" errorStyle="stop" showErrorMessage="true" showInputMessage="true">
      <formula1>"R$"</formula1>
    </dataValidation>
    <dataValidation type="list" sqref="K259" allowBlank="true" errorStyle="stop" showErrorMessage="true" showInputMessage="true">
      <formula1>"Com impostos,Sem impostos"</formula1>
    </dataValidation>
    <dataValidation type="list" sqref="V259" allowBlank="true" errorStyle="stop" showErrorMessage="true" showInputMessage="true">
      <formula1>"Mercado Envios por conta do comprador,Mercado Envios grátis"</formula1>
    </dataValidation>
    <dataValidation type="list" sqref="W259" allowBlank="true" errorStyle="stop" showErrorMessage="true" showInputMessage="true">
      <formula1>"Clássico,Premium"</formula1>
    </dataValidation>
    <dataValidation type="list" sqref="J260" allowBlank="true" errorStyle="stop" showErrorMessage="true" showInputMessage="true">
      <formula1>"R$"</formula1>
    </dataValidation>
    <dataValidation type="list" sqref="K260" allowBlank="true" errorStyle="stop" showErrorMessage="true" showInputMessage="true">
      <formula1>"Com impostos,Sem impostos"</formula1>
    </dataValidation>
    <dataValidation type="list" sqref="V260" allowBlank="true" errorStyle="stop" showErrorMessage="true" showInputMessage="true">
      <formula1>"Mercado Envios por conta do comprador,Mercado Envios grátis"</formula1>
    </dataValidation>
    <dataValidation type="list" sqref="W260" allowBlank="true" errorStyle="stop" showErrorMessage="true" showInputMessage="true">
      <formula1>"Clássico,Premium"</formula1>
    </dataValidation>
    <dataValidation type="list" sqref="J261" allowBlank="true" errorStyle="stop" showErrorMessage="true" showInputMessage="true">
      <formula1>"R$"</formula1>
    </dataValidation>
    <dataValidation type="list" sqref="K261" allowBlank="true" errorStyle="stop" showErrorMessage="true" showInputMessage="true">
      <formula1>"Com impostos,Sem impostos"</formula1>
    </dataValidation>
    <dataValidation type="list" sqref="V261" allowBlank="true" errorStyle="stop" showErrorMessage="true" showInputMessage="true">
      <formula1>"Mercado Envios por conta do comprador,Mercado Envios grátis"</formula1>
    </dataValidation>
    <dataValidation type="list" sqref="W261" allowBlank="true" errorStyle="stop" showErrorMessage="true" showInputMessage="true">
      <formula1>"Clássico,Premium"</formula1>
    </dataValidation>
    <dataValidation type="list" sqref="J262" allowBlank="true" errorStyle="stop" showErrorMessage="true" showInputMessage="true">
      <formula1>"R$"</formula1>
    </dataValidation>
    <dataValidation type="list" sqref="K262" allowBlank="true" errorStyle="stop" showErrorMessage="true" showInputMessage="true">
      <formula1>"Com impostos,Sem impostos"</formula1>
    </dataValidation>
    <dataValidation type="list" sqref="V262" allowBlank="true" errorStyle="stop" showErrorMessage="true" showInputMessage="true">
      <formula1>"Mercado Envios por conta do comprador,Mercado Envios grátis"</formula1>
    </dataValidation>
    <dataValidation type="list" sqref="W262" allowBlank="true" errorStyle="stop" showErrorMessage="true" showInputMessage="true">
      <formula1>"Clássico,Premium"</formula1>
    </dataValidation>
    <dataValidation type="list" sqref="J263" allowBlank="true" errorStyle="stop" showErrorMessage="true" showInputMessage="true">
      <formula1>"R$"</formula1>
    </dataValidation>
    <dataValidation type="list" sqref="K263" allowBlank="true" errorStyle="stop" showErrorMessage="true" showInputMessage="true">
      <formula1>"Com impostos,Sem impostos"</formula1>
    </dataValidation>
    <dataValidation type="list" sqref="V263" allowBlank="true" errorStyle="stop" showErrorMessage="true" showInputMessage="true">
      <formula1>"Mercado Envios por conta do comprador,Mercado Envios grátis"</formula1>
    </dataValidation>
    <dataValidation type="list" sqref="W263" allowBlank="true" errorStyle="stop" showErrorMessage="true" showInputMessage="true">
      <formula1>"Clássico,Premium"</formula1>
    </dataValidation>
    <dataValidation type="list" sqref="J264" allowBlank="true" errorStyle="stop" showErrorMessage="true" showInputMessage="true">
      <formula1>"R$"</formula1>
    </dataValidation>
    <dataValidation type="list" sqref="K264" allowBlank="true" errorStyle="stop" showErrorMessage="true" showInputMessage="true">
      <formula1>"Com impostos,Sem impostos"</formula1>
    </dataValidation>
    <dataValidation type="list" sqref="V264" allowBlank="true" errorStyle="stop" showErrorMessage="true" showInputMessage="true">
      <formula1>"Mercado Envios por conta do comprador,Mercado Envios grátis"</formula1>
    </dataValidation>
    <dataValidation type="list" sqref="W264" allowBlank="true" errorStyle="stop" showErrorMessage="true" showInputMessage="true">
      <formula1>"Clássico,Premium"</formula1>
    </dataValidation>
    <dataValidation type="list" sqref="J265" allowBlank="true" errorStyle="stop" showErrorMessage="true" showInputMessage="true">
      <formula1>"R$"</formula1>
    </dataValidation>
    <dataValidation type="list" sqref="K265" allowBlank="true" errorStyle="stop" showErrorMessage="true" showInputMessage="true">
      <formula1>"Com impostos,Sem impostos"</formula1>
    </dataValidation>
    <dataValidation type="list" sqref="V265" allowBlank="true" errorStyle="stop" showErrorMessage="true" showInputMessage="true">
      <formula1>"Mercado Envios por conta do comprador,Mercado Envios grátis"</formula1>
    </dataValidation>
    <dataValidation type="list" sqref="W265" allowBlank="true" errorStyle="stop" showErrorMessage="true" showInputMessage="true">
      <formula1>"Clássico,Premium"</formula1>
    </dataValidation>
    <dataValidation type="list" sqref="J266" allowBlank="true" errorStyle="stop" showErrorMessage="true" showInputMessage="true">
      <formula1>"R$"</formula1>
    </dataValidation>
    <dataValidation type="list" sqref="K266" allowBlank="true" errorStyle="stop" showErrorMessage="true" showInputMessage="true">
      <formula1>"Com impostos,Sem impostos"</formula1>
    </dataValidation>
    <dataValidation type="list" sqref="V266" allowBlank="true" errorStyle="stop" showErrorMessage="true" showInputMessage="true">
      <formula1>"Mercado Envios por conta do comprador,Mercado Envios grátis"</formula1>
    </dataValidation>
    <dataValidation type="list" sqref="W266" allowBlank="true" errorStyle="stop" showErrorMessage="true" showInputMessage="true">
      <formula1>"Clássico,Premium"</formula1>
    </dataValidation>
    <dataValidation type="list" sqref="J267" allowBlank="true" errorStyle="stop" showErrorMessage="true" showInputMessage="true">
      <formula1>"R$"</formula1>
    </dataValidation>
    <dataValidation type="list" sqref="K267" allowBlank="true" errorStyle="stop" showErrorMessage="true" showInputMessage="true">
      <formula1>"Com impostos,Sem impostos"</formula1>
    </dataValidation>
    <dataValidation type="list" sqref="V267" allowBlank="true" errorStyle="stop" showErrorMessage="true" showInputMessage="true">
      <formula1>"Mercado Envios por conta do comprador,Mercado Envios grátis"</formula1>
    </dataValidation>
    <dataValidation type="list" sqref="W267" allowBlank="true" errorStyle="stop" showErrorMessage="true" showInputMessage="true">
      <formula1>"Clássico,Premium"</formula1>
    </dataValidation>
    <dataValidation type="list" sqref="J268" allowBlank="true" errorStyle="stop" showErrorMessage="true" showInputMessage="true">
      <formula1>"R$"</formula1>
    </dataValidation>
    <dataValidation type="list" sqref="K268" allowBlank="true" errorStyle="stop" showErrorMessage="true" showInputMessage="true">
      <formula1>"Com impostos,Sem impostos"</formula1>
    </dataValidation>
    <dataValidation type="list" sqref="V268" allowBlank="true" errorStyle="stop" showErrorMessage="true" showInputMessage="true">
      <formula1>"Mercado Envios por conta do comprador,Mercado Envios grátis"</formula1>
    </dataValidation>
    <dataValidation type="list" sqref="W268" allowBlank="true" errorStyle="stop" showErrorMessage="true" showInputMessage="true">
      <formula1>"Clássico,Premium"</formula1>
    </dataValidation>
    <dataValidation type="list" sqref="J269" allowBlank="true" errorStyle="stop" showErrorMessage="true" showInputMessage="true">
      <formula1>"R$"</formula1>
    </dataValidation>
    <dataValidation type="list" sqref="K269" allowBlank="true" errorStyle="stop" showErrorMessage="true" showInputMessage="true">
      <formula1>"Com impostos,Sem impostos"</formula1>
    </dataValidation>
    <dataValidation type="list" sqref="V269" allowBlank="true" errorStyle="stop" showErrorMessage="true" showInputMessage="true">
      <formula1>"Mercado Envios por conta do comprador,Mercado Envios grátis"</formula1>
    </dataValidation>
    <dataValidation type="list" sqref="W269" allowBlank="true" errorStyle="stop" showErrorMessage="true" showInputMessage="true">
      <formula1>"Clássico,Premium"</formula1>
    </dataValidation>
    <dataValidation type="list" sqref="J270" allowBlank="true" errorStyle="stop" showErrorMessage="true" showInputMessage="true">
      <formula1>"R$"</formula1>
    </dataValidation>
    <dataValidation type="list" sqref="K270" allowBlank="true" errorStyle="stop" showErrorMessage="true" showInputMessage="true">
      <formula1>"Com impostos,Sem impostos"</formula1>
    </dataValidation>
    <dataValidation type="list" sqref="V270" allowBlank="true" errorStyle="stop" showErrorMessage="true" showInputMessage="true">
      <formula1>"Mercado Envios por conta do comprador,Mercado Envios grátis"</formula1>
    </dataValidation>
    <dataValidation type="list" sqref="W270" allowBlank="true" errorStyle="stop" showErrorMessage="true" showInputMessage="true">
      <formula1>"Clássico,Premium"</formula1>
    </dataValidation>
    <dataValidation type="list" sqref="J271" allowBlank="true" errorStyle="stop" showErrorMessage="true" showInputMessage="true">
      <formula1>"R$"</formula1>
    </dataValidation>
    <dataValidation type="list" sqref="V271" allowBlank="true" errorStyle="stop" showErrorMessage="true" showInputMessage="true">
      <formula1>"Mercado Envios por conta do comprador,Mercado Envios grátis"</formula1>
    </dataValidation>
    <dataValidation type="list" sqref="W271" allowBlank="true" errorStyle="stop" showErrorMessage="true" showInputMessage="true">
      <formula1>"Clássico,Premium"</formula1>
    </dataValidation>
    <dataValidation type="list" sqref="J276" allowBlank="true" errorStyle="stop" showErrorMessage="true" showInputMessage="true">
      <formula1>"R$"</formula1>
    </dataValidation>
    <dataValidation type="list" sqref="V276" allowBlank="true" errorStyle="stop" showErrorMessage="true" showInputMessage="true">
      <formula1>"Mercado Envios por conta do comprador,Mercado Envios grátis"</formula1>
    </dataValidation>
    <dataValidation type="list" sqref="W276" allowBlank="true" errorStyle="stop" showErrorMessage="true" showInputMessage="true">
      <formula1>"Clássico,Premium"</formula1>
    </dataValidation>
    <dataValidation type="list" sqref="J279" allowBlank="true" errorStyle="stop" showErrorMessage="true" showInputMessage="true">
      <formula1>"R$"</formula1>
    </dataValidation>
    <dataValidation type="list" sqref="V279" allowBlank="true" errorStyle="stop" showErrorMessage="true" showInputMessage="true">
      <formula1>"Mercado Envios por conta do comprador,Mercado Envios grátis"</formula1>
    </dataValidation>
    <dataValidation type="list" sqref="W279" allowBlank="true" errorStyle="stop" showErrorMessage="true" showInputMessage="true">
      <formula1>"Clássico,Premium"</formula1>
    </dataValidation>
    <dataValidation type="list" sqref="J282" allowBlank="true" errorStyle="stop" showErrorMessage="true" showInputMessage="true">
      <formula1>"R$"</formula1>
    </dataValidation>
    <dataValidation type="list" sqref="K282" allowBlank="true" errorStyle="stop" showErrorMessage="true" showInputMessage="true">
      <formula1>"Com impostos,Sem impostos"</formula1>
    </dataValidation>
    <dataValidation type="list" sqref="V282" allowBlank="true" errorStyle="stop" showErrorMessage="true" showInputMessage="true">
      <formula1>"Mercado Envios por conta do comprador,Mercado Envios grátis"</formula1>
    </dataValidation>
    <dataValidation type="list" sqref="W282" allowBlank="true" errorStyle="stop" showErrorMessage="true" showInputMessage="true">
      <formula1>"Clássico,Premium"</formula1>
    </dataValidation>
    <dataValidation type="list" sqref="J283" allowBlank="true" errorStyle="stop" showErrorMessage="true" showInputMessage="true">
      <formula1>"R$"</formula1>
    </dataValidation>
    <dataValidation type="list" sqref="K283" allowBlank="true" errorStyle="stop" showErrorMessage="true" showInputMessage="true">
      <formula1>"Com impostos,Sem impostos"</formula1>
    </dataValidation>
    <dataValidation type="list" sqref="V283" allowBlank="true" errorStyle="stop" showErrorMessage="true" showInputMessage="true">
      <formula1>"Mercado Envios por conta do comprador,Mercado Envios grátis"</formula1>
    </dataValidation>
    <dataValidation type="list" sqref="W283" allowBlank="true" errorStyle="stop" showErrorMessage="true" showInputMessage="true">
      <formula1>"Clássico,Premium"</formula1>
    </dataValidation>
    <dataValidation type="list" sqref="J284" allowBlank="true" errorStyle="stop" showErrorMessage="true" showInputMessage="true">
      <formula1>"R$"</formula1>
    </dataValidation>
    <dataValidation type="list" sqref="V284" allowBlank="true" errorStyle="stop" showErrorMessage="true" showInputMessage="true">
      <formula1>"Mercado Envios por conta do comprador,Mercado Envios grátis"</formula1>
    </dataValidation>
    <dataValidation type="list" sqref="W284" allowBlank="true" errorStyle="stop" showErrorMessage="true" showInputMessage="true">
      <formula1>"Clássico,Premium"</formula1>
    </dataValidation>
    <dataValidation type="list" sqref="J289" allowBlank="true" errorStyle="stop" showErrorMessage="true" showInputMessage="true">
      <formula1>"R$"</formula1>
    </dataValidation>
    <dataValidation type="list" sqref="K289" allowBlank="true" errorStyle="stop" showErrorMessage="true" showInputMessage="true">
      <formula1>"Com impostos,Sem impostos"</formula1>
    </dataValidation>
    <dataValidation type="list" sqref="V289" allowBlank="true" errorStyle="stop" showErrorMessage="true" showInputMessage="true">
      <formula1>"Mercado Envios por conta do comprador,Mercado Envios grátis"</formula1>
    </dataValidation>
    <dataValidation type="list" sqref="W289" allowBlank="true" errorStyle="stop" showErrorMessage="true" showInputMessage="true">
      <formula1>"Clássico,Premium"</formula1>
    </dataValidation>
    <dataValidation type="list" sqref="J290" allowBlank="true" errorStyle="stop" showErrorMessage="true" showInputMessage="true">
      <formula1>"R$"</formula1>
    </dataValidation>
    <dataValidation type="list" sqref="K290" allowBlank="true" errorStyle="stop" showErrorMessage="true" showInputMessage="true">
      <formula1>"Com impostos,Sem impostos"</formula1>
    </dataValidation>
    <dataValidation type="list" sqref="V290" allowBlank="true" errorStyle="stop" showErrorMessage="true" showInputMessage="true">
      <formula1>"Mercado Envios por conta do comprador,Mercado Envios grátis"</formula1>
    </dataValidation>
    <dataValidation type="list" sqref="W290" allowBlank="true" errorStyle="stop" showErrorMessage="true" showInputMessage="true">
      <formula1>"Clássico,Premium"</formula1>
    </dataValidation>
    <dataValidation type="list" sqref="J291" allowBlank="true" errorStyle="stop" showErrorMessage="true" showInputMessage="true">
      <formula1>"R$"</formula1>
    </dataValidation>
    <dataValidation type="list" sqref="K291" allowBlank="true" errorStyle="stop" showErrorMessage="true" showInputMessage="true">
      <formula1>"Com impostos,Sem impostos"</formula1>
    </dataValidation>
    <dataValidation type="list" sqref="V291" allowBlank="true" errorStyle="stop" showErrorMessage="true" showInputMessage="true">
      <formula1>"Mercado Envios por conta do comprador,Mercado Envios grátis"</formula1>
    </dataValidation>
    <dataValidation type="list" sqref="W291" allowBlank="true" errorStyle="stop" showErrorMessage="true" showInputMessage="true">
      <formula1>"Clássico,Premium"</formula1>
    </dataValidation>
    <dataValidation type="list" sqref="J292" allowBlank="true" errorStyle="stop" showErrorMessage="true" showInputMessage="true">
      <formula1>"R$"</formula1>
    </dataValidation>
    <dataValidation type="list" sqref="K292" allowBlank="true" errorStyle="stop" showErrorMessage="true" showInputMessage="true">
      <formula1>"Com impostos,Sem impostos"</formula1>
    </dataValidation>
    <dataValidation type="list" sqref="V292" allowBlank="true" errorStyle="stop" showErrorMessage="true" showInputMessage="true">
      <formula1>"Mercado Envios por conta do comprador,Mercado Envios grátis"</formula1>
    </dataValidation>
    <dataValidation type="list" sqref="W292" allowBlank="true" errorStyle="stop" showErrorMessage="true" showInputMessage="true">
      <formula1>"Clássico,Premium"</formula1>
    </dataValidation>
    <dataValidation type="list" sqref="J293" allowBlank="true" errorStyle="stop" showErrorMessage="true" showInputMessage="true">
      <formula1>"R$"</formula1>
    </dataValidation>
    <dataValidation type="list" sqref="K293" allowBlank="true" errorStyle="stop" showErrorMessage="true" showInputMessage="true">
      <formula1>"Com impostos,Sem impostos"</formula1>
    </dataValidation>
    <dataValidation type="list" sqref="V293" allowBlank="true" errorStyle="stop" showErrorMessage="true" showInputMessage="true">
      <formula1>"Mercado Envios por conta do comprador,Mercado Envios grátis"</formula1>
    </dataValidation>
    <dataValidation type="list" sqref="W293" allowBlank="true" errorStyle="stop" showErrorMessage="true" showInputMessage="true">
      <formula1>"Clássico,Premium"</formula1>
    </dataValidation>
    <dataValidation type="list" sqref="J294" allowBlank="true" errorStyle="stop" showErrorMessage="true" showInputMessage="true">
      <formula1>"R$"</formula1>
    </dataValidation>
    <dataValidation type="list" sqref="V294" allowBlank="true" errorStyle="stop" showErrorMessage="true" showInputMessage="true">
      <formula1>"Mercado Envios por conta do comprador,Mercado Envios grátis"</formula1>
    </dataValidation>
    <dataValidation type="list" sqref="W294" allowBlank="true" errorStyle="stop" showErrorMessage="true" showInputMessage="true">
      <formula1>"Clássico,Premium"</formula1>
    </dataValidation>
    <dataValidation type="list" sqref="J299" allowBlank="true" errorStyle="stop" showErrorMessage="true" showInputMessage="true">
      <formula1>"R$"</formula1>
    </dataValidation>
    <dataValidation type="list" sqref="V299" allowBlank="true" errorStyle="stop" showErrorMessage="true" showInputMessage="true">
      <formula1>"Mercado Envios por conta do comprador,Mercado Envios grátis"</formula1>
    </dataValidation>
    <dataValidation type="list" sqref="W299" allowBlank="true" errorStyle="stop" showErrorMessage="true" showInputMessage="true">
      <formula1>"Clássico,Premium"</formula1>
    </dataValidation>
    <dataValidation type="list" sqref="J302" allowBlank="true" errorStyle="stop" showErrorMessage="true" showInputMessage="true">
      <formula1>"R$"</formula1>
    </dataValidation>
    <dataValidation type="list" sqref="K302" allowBlank="true" errorStyle="stop" showErrorMessage="true" showInputMessage="true">
      <formula1>"Com impostos,Sem impostos"</formula1>
    </dataValidation>
    <dataValidation type="list" sqref="V302" allowBlank="true" errorStyle="stop" showErrorMessage="true" showInputMessage="true">
      <formula1>"Mercado Envios por conta do comprador,Mercado Envios grátis"</formula1>
    </dataValidation>
    <dataValidation type="list" sqref="W302" allowBlank="true" errorStyle="stop" showErrorMessage="true" showInputMessage="true">
      <formula1>"Clássico,Premium"</formula1>
    </dataValidation>
    <dataValidation type="list" sqref="J303" allowBlank="true" errorStyle="stop" showErrorMessage="true" showInputMessage="true">
      <formula1>"R$"</formula1>
    </dataValidation>
    <dataValidation type="list" sqref="K303" allowBlank="true" errorStyle="stop" showErrorMessage="true" showInputMessage="true">
      <formula1>"Com impostos,Sem impostos"</formula1>
    </dataValidation>
    <dataValidation type="list" sqref="V303" allowBlank="true" errorStyle="stop" showErrorMessage="true" showInputMessage="true">
      <formula1>"Mercado Envios por conta do comprador,Mercado Envios grátis"</formula1>
    </dataValidation>
    <dataValidation type="list" sqref="W303" allowBlank="true" errorStyle="stop" showErrorMessage="true" showInputMessage="true">
      <formula1>"Clássico,Premium"</formula1>
    </dataValidation>
    <dataValidation type="list" sqref="J304" allowBlank="true" errorStyle="stop" showErrorMessage="true" showInputMessage="true">
      <formula1>"R$"</formula1>
    </dataValidation>
    <dataValidation type="list" sqref="K304" allowBlank="true" errorStyle="stop" showErrorMessage="true" showInputMessage="true">
      <formula1>"Com impostos,Sem impostos"</formula1>
    </dataValidation>
    <dataValidation type="list" sqref="V304" allowBlank="true" errorStyle="stop" showErrorMessage="true" showInputMessage="true">
      <formula1>"Mercado Envios por conta do comprador,Mercado Envios grátis"</formula1>
    </dataValidation>
    <dataValidation type="list" sqref="W304" allowBlank="true" errorStyle="stop" showErrorMessage="true" showInputMessage="true">
      <formula1>"Clássico,Premium"</formula1>
    </dataValidation>
    <dataValidation type="list" sqref="J305" allowBlank="true" errorStyle="stop" showErrorMessage="true" showInputMessage="true">
      <formula1>"R$"</formula1>
    </dataValidation>
    <dataValidation type="list" sqref="V305" allowBlank="true" errorStyle="stop" showErrorMessage="true" showInputMessage="true">
      <formula1>"Mercado Envios por conta do comprador,Mercado Envios grátis"</formula1>
    </dataValidation>
    <dataValidation type="list" sqref="W305" allowBlank="true" errorStyle="stop" showErrorMessage="true" showInputMessage="true">
      <formula1>"Clássico,Premium"</formula1>
    </dataValidation>
    <dataValidation type="list" sqref="J308" allowBlank="true" errorStyle="stop" showErrorMessage="true" showInputMessage="true">
      <formula1>"R$"</formula1>
    </dataValidation>
    <dataValidation type="list" sqref="K308" allowBlank="true" errorStyle="stop" showErrorMessage="true" showInputMessage="true">
      <formula1>"Com impostos,Sem impostos"</formula1>
    </dataValidation>
    <dataValidation type="list" sqref="V308" allowBlank="true" errorStyle="stop" showErrorMessage="true" showInputMessage="true">
      <formula1>"Mercado Envios por conta do comprador,Mercado Envios grátis"</formula1>
    </dataValidation>
    <dataValidation type="list" sqref="W308" allowBlank="true" errorStyle="stop" showErrorMessage="true" showInputMessage="true">
      <formula1>"Clássico,Premium"</formula1>
    </dataValidation>
    <dataValidation type="list" sqref="J309" allowBlank="true" errorStyle="stop" showErrorMessage="true" showInputMessage="true">
      <formula1>"R$"</formula1>
    </dataValidation>
    <dataValidation type="list" sqref="K309" allowBlank="true" errorStyle="stop" showErrorMessage="true" showInputMessage="true">
      <formula1>"Com impostos,Sem impostos"</formula1>
    </dataValidation>
    <dataValidation type="list" sqref="V309" allowBlank="true" errorStyle="stop" showErrorMessage="true" showInputMessage="true">
      <formula1>"Mercado Envios por conta do comprador,Mercado Envios grátis"</formula1>
    </dataValidation>
    <dataValidation type="list" sqref="W309" allowBlank="true" errorStyle="stop" showErrorMessage="true" showInputMessage="true">
      <formula1>"Clássico,Premium"</formula1>
    </dataValidation>
    <dataValidation type="list" sqref="J310" allowBlank="true" errorStyle="stop" showErrorMessage="true" showInputMessage="true">
      <formula1>"R$"</formula1>
    </dataValidation>
    <dataValidation type="list" sqref="K310" allowBlank="true" errorStyle="stop" showErrorMessage="true" showInputMessage="true">
      <formula1>"Com impostos,Sem impostos"</formula1>
    </dataValidation>
    <dataValidation type="list" sqref="V310" allowBlank="true" errorStyle="stop" showErrorMessage="true" showInputMessage="true">
      <formula1>"Mercado Envios por conta do comprador,Mercado Envios grátis"</formula1>
    </dataValidation>
    <dataValidation type="list" sqref="W310" allowBlank="true" errorStyle="stop" showErrorMessage="true" showInputMessage="true">
      <formula1>"Clássico,Premium"</formula1>
    </dataValidation>
    <dataValidation type="list" sqref="J311" allowBlank="true" errorStyle="stop" showErrorMessage="true" showInputMessage="true">
      <formula1>"R$"</formula1>
    </dataValidation>
    <dataValidation type="list" sqref="K311" allowBlank="true" errorStyle="stop" showErrorMessage="true" showInputMessage="true">
      <formula1>"Com impostos,Sem impostos"</formula1>
    </dataValidation>
    <dataValidation type="list" sqref="V311" allowBlank="true" errorStyle="stop" showErrorMessage="true" showInputMessage="true">
      <formula1>"Mercado Envios por conta do comprador,Mercado Envios grátis"</formula1>
    </dataValidation>
    <dataValidation type="list" sqref="W311" allowBlank="true" errorStyle="stop" showErrorMessage="true" showInputMessage="true">
      <formula1>"Clássico,Premium"</formula1>
    </dataValidation>
    <dataValidation type="list" sqref="J312" allowBlank="true" errorStyle="stop" showErrorMessage="true" showInputMessage="true">
      <formula1>"R$"</formula1>
    </dataValidation>
    <dataValidation type="list" sqref="K312" allowBlank="true" errorStyle="stop" showErrorMessage="true" showInputMessage="true">
      <formula1>"Com impostos,Sem impostos"</formula1>
    </dataValidation>
    <dataValidation type="list" sqref="V312" allowBlank="true" errorStyle="stop" showErrorMessage="true" showInputMessage="true">
      <formula1>"Mercado Envios por conta do comprador,Mercado Envios grátis"</formula1>
    </dataValidation>
    <dataValidation type="list" sqref="W312" allowBlank="true" errorStyle="stop" showErrorMessage="true" showInputMessage="true">
      <formula1>"Clássico,Premium"</formula1>
    </dataValidation>
    <dataValidation type="list" sqref="J313" allowBlank="true" errorStyle="stop" showErrorMessage="true" showInputMessage="true">
      <formula1>"R$"</formula1>
    </dataValidation>
    <dataValidation type="list" sqref="K313" allowBlank="true" errorStyle="stop" showErrorMessage="true" showInputMessage="true">
      <formula1>"Com impostos,Sem impostos"</formula1>
    </dataValidation>
    <dataValidation type="list" sqref="V313" allowBlank="true" errorStyle="stop" showErrorMessage="true" showInputMessage="true">
      <formula1>"Mercado Envios por conta do comprador,Mercado Envios grátis"</formula1>
    </dataValidation>
    <dataValidation type="list" sqref="W313" allowBlank="true" errorStyle="stop" showErrorMessage="true" showInputMessage="true">
      <formula1>"Clássico,Premium"</formula1>
    </dataValidation>
    <dataValidation type="list" sqref="J314" allowBlank="true" errorStyle="stop" showErrorMessage="true" showInputMessage="true">
      <formula1>"R$"</formula1>
    </dataValidation>
    <dataValidation type="list" sqref="K314" allowBlank="true" errorStyle="stop" showErrorMessage="true" showInputMessage="true">
      <formula1>"Com impostos,Sem impostos"</formula1>
    </dataValidation>
    <dataValidation type="list" sqref="V314" allowBlank="true" errorStyle="stop" showErrorMessage="true" showInputMessage="true">
      <formula1>"Mercado Envios por conta do comprador,Mercado Envios grátis"</formula1>
    </dataValidation>
    <dataValidation type="list" sqref="W314" allowBlank="true" errorStyle="stop" showErrorMessage="true" showInputMessage="true">
      <formula1>"Clássico,Premium"</formula1>
    </dataValidation>
    <dataValidation type="list" sqref="J315" allowBlank="true" errorStyle="stop" showErrorMessage="true" showInputMessage="true">
      <formula1>"R$"</formula1>
    </dataValidation>
    <dataValidation type="list" sqref="K315" allowBlank="true" errorStyle="stop" showErrorMessage="true" showInputMessage="true">
      <formula1>"Com impostos,Sem impostos"</formula1>
    </dataValidation>
    <dataValidation type="list" sqref="V315" allowBlank="true" errorStyle="stop" showErrorMessage="true" showInputMessage="true">
      <formula1>"Mercado Envios por conta do comprador,Mercado Envios grátis"</formula1>
    </dataValidation>
    <dataValidation type="list" sqref="W315" allowBlank="true" errorStyle="stop" showErrorMessage="true" showInputMessage="true">
      <formula1>"Clássico,Premium"</formula1>
    </dataValidation>
    <dataValidation type="list" sqref="J316" allowBlank="true" errorStyle="stop" showErrorMessage="true" showInputMessage="true">
      <formula1>"R$"</formula1>
    </dataValidation>
    <dataValidation type="list" sqref="K316" allowBlank="true" errorStyle="stop" showErrorMessage="true" showInputMessage="true">
      <formula1>"Com impostos,Sem impostos"</formula1>
    </dataValidation>
    <dataValidation type="list" sqref="V316" allowBlank="true" errorStyle="stop" showErrorMessage="true" showInputMessage="true">
      <formula1>"Mercado Envios por conta do comprador,Mercado Envios grátis"</formula1>
    </dataValidation>
    <dataValidation type="list" sqref="W316" allowBlank="true" errorStyle="stop" showErrorMessage="true" showInputMessage="true">
      <formula1>"Clássico,Premium"</formula1>
    </dataValidation>
    <dataValidation type="list" sqref="J317" allowBlank="true" errorStyle="stop" showErrorMessage="true" showInputMessage="true">
      <formula1>"R$"</formula1>
    </dataValidation>
    <dataValidation type="list" sqref="K317" allowBlank="true" errorStyle="stop" showErrorMessage="true" showInputMessage="true">
      <formula1>"Com impostos,Sem impostos"</formula1>
    </dataValidation>
    <dataValidation type="list" sqref="V317" allowBlank="true" errorStyle="stop" showErrorMessage="true" showInputMessage="true">
      <formula1>"Mercado Envios por conta do comprador,Mercado Envios grátis"</formula1>
    </dataValidation>
    <dataValidation type="list" sqref="W317" allowBlank="true" errorStyle="stop" showErrorMessage="true" showInputMessage="true">
      <formula1>"Clássico,Premium"</formula1>
    </dataValidation>
    <dataValidation type="list" sqref="J318" allowBlank="true" errorStyle="stop" showErrorMessage="true" showInputMessage="true">
      <formula1>"R$"</formula1>
    </dataValidation>
    <dataValidation type="list" sqref="K318" allowBlank="true" errorStyle="stop" showErrorMessage="true" showInputMessage="true">
      <formula1>"Com impostos,Sem impostos"</formula1>
    </dataValidation>
    <dataValidation type="list" sqref="V318" allowBlank="true" errorStyle="stop" showErrorMessage="true" showInputMessage="true">
      <formula1>"Mercado Envios por conta do comprador,Mercado Envios grátis"</formula1>
    </dataValidation>
    <dataValidation type="list" sqref="W318" allowBlank="true" errorStyle="stop" showErrorMessage="true" showInputMessage="true">
      <formula1>"Clássico,Premium"</formula1>
    </dataValidation>
    <dataValidation type="list" sqref="J319" allowBlank="true" errorStyle="stop" showErrorMessage="true" showInputMessage="true">
      <formula1>"R$"</formula1>
    </dataValidation>
    <dataValidation type="list" sqref="K319" allowBlank="true" errorStyle="stop" showErrorMessage="true" showInputMessage="true">
      <formula1>"Com impostos,Sem impostos"</formula1>
    </dataValidation>
    <dataValidation type="list" sqref="V319" allowBlank="true" errorStyle="stop" showErrorMessage="true" showInputMessage="true">
      <formula1>"Mercado Envios por conta do comprador,Mercado Envios grátis"</formula1>
    </dataValidation>
    <dataValidation type="list" sqref="W319" allowBlank="true" errorStyle="stop" showErrorMessage="true" showInputMessage="true">
      <formula1>"Clássico,Premium"</formula1>
    </dataValidation>
    <dataValidation type="list" sqref="J320" allowBlank="true" errorStyle="stop" showErrorMessage="true" showInputMessage="true">
      <formula1>"R$"</formula1>
    </dataValidation>
    <dataValidation type="list" sqref="K320" allowBlank="true" errorStyle="stop" showErrorMessage="true" showInputMessage="true">
      <formula1>"Com impostos,Sem impostos"</formula1>
    </dataValidation>
    <dataValidation type="list" sqref="V320" allowBlank="true" errorStyle="stop" showErrorMessage="true" showInputMessage="true">
      <formula1>"Mercado Envios por conta do comprador,Mercado Envios grátis"</formula1>
    </dataValidation>
    <dataValidation type="list" sqref="W320" allowBlank="true" errorStyle="stop" showErrorMessage="true" showInputMessage="true">
      <formula1>"Clássico,Premium"</formula1>
    </dataValidation>
    <dataValidation type="list" sqref="J321" allowBlank="true" errorStyle="stop" showErrorMessage="true" showInputMessage="true">
      <formula1>"R$"</formula1>
    </dataValidation>
    <dataValidation type="list" sqref="K321" allowBlank="true" errorStyle="stop" showErrorMessage="true" showInputMessage="true">
      <formula1>"Com impostos,Sem impostos"</formula1>
    </dataValidation>
    <dataValidation type="list" sqref="V321" allowBlank="true" errorStyle="stop" showErrorMessage="true" showInputMessage="true">
      <formula1>"Mercado Envios por conta do comprador,Mercado Envios grátis"</formula1>
    </dataValidation>
    <dataValidation type="list" sqref="W321" allowBlank="true" errorStyle="stop" showErrorMessage="true" showInputMessage="true">
      <formula1>"Clássico,Premium"</formula1>
    </dataValidation>
    <dataValidation type="list" sqref="J322" allowBlank="true" errorStyle="stop" showErrorMessage="true" showInputMessage="true">
      <formula1>"R$"</formula1>
    </dataValidation>
    <dataValidation type="list" sqref="K322" allowBlank="true" errorStyle="stop" showErrorMessage="true" showInputMessage="true">
      <formula1>"Com impostos,Sem impostos"</formula1>
    </dataValidation>
    <dataValidation type="list" sqref="V322" allowBlank="true" errorStyle="stop" showErrorMessage="true" showInputMessage="true">
      <formula1>"Mercado Envios por conta do comprador,Mercado Envios grátis"</formula1>
    </dataValidation>
    <dataValidation type="list" sqref="W322" allowBlank="true" errorStyle="stop" showErrorMessage="true" showInputMessage="true">
      <formula1>"Clássico,Premium"</formula1>
    </dataValidation>
    <dataValidation type="list" sqref="J323" allowBlank="true" errorStyle="stop" showErrorMessage="true" showInputMessage="true">
      <formula1>"R$"</formula1>
    </dataValidation>
    <dataValidation type="list" sqref="V323" allowBlank="true" errorStyle="stop" showErrorMessage="true" showInputMessage="true">
      <formula1>"Mercado Envios por conta do comprador,Mercado Envios grátis"</formula1>
    </dataValidation>
    <dataValidation type="list" sqref="W323" allowBlank="true" errorStyle="stop" showErrorMessage="true" showInputMessage="true">
      <formula1>"Clássico,Premium"</formula1>
    </dataValidation>
    <dataValidation type="list" sqref="J328" allowBlank="true" errorStyle="stop" showErrorMessage="true" showInputMessage="true">
      <formula1>"R$"</formula1>
    </dataValidation>
    <dataValidation type="list" sqref="V328" allowBlank="true" errorStyle="stop" showErrorMessage="true" showInputMessage="true">
      <formula1>"Mercado Envios por conta do comprador,Mercado Envios grátis"</formula1>
    </dataValidation>
    <dataValidation type="list" sqref="W328" allowBlank="true" errorStyle="stop" showErrorMessage="true" showInputMessage="true">
      <formula1>"Clássico,Premium"</formula1>
    </dataValidation>
    <dataValidation type="list" sqref="J331" allowBlank="true" errorStyle="stop" showErrorMessage="true" showInputMessage="true">
      <formula1>"R$"</formula1>
    </dataValidation>
    <dataValidation type="list" sqref="V331" allowBlank="true" errorStyle="stop" showErrorMessage="true" showInputMessage="true">
      <formula1>"Mercado Envios por conta do comprador,Mercado Envios grátis"</formula1>
    </dataValidation>
    <dataValidation type="list" sqref="W331" allowBlank="true" errorStyle="stop" showErrorMessage="true" showInputMessage="true">
      <formula1>"Clássico,Premium"</formula1>
    </dataValidation>
    <dataValidation type="list" sqref="J336" allowBlank="true" errorStyle="stop" showErrorMessage="true" showInputMessage="true">
      <formula1>"R$"</formula1>
    </dataValidation>
    <dataValidation type="list" sqref="K336" allowBlank="true" errorStyle="stop" showErrorMessage="true" showInputMessage="true">
      <formula1>"Com impostos,Sem impostos"</formula1>
    </dataValidation>
    <dataValidation type="list" sqref="V336" allowBlank="true" errorStyle="stop" showErrorMessage="true" showInputMessage="true">
      <formula1>"Mercado Envios por conta do comprador,Mercado Envios grátis"</formula1>
    </dataValidation>
    <dataValidation type="list" sqref="W336" allowBlank="true" errorStyle="stop" showErrorMessage="true" showInputMessage="true">
      <formula1>"Clássico,Premium"</formula1>
    </dataValidation>
    <dataValidation type="list" sqref="J337" allowBlank="true" errorStyle="stop" showErrorMessage="true" showInputMessage="true">
      <formula1>"R$"</formula1>
    </dataValidation>
    <dataValidation type="list" sqref="K337" allowBlank="true" errorStyle="stop" showErrorMessage="true" showInputMessage="true">
      <formula1>"Com impostos,Sem impostos"</formula1>
    </dataValidation>
    <dataValidation type="list" sqref="V337" allowBlank="true" errorStyle="stop" showErrorMessage="true" showInputMessage="true">
      <formula1>"Mercado Envios por conta do comprador,Mercado Envios grátis"</formula1>
    </dataValidation>
    <dataValidation type="list" sqref="W337" allowBlank="true" errorStyle="stop" showErrorMessage="true" showInputMessage="true">
      <formula1>"Clássico,Premium"</formula1>
    </dataValidation>
    <dataValidation type="list" sqref="J338" allowBlank="true" errorStyle="stop" showErrorMessage="true" showInputMessage="true">
      <formula1>"R$"</formula1>
    </dataValidation>
    <dataValidation type="list" sqref="K338" allowBlank="true" errorStyle="stop" showErrorMessage="true" showInputMessage="true">
      <formula1>"Com impostos,Sem impostos"</formula1>
    </dataValidation>
    <dataValidation type="list" sqref="V338" allowBlank="true" errorStyle="stop" showErrorMessage="true" showInputMessage="true">
      <formula1>"Mercado Envios por conta do comprador,Mercado Envios grátis"</formula1>
    </dataValidation>
    <dataValidation type="list" sqref="W338" allowBlank="true" errorStyle="stop" showErrorMessage="true" showInputMessage="true">
      <formula1>"Clássico,Premium"</formula1>
    </dataValidation>
    <dataValidation type="list" sqref="J339" allowBlank="true" errorStyle="stop" showErrorMessage="true" showInputMessage="true">
      <formula1>"R$"</formula1>
    </dataValidation>
    <dataValidation type="list" sqref="K339" allowBlank="true" errorStyle="stop" showErrorMessage="true" showInputMessage="true">
      <formula1>"Com impostos,Sem impostos"</formula1>
    </dataValidation>
    <dataValidation type="list" sqref="V339" allowBlank="true" errorStyle="stop" showErrorMessage="true" showInputMessage="true">
      <formula1>"Mercado Envios por conta do comprador,Mercado Envios grátis"</formula1>
    </dataValidation>
    <dataValidation type="list" sqref="W339" allowBlank="true" errorStyle="stop" showErrorMessage="true" showInputMessage="true">
      <formula1>"Clássico,Premium"</formula1>
    </dataValidation>
    <dataValidation type="list" sqref="J340" allowBlank="true" errorStyle="stop" showErrorMessage="true" showInputMessage="true">
      <formula1>"R$"</formula1>
    </dataValidation>
    <dataValidation type="list" sqref="K340" allowBlank="true" errorStyle="stop" showErrorMessage="true" showInputMessage="true">
      <formula1>"Com impostos,Sem impostos"</formula1>
    </dataValidation>
    <dataValidation type="list" sqref="V340" allowBlank="true" errorStyle="stop" showErrorMessage="true" showInputMessage="true">
      <formula1>"Mercado Envios por conta do comprador,Mercado Envios grátis"</formula1>
    </dataValidation>
    <dataValidation type="list" sqref="W340" allowBlank="true" errorStyle="stop" showErrorMessage="true" showInputMessage="true">
      <formula1>"Clássico,Premium"</formula1>
    </dataValidation>
    <dataValidation type="list" sqref="J341" allowBlank="true" errorStyle="stop" showErrorMessage="true" showInputMessage="true">
      <formula1>"R$"</formula1>
    </dataValidation>
    <dataValidation type="list" sqref="K341" allowBlank="true" errorStyle="stop" showErrorMessage="true" showInputMessage="true">
      <formula1>"Com impostos,Sem impostos"</formula1>
    </dataValidation>
    <dataValidation type="list" sqref="V341" allowBlank="true" errorStyle="stop" showErrorMessage="true" showInputMessage="true">
      <formula1>"Mercado Envios por conta do comprador,Mercado Envios grátis"</formula1>
    </dataValidation>
    <dataValidation type="list" sqref="W341" allowBlank="true" errorStyle="stop" showErrorMessage="true" showInputMessage="true">
      <formula1>"Clássico,Premium"</formula1>
    </dataValidation>
    <dataValidation type="list" sqref="J342" allowBlank="true" errorStyle="stop" showErrorMessage="true" showInputMessage="true">
      <formula1>"R$"</formula1>
    </dataValidation>
    <dataValidation type="list" sqref="K342" allowBlank="true" errorStyle="stop" showErrorMessage="true" showInputMessage="true">
      <formula1>"Com impostos,Sem impostos"</formula1>
    </dataValidation>
    <dataValidation type="list" sqref="V342" allowBlank="true" errorStyle="stop" showErrorMessage="true" showInputMessage="true">
      <formula1>"Mercado Envios por conta do comprador,Mercado Envios grátis"</formula1>
    </dataValidation>
    <dataValidation type="list" sqref="W342" allowBlank="true" errorStyle="stop" showErrorMessage="true" showInputMessage="true">
      <formula1>"Clássico,Premium"</formula1>
    </dataValidation>
    <dataValidation type="list" sqref="J343" allowBlank="true" errorStyle="stop" showErrorMessage="true" showInputMessage="true">
      <formula1>"R$"</formula1>
    </dataValidation>
    <dataValidation type="list" sqref="V343" allowBlank="true" errorStyle="stop" showErrorMessage="true" showInputMessage="true">
      <formula1>"Mercado Envios por conta do comprador,Mercado Envios grátis"</formula1>
    </dataValidation>
    <dataValidation type="list" sqref="W343" allowBlank="true" errorStyle="stop" showErrorMessage="true" showInputMessage="true">
      <formula1>"Clássico,Premium"</formula1>
    </dataValidation>
    <dataValidation type="list" sqref="J348" allowBlank="true" errorStyle="stop" showErrorMessage="true" showInputMessage="true">
      <formula1>"R$"</formula1>
    </dataValidation>
    <dataValidation type="list" sqref="K348" allowBlank="true" errorStyle="stop" showErrorMessage="true" showInputMessage="true">
      <formula1>"Com impostos,Sem impostos"</formula1>
    </dataValidation>
    <dataValidation type="list" sqref="V348" allowBlank="true" errorStyle="stop" showErrorMessage="true" showInputMessage="true">
      <formula1>"Mercado Envios por conta do comprador,Mercado Envios grátis"</formula1>
    </dataValidation>
    <dataValidation type="list" sqref="W348" allowBlank="true" errorStyle="stop" showErrorMessage="true" showInputMessage="true">
      <formula1>"Clássico,Premium"</formula1>
    </dataValidation>
    <dataValidation type="list" sqref="J349" allowBlank="true" errorStyle="stop" showErrorMessage="true" showInputMessage="true">
      <formula1>"R$"</formula1>
    </dataValidation>
    <dataValidation type="list" sqref="K349" allowBlank="true" errorStyle="stop" showErrorMessage="true" showInputMessage="true">
      <formula1>"Com impostos,Sem impostos"</formula1>
    </dataValidation>
    <dataValidation type="list" sqref="V349" allowBlank="true" errorStyle="stop" showErrorMessage="true" showInputMessage="true">
      <formula1>"Mercado Envios por conta do comprador,Mercado Envios grátis"</formula1>
    </dataValidation>
    <dataValidation type="list" sqref="W349" allowBlank="true" errorStyle="stop" showErrorMessage="true" showInputMessage="true">
      <formula1>"Clássico,Premium"</formula1>
    </dataValidation>
    <dataValidation type="list" sqref="J350" allowBlank="true" errorStyle="stop" showErrorMessage="true" showInputMessage="true">
      <formula1>"R$"</formula1>
    </dataValidation>
    <dataValidation type="list" sqref="K350" allowBlank="true" errorStyle="stop" showErrorMessage="true" showInputMessage="true">
      <formula1>"Com impostos,Sem impostos"</formula1>
    </dataValidation>
    <dataValidation type="list" sqref="V350" allowBlank="true" errorStyle="stop" showErrorMessage="true" showInputMessage="true">
      <formula1>"Mercado Envios por conta do comprador,Mercado Envios grátis"</formula1>
    </dataValidation>
    <dataValidation type="list" sqref="W350" allowBlank="true" errorStyle="stop" showErrorMessage="true" showInputMessage="true">
      <formula1>"Clássico,Premium"</formula1>
    </dataValidation>
    <dataValidation type="list" sqref="J351" allowBlank="true" errorStyle="stop" showErrorMessage="true" showInputMessage="true">
      <formula1>"R$"</formula1>
    </dataValidation>
    <dataValidation type="list" sqref="K351" allowBlank="true" errorStyle="stop" showErrorMessage="true" showInputMessage="true">
      <formula1>"Com impostos,Sem impostos"</formula1>
    </dataValidation>
    <dataValidation type="list" sqref="V351" allowBlank="true" errorStyle="stop" showErrorMessage="true" showInputMessage="true">
      <formula1>"Mercado Envios por conta do comprador,Mercado Envios grátis"</formula1>
    </dataValidation>
    <dataValidation type="list" sqref="W351" allowBlank="true" errorStyle="stop" showErrorMessage="true" showInputMessage="true">
      <formula1>"Clássico,Premium"</formula1>
    </dataValidation>
    <dataValidation type="list" sqref="J352" allowBlank="true" errorStyle="stop" showErrorMessage="true" showInputMessage="true">
      <formula1>"R$"</formula1>
    </dataValidation>
    <dataValidation type="list" sqref="K352" allowBlank="true" errorStyle="stop" showErrorMessage="true" showInputMessage="true">
      <formula1>"Com impostos,Sem impostos"</formula1>
    </dataValidation>
    <dataValidation type="list" sqref="V352" allowBlank="true" errorStyle="stop" showErrorMessage="true" showInputMessage="true">
      <formula1>"Mercado Envios por conta do comprador,Mercado Envios grátis"</formula1>
    </dataValidation>
    <dataValidation type="list" sqref="W352" allowBlank="true" errorStyle="stop" showErrorMessage="true" showInputMessage="true">
      <formula1>"Clássico,Premium"</formula1>
    </dataValidation>
    <dataValidation type="list" sqref="J353" allowBlank="true" errorStyle="stop" showErrorMessage="true" showInputMessage="true">
      <formula1>"R$"</formula1>
    </dataValidation>
    <dataValidation type="list" sqref="K353" allowBlank="true" errorStyle="stop" showErrorMessage="true" showInputMessage="true">
      <formula1>"Com impostos,Sem impostos"</formula1>
    </dataValidation>
    <dataValidation type="list" sqref="V353" allowBlank="true" errorStyle="stop" showErrorMessage="true" showInputMessage="true">
      <formula1>"Mercado Envios por conta do comprador,Mercado Envios grátis"</formula1>
    </dataValidation>
    <dataValidation type="list" sqref="W353" allowBlank="true" errorStyle="stop" showErrorMessage="true" showInputMessage="true">
      <formula1>"Clássico,Premium"</formula1>
    </dataValidation>
    <dataValidation type="list" sqref="J354" allowBlank="true" errorStyle="stop" showErrorMessage="true" showInputMessage="true">
      <formula1>"R$"</formula1>
    </dataValidation>
    <dataValidation type="list" sqref="K354" allowBlank="true" errorStyle="stop" showErrorMessage="true" showInputMessage="true">
      <formula1>"Com impostos,Sem impostos"</formula1>
    </dataValidation>
    <dataValidation type="list" sqref="V354" allowBlank="true" errorStyle="stop" showErrorMessage="true" showInputMessage="true">
      <formula1>"Mercado Envios por conta do comprador,Mercado Envios grátis"</formula1>
    </dataValidation>
    <dataValidation type="list" sqref="W354" allowBlank="true" errorStyle="stop" showErrorMessage="true" showInputMessage="true">
      <formula1>"Clássico,Premium"</formula1>
    </dataValidation>
    <dataValidation type="list" sqref="J355" allowBlank="true" errorStyle="stop" showErrorMessage="true" showInputMessage="true">
      <formula1>"R$"</formula1>
    </dataValidation>
    <dataValidation type="list" sqref="K355" allowBlank="true" errorStyle="stop" showErrorMessage="true" showInputMessage="true">
      <formula1>"Com impostos,Sem impostos"</formula1>
    </dataValidation>
    <dataValidation type="list" sqref="V355" allowBlank="true" errorStyle="stop" showErrorMessage="true" showInputMessage="true">
      <formula1>"Mercado Envios por conta do comprador,Mercado Envios grátis"</formula1>
    </dataValidation>
    <dataValidation type="list" sqref="W355" allowBlank="true" errorStyle="stop" showErrorMessage="true" showInputMessage="true">
      <formula1>"Clássico,Premium"</formula1>
    </dataValidation>
    <dataValidation type="list" sqref="J356" allowBlank="true" errorStyle="stop" showErrorMessage="true" showInputMessage="true">
      <formula1>"R$"</formula1>
    </dataValidation>
    <dataValidation type="list" sqref="V356" allowBlank="true" errorStyle="stop" showErrorMessage="true" showInputMessage="true">
      <formula1>"Mercado Envios por conta do comprador,Mercado Envios grátis"</formula1>
    </dataValidation>
    <dataValidation type="list" sqref="W356" allowBlank="true" errorStyle="stop" showErrorMessage="true" showInputMessage="true">
      <formula1>"Clássico,Premium"</formula1>
    </dataValidation>
    <dataValidation type="list" sqref="J361" allowBlank="true" errorStyle="stop" showErrorMessage="true" showInputMessage="true">
      <formula1>"R$"</formula1>
    </dataValidation>
    <dataValidation type="list" sqref="K361" allowBlank="true" errorStyle="stop" showErrorMessage="true" showInputMessage="true">
      <formula1>"Com impostos,Sem impostos"</formula1>
    </dataValidation>
    <dataValidation type="list" sqref="V361" allowBlank="true" errorStyle="stop" showErrorMessage="true" showInputMessage="true">
      <formula1>"Mercado Envios por conta do comprador,Mercado Envios grátis"</formula1>
    </dataValidation>
    <dataValidation type="list" sqref="W361" allowBlank="true" errorStyle="stop" showErrorMessage="true" showInputMessage="true">
      <formula1>"Clássico,Premium"</formula1>
    </dataValidation>
    <dataValidation type="list" sqref="J362" allowBlank="true" errorStyle="stop" showErrorMessage="true" showInputMessage="true">
      <formula1>"R$"</formula1>
    </dataValidation>
    <dataValidation type="list" sqref="K362" allowBlank="true" errorStyle="stop" showErrorMessage="true" showInputMessage="true">
      <formula1>"Com impostos,Sem impostos"</formula1>
    </dataValidation>
    <dataValidation type="list" sqref="V362" allowBlank="true" errorStyle="stop" showErrorMessage="true" showInputMessage="true">
      <formula1>"Mercado Envios por conta do comprador,Mercado Envios grátis"</formula1>
    </dataValidation>
    <dataValidation type="list" sqref="W362" allowBlank="true" errorStyle="stop" showErrorMessage="true" showInputMessage="true">
      <formula1>"Clássico,Premium"</formula1>
    </dataValidation>
    <dataValidation type="list" sqref="J363" allowBlank="true" errorStyle="stop" showErrorMessage="true" showInputMessage="true">
      <formula1>"R$"</formula1>
    </dataValidation>
    <dataValidation type="list" sqref="K363" allowBlank="true" errorStyle="stop" showErrorMessage="true" showInputMessage="true">
      <formula1>"Com impostos,Sem impostos"</formula1>
    </dataValidation>
    <dataValidation type="list" sqref="V363" allowBlank="true" errorStyle="stop" showErrorMessage="true" showInputMessage="true">
      <formula1>"Mercado Envios por conta do comprador,Mercado Envios grátis"</formula1>
    </dataValidation>
    <dataValidation type="list" sqref="W363" allowBlank="true" errorStyle="stop" showErrorMessage="true" showInputMessage="true">
      <formula1>"Clássico,Premium"</formula1>
    </dataValidation>
    <dataValidation type="list" sqref="J364" allowBlank="true" errorStyle="stop" showErrorMessage="true" showInputMessage="true">
      <formula1>"R$"</formula1>
    </dataValidation>
    <dataValidation type="list" sqref="K364" allowBlank="true" errorStyle="stop" showErrorMessage="true" showInputMessage="true">
      <formula1>"Com impostos,Sem impostos"</formula1>
    </dataValidation>
    <dataValidation type="list" sqref="V364" allowBlank="true" errorStyle="stop" showErrorMessage="true" showInputMessage="true">
      <formula1>"Mercado Envios por conta do comprador,Mercado Envios grátis"</formula1>
    </dataValidation>
    <dataValidation type="list" sqref="W364" allowBlank="true" errorStyle="stop" showErrorMessage="true" showInputMessage="true">
      <formula1>"Clássico,Premium"</formula1>
    </dataValidation>
    <dataValidation type="list" sqref="J365" allowBlank="true" errorStyle="stop" showErrorMessage="true" showInputMessage="true">
      <formula1>"R$"</formula1>
    </dataValidation>
    <dataValidation type="list" sqref="K365" allowBlank="true" errorStyle="stop" showErrorMessage="true" showInputMessage="true">
      <formula1>"Com impostos,Sem impostos"</formula1>
    </dataValidation>
    <dataValidation type="list" sqref="V365" allowBlank="true" errorStyle="stop" showErrorMessage="true" showInputMessage="true">
      <formula1>"Mercado Envios por conta do comprador,Mercado Envios grátis"</formula1>
    </dataValidation>
    <dataValidation type="list" sqref="W365" allowBlank="true" errorStyle="stop" showErrorMessage="true" showInputMessage="true">
      <formula1>"Clássico,Premium"</formula1>
    </dataValidation>
    <dataValidation type="list" sqref="J366" allowBlank="true" errorStyle="stop" showErrorMessage="true" showInputMessage="true">
      <formula1>"R$"</formula1>
    </dataValidation>
    <dataValidation type="list" sqref="K366" allowBlank="true" errorStyle="stop" showErrorMessage="true" showInputMessage="true">
      <formula1>"Com impostos,Sem impostos"</formula1>
    </dataValidation>
    <dataValidation type="list" sqref="V366" allowBlank="true" errorStyle="stop" showErrorMessage="true" showInputMessage="true">
      <formula1>"Mercado Envios por conta do comprador,Mercado Envios grátis"</formula1>
    </dataValidation>
    <dataValidation type="list" sqref="W366" allowBlank="true" errorStyle="stop" showErrorMessage="true" showInputMessage="true">
      <formula1>"Clássico,Premium"</formula1>
    </dataValidation>
    <dataValidation type="list" sqref="J367" allowBlank="true" errorStyle="stop" showErrorMessage="true" showInputMessage="true">
      <formula1>"R$"</formula1>
    </dataValidation>
    <dataValidation type="list" sqref="K367" allowBlank="true" errorStyle="stop" showErrorMessage="true" showInputMessage="true">
      <formula1>"Com impostos,Sem impostos"</formula1>
    </dataValidation>
    <dataValidation type="list" sqref="V367" allowBlank="true" errorStyle="stop" showErrorMessage="true" showInputMessage="true">
      <formula1>"Mercado Envios por conta do comprador,Mercado Envios grátis"</formula1>
    </dataValidation>
    <dataValidation type="list" sqref="W367" allowBlank="true" errorStyle="stop" showErrorMessage="true" showInputMessage="true">
      <formula1>"Clássico,Premium"</formula1>
    </dataValidation>
    <dataValidation type="list" sqref="J368" allowBlank="true" errorStyle="stop" showErrorMessage="true" showInputMessage="true">
      <formula1>"R$"</formula1>
    </dataValidation>
    <dataValidation type="list" sqref="K368" allowBlank="true" errorStyle="stop" showErrorMessage="true" showInputMessage="true">
      <formula1>"Com impostos,Sem impostos"</formula1>
    </dataValidation>
    <dataValidation type="list" sqref="V368" allowBlank="true" errorStyle="stop" showErrorMessage="true" showInputMessage="true">
      <formula1>"Mercado Envios por conta do comprador,Mercado Envios grátis"</formula1>
    </dataValidation>
    <dataValidation type="list" sqref="W368" allowBlank="true" errorStyle="stop" showErrorMessage="true" showInputMessage="true">
      <formula1>"Clássico,Premium"</formula1>
    </dataValidation>
    <dataValidation type="list" sqref="J369" allowBlank="true" errorStyle="stop" showErrorMessage="true" showInputMessage="true">
      <formula1>"R$"</formula1>
    </dataValidation>
    <dataValidation type="list" sqref="K369" allowBlank="true" errorStyle="stop" showErrorMessage="true" showInputMessage="true">
      <formula1>"Com impostos,Sem impostos"</formula1>
    </dataValidation>
    <dataValidation type="list" sqref="V369" allowBlank="true" errorStyle="stop" showErrorMessage="true" showInputMessage="true">
      <formula1>"Mercado Envios por conta do comprador,Mercado Envios grátis"</formula1>
    </dataValidation>
    <dataValidation type="list" sqref="W369" allowBlank="true" errorStyle="stop" showErrorMessage="true" showInputMessage="true">
      <formula1>"Clássico,Premium"</formula1>
    </dataValidation>
    <dataValidation type="list" sqref="J370" allowBlank="true" errorStyle="stop" showErrorMessage="true" showInputMessage="true">
      <formula1>"R$"</formula1>
    </dataValidation>
    <dataValidation type="list" sqref="K370" allowBlank="true" errorStyle="stop" showErrorMessage="true" showInputMessage="true">
      <formula1>"Com impostos,Sem impostos"</formula1>
    </dataValidation>
    <dataValidation type="list" sqref="V370" allowBlank="true" errorStyle="stop" showErrorMessage="true" showInputMessage="true">
      <formula1>"Mercado Envios por conta do comprador,Mercado Envios grátis"</formula1>
    </dataValidation>
    <dataValidation type="list" sqref="W370" allowBlank="true" errorStyle="stop" showErrorMessage="true" showInputMessage="true">
      <formula1>"Clássico,Premium"</formula1>
    </dataValidation>
    <dataValidation type="list" sqref="J371" allowBlank="true" errorStyle="stop" showErrorMessage="true" showInputMessage="true">
      <formula1>"R$"</formula1>
    </dataValidation>
    <dataValidation type="list" sqref="K371" allowBlank="true" errorStyle="stop" showErrorMessage="true" showInputMessage="true">
      <formula1>"Com impostos,Sem impostos"</formula1>
    </dataValidation>
    <dataValidation type="list" sqref="V371" allowBlank="true" errorStyle="stop" showErrorMessage="true" showInputMessage="true">
      <formula1>"Mercado Envios por conta do comprador,Mercado Envios grátis"</formula1>
    </dataValidation>
    <dataValidation type="list" sqref="W371" allowBlank="true" errorStyle="stop" showErrorMessage="true" showInputMessage="true">
      <formula1>"Clássico,Premium"</formula1>
    </dataValidation>
    <dataValidation type="list" sqref="J372" allowBlank="true" errorStyle="stop" showErrorMessage="true" showInputMessage="true">
      <formula1>"R$"</formula1>
    </dataValidation>
    <dataValidation type="list" sqref="K372" allowBlank="true" errorStyle="stop" showErrorMessage="true" showInputMessage="true">
      <formula1>"Com impostos,Sem impostos"</formula1>
    </dataValidation>
    <dataValidation type="list" sqref="V372" allowBlank="true" errorStyle="stop" showErrorMessage="true" showInputMessage="true">
      <formula1>"Mercado Envios por conta do comprador,Mercado Envios grátis"</formula1>
    </dataValidation>
    <dataValidation type="list" sqref="W372" allowBlank="true" errorStyle="stop" showErrorMessage="true" showInputMessage="true">
      <formula1>"Clássico,Premium"</formula1>
    </dataValidation>
    <dataValidation type="list" sqref="J373" allowBlank="true" errorStyle="stop" showErrorMessage="true" showInputMessage="true">
      <formula1>"R$"</formula1>
    </dataValidation>
    <dataValidation type="list" sqref="K373" allowBlank="true" errorStyle="stop" showErrorMessage="true" showInputMessage="true">
      <formula1>"Com impostos,Sem impostos"</formula1>
    </dataValidation>
    <dataValidation type="list" sqref="V373" allowBlank="true" errorStyle="stop" showErrorMessage="true" showInputMessage="true">
      <formula1>"Mercado Envios por conta do comprador,Mercado Envios grátis"</formula1>
    </dataValidation>
    <dataValidation type="list" sqref="W373" allowBlank="true" errorStyle="stop" showErrorMessage="true" showInputMessage="true">
      <formula1>"Clássico,Premium"</formula1>
    </dataValidation>
    <dataValidation type="list" sqref="J374" allowBlank="true" errorStyle="stop" showErrorMessage="true" showInputMessage="true">
      <formula1>"R$"</formula1>
    </dataValidation>
    <dataValidation type="list" sqref="K374" allowBlank="true" errorStyle="stop" showErrorMessage="true" showInputMessage="true">
      <formula1>"Com impostos,Sem impostos"</formula1>
    </dataValidation>
    <dataValidation type="list" sqref="V374" allowBlank="true" errorStyle="stop" showErrorMessage="true" showInputMessage="true">
      <formula1>"Mercado Envios por conta do comprador,Mercado Envios grátis"</formula1>
    </dataValidation>
    <dataValidation type="list" sqref="W374" allowBlank="true" errorStyle="stop" showErrorMessage="true" showInputMessage="true">
      <formula1>"Clássico,Premium"</formula1>
    </dataValidation>
    <dataValidation type="list" sqref="J375" allowBlank="true" errorStyle="stop" showErrorMessage="true" showInputMessage="true">
      <formula1>"R$"</formula1>
    </dataValidation>
    <dataValidation type="list" sqref="K375" allowBlank="true" errorStyle="stop" showErrorMessage="true" showInputMessage="true">
      <formula1>"Com impostos,Sem impostos"</formula1>
    </dataValidation>
    <dataValidation type="list" sqref="V375" allowBlank="true" errorStyle="stop" showErrorMessage="true" showInputMessage="true">
      <formula1>"Mercado Envios por conta do comprador,Mercado Envios grátis"</formula1>
    </dataValidation>
    <dataValidation type="list" sqref="W375" allowBlank="true" errorStyle="stop" showErrorMessage="true" showInputMessage="true">
      <formula1>"Clássico,Premium"</formula1>
    </dataValidation>
    <dataValidation type="list" sqref="J376" allowBlank="true" errorStyle="stop" showErrorMessage="true" showInputMessage="true">
      <formula1>"R$"</formula1>
    </dataValidation>
    <dataValidation type="list" sqref="V376" allowBlank="true" errorStyle="stop" showErrorMessage="true" showInputMessage="true">
      <formula1>"Mercado Envios por conta do comprador,Mercado Envios grátis"</formula1>
    </dataValidation>
    <dataValidation type="list" sqref="W376" allowBlank="true" errorStyle="stop" showErrorMessage="true" showInputMessage="true">
      <formula1>"Clássico,Premium"</formula1>
    </dataValidation>
    <dataValidation type="list" sqref="J380" allowBlank="true" errorStyle="stop" showErrorMessage="true" showInputMessage="true">
      <formula1>"R$"</formula1>
    </dataValidation>
    <dataValidation type="list" sqref="K380" allowBlank="true" errorStyle="stop" showErrorMessage="true" showInputMessage="true">
      <formula1>"Com impostos,Sem impostos"</formula1>
    </dataValidation>
    <dataValidation type="list" sqref="V380" allowBlank="true" errorStyle="stop" showErrorMessage="true" showInputMessage="true">
      <formula1>"Mercado Envios por conta do comprador,Mercado Envios grátis"</formula1>
    </dataValidation>
    <dataValidation type="list" sqref="W380" allowBlank="true" errorStyle="stop" showErrorMessage="true" showInputMessage="true">
      <formula1>"Clássico,Premium"</formula1>
    </dataValidation>
    <dataValidation type="list" sqref="J381" allowBlank="true" errorStyle="stop" showErrorMessage="true" showInputMessage="true">
      <formula1>"R$"</formula1>
    </dataValidation>
    <dataValidation type="list" sqref="K381" allowBlank="true" errorStyle="stop" showErrorMessage="true" showInputMessage="true">
      <formula1>"Com impostos,Sem impostos"</formula1>
    </dataValidation>
    <dataValidation type="list" sqref="V381" allowBlank="true" errorStyle="stop" showErrorMessage="true" showInputMessage="true">
      <formula1>"Mercado Envios por conta do comprador,Mercado Envios grátis"</formula1>
    </dataValidation>
    <dataValidation type="list" sqref="W381" allowBlank="true" errorStyle="stop" showErrorMessage="true" showInputMessage="true">
      <formula1>"Clássico,Premium"</formula1>
    </dataValidation>
    <dataValidation type="list" sqref="J382" allowBlank="true" errorStyle="stop" showErrorMessage="true" showInputMessage="true">
      <formula1>"R$"</formula1>
    </dataValidation>
    <dataValidation type="list" sqref="K382" allowBlank="true" errorStyle="stop" showErrorMessage="true" showInputMessage="true">
      <formula1>"Com impostos,Sem impostos"</formula1>
    </dataValidation>
    <dataValidation type="list" sqref="V382" allowBlank="true" errorStyle="stop" showErrorMessage="true" showInputMessage="true">
      <formula1>"Mercado Envios por conta do comprador,Mercado Envios grátis"</formula1>
    </dataValidation>
    <dataValidation type="list" sqref="W382" allowBlank="true" errorStyle="stop" showErrorMessage="true" showInputMessage="true">
      <formula1>"Clássico,Premium"</formula1>
    </dataValidation>
    <dataValidation type="list" sqref="J383" allowBlank="true" errorStyle="stop" showErrorMessage="true" showInputMessage="true">
      <formula1>"R$"</formula1>
    </dataValidation>
    <dataValidation type="list" sqref="K383" allowBlank="true" errorStyle="stop" showErrorMessage="true" showInputMessage="true">
      <formula1>"Com impostos,Sem impostos"</formula1>
    </dataValidation>
    <dataValidation type="list" sqref="V383" allowBlank="true" errorStyle="stop" showErrorMessage="true" showInputMessage="true">
      <formula1>"Mercado Envios por conta do comprador,Mercado Envios grátis"</formula1>
    </dataValidation>
    <dataValidation type="list" sqref="W383" allowBlank="true" errorStyle="stop" showErrorMessage="true" showInputMessage="true">
      <formula1>"Clássico,Premium"</formula1>
    </dataValidation>
    <dataValidation type="list" sqref="J384" allowBlank="true" errorStyle="stop" showErrorMessage="true" showInputMessage="true">
      <formula1>"R$"</formula1>
    </dataValidation>
    <dataValidation type="list" sqref="K384" allowBlank="true" errorStyle="stop" showErrorMessage="true" showInputMessage="true">
      <formula1>"Com impostos,Sem impostos"</formula1>
    </dataValidation>
    <dataValidation type="list" sqref="W384" allowBlank="true" errorStyle="stop" showErrorMessage="true" showInputMessage="true">
      <formula1>"Clássico,Premium"</formula1>
    </dataValidation>
    <dataValidation type="list" sqref="J385" allowBlank="true" errorStyle="stop" showErrorMessage="true" showInputMessage="true">
      <formula1>"R$"</formula1>
    </dataValidation>
    <dataValidation type="list" sqref="V385" allowBlank="true" errorStyle="stop" showErrorMessage="true" showInputMessage="true">
      <formula1>"Mercado Envios por conta do comprador,Mercado Envios grátis"</formula1>
    </dataValidation>
    <dataValidation type="list" sqref="W385" allowBlank="true" errorStyle="stop" showErrorMessage="true" showInputMessage="true">
      <formula1>"Clássico,Premium"</formula1>
    </dataValidation>
    <dataValidation type="list" sqref="J388" allowBlank="true" errorStyle="stop" showErrorMessage="true" showInputMessage="true">
      <formula1>"R$"</formula1>
    </dataValidation>
    <dataValidation type="list" sqref="K388" allowBlank="true" errorStyle="stop" showErrorMessage="true" showInputMessage="true">
      <formula1>"Com impostos,Sem impostos"</formula1>
    </dataValidation>
    <dataValidation type="list" sqref="V388" allowBlank="true" errorStyle="stop" showErrorMessage="true" showInputMessage="true">
      <formula1>"Mercado Envios por conta do comprador,Mercado Envios grátis"</formula1>
    </dataValidation>
    <dataValidation type="list" sqref="W388" allowBlank="true" errorStyle="stop" showErrorMessage="true" showInputMessage="true">
      <formula1>"Clássico,Premium"</formula1>
    </dataValidation>
    <dataValidation type="list" sqref="J389" allowBlank="true" errorStyle="stop" showErrorMessage="true" showInputMessage="true">
      <formula1>"R$"</formula1>
    </dataValidation>
    <dataValidation type="list" sqref="K389" allowBlank="true" errorStyle="stop" showErrorMessage="true" showInputMessage="true">
      <formula1>"Com impostos,Sem impostos"</formula1>
    </dataValidation>
    <dataValidation type="list" sqref="V389" allowBlank="true" errorStyle="stop" showErrorMessage="true" showInputMessage="true">
      <formula1>"Mercado Envios por conta do comprador,Mercado Envios grátis"</formula1>
    </dataValidation>
    <dataValidation type="list" sqref="W389" allowBlank="true" errorStyle="stop" showErrorMessage="true" showInputMessage="true">
      <formula1>"Clássico,Premium"</formula1>
    </dataValidation>
    <dataValidation type="list" sqref="J390" allowBlank="true" errorStyle="stop" showErrorMessage="true" showInputMessage="true">
      <formula1>"R$"</formula1>
    </dataValidation>
    <dataValidation type="list" sqref="V390" allowBlank="true" errorStyle="stop" showErrorMessage="true" showInputMessage="true">
      <formula1>"Mercado Envios por conta do comprador,Mercado Envios grátis"</formula1>
    </dataValidation>
    <dataValidation type="list" sqref="W390" allowBlank="true" errorStyle="stop" showErrorMessage="true" showInputMessage="true">
      <formula1>"Clássico,Premium"</formula1>
    </dataValidation>
    <dataValidation type="list" sqref="J393" allowBlank="true" errorStyle="stop" showErrorMessage="true" showInputMessage="true">
      <formula1>"R$"</formula1>
    </dataValidation>
    <dataValidation type="list" sqref="K393" allowBlank="true" errorStyle="stop" showErrorMessage="true" showInputMessage="true">
      <formula1>"Com impostos,Sem impostos"</formula1>
    </dataValidation>
    <dataValidation type="list" sqref="V393" allowBlank="true" errorStyle="stop" showErrorMessage="true" showInputMessage="true">
      <formula1>"Mercado Envios por conta do comprador,Mercado Envios grátis"</formula1>
    </dataValidation>
    <dataValidation type="list" sqref="W393" allowBlank="true" errorStyle="stop" showErrorMessage="true" showInputMessage="true">
      <formula1>"Clássico,Premium"</formula1>
    </dataValidation>
    <dataValidation type="list" sqref="J394" allowBlank="true" errorStyle="stop" showErrorMessage="true" showInputMessage="true">
      <formula1>"R$"</formula1>
    </dataValidation>
    <dataValidation type="list" sqref="V394" allowBlank="true" errorStyle="stop" showErrorMessage="true" showInputMessage="true">
      <formula1>"Mercado Envios por conta do comprador,Mercado Envios grátis"</formula1>
    </dataValidation>
    <dataValidation type="list" sqref="W394" allowBlank="true" errorStyle="stop" showErrorMessage="true" showInputMessage="true">
      <formula1>"Clássico,Premium"</formula1>
    </dataValidation>
    <dataValidation type="list" sqref="J395" allowBlank="true" errorStyle="stop" showErrorMessage="true" showInputMessage="true">
      <formula1>"R$"</formula1>
    </dataValidation>
    <dataValidation type="list" sqref="K395" allowBlank="true" errorStyle="stop" showErrorMessage="true" showInputMessage="true">
      <formula1>"Com impostos,Sem impostos"</formula1>
    </dataValidation>
    <dataValidation type="list" sqref="V395" allowBlank="true" errorStyle="stop" showErrorMessage="true" showInputMessage="true">
      <formula1>"Mercado Envios por conta do comprador,Mercado Envios grátis"</formula1>
    </dataValidation>
    <dataValidation type="list" sqref="W395" allowBlank="true" errorStyle="stop" showErrorMessage="true" showInputMessage="true">
      <formula1>"Clássico,Premium"</formula1>
    </dataValidation>
    <dataValidation type="list" sqref="J396" allowBlank="true" errorStyle="stop" showErrorMessage="true" showInputMessage="true">
      <formula1>"R$"</formula1>
    </dataValidation>
    <dataValidation type="list" sqref="K396" allowBlank="true" errorStyle="stop" showErrorMessage="true" showInputMessage="true">
      <formula1>"Com impostos,Sem impostos"</formula1>
    </dataValidation>
    <dataValidation type="list" sqref="V396" allowBlank="true" errorStyle="stop" showErrorMessage="true" showInputMessage="true">
      <formula1>"Mercado Envios por conta do comprador,Mercado Envios grátis"</formula1>
    </dataValidation>
    <dataValidation type="list" sqref="W396" allowBlank="true" errorStyle="stop" showErrorMessage="true" showInputMessage="true">
      <formula1>"Clássico,Premium"</formula1>
    </dataValidation>
    <dataValidation type="list" sqref="J397" allowBlank="true" errorStyle="stop" showErrorMessage="true" showInputMessage="true">
      <formula1>"R$"</formula1>
    </dataValidation>
    <dataValidation type="list" sqref="K397" allowBlank="true" errorStyle="stop" showErrorMessage="true" showInputMessage="true">
      <formula1>"Com impostos,Sem impostos"</formula1>
    </dataValidation>
    <dataValidation type="list" sqref="V397" allowBlank="true" errorStyle="stop" showErrorMessage="true" showInputMessage="true">
      <formula1>"Mercado Envios por conta do comprador,Mercado Envios grátis"</formula1>
    </dataValidation>
    <dataValidation type="list" sqref="W397" allowBlank="true" errorStyle="stop" showErrorMessage="true" showInputMessage="true">
      <formula1>"Clássico,Premium"</formula1>
    </dataValidation>
    <dataValidation type="list" sqref="J398" allowBlank="true" errorStyle="stop" showErrorMessage="true" showInputMessage="true">
      <formula1>"R$"</formula1>
    </dataValidation>
    <dataValidation type="list" sqref="K398" allowBlank="true" errorStyle="stop" showErrorMessage="true" showInputMessage="true">
      <formula1>"Com impostos,Sem impostos"</formula1>
    </dataValidation>
    <dataValidation type="list" sqref="V398" allowBlank="true" errorStyle="stop" showErrorMessage="true" showInputMessage="true">
      <formula1>"Mercado Envios por conta do comprador,Mercado Envios grátis"</formula1>
    </dataValidation>
    <dataValidation type="list" sqref="W398" allowBlank="true" errorStyle="stop" showErrorMessage="true" showInputMessage="true">
      <formula1>"Clássico,Premium"</formula1>
    </dataValidation>
    <dataValidation type="list" sqref="J399" allowBlank="true" errorStyle="stop" showErrorMessage="true" showInputMessage="true">
      <formula1>"R$"</formula1>
    </dataValidation>
    <dataValidation type="list" sqref="K399" allowBlank="true" errorStyle="stop" showErrorMessage="true" showInputMessage="true">
      <formula1>"Com impostos,Sem impostos"</formula1>
    </dataValidation>
    <dataValidation type="list" sqref="V399" allowBlank="true" errorStyle="stop" showErrorMessage="true" showInputMessage="true">
      <formula1>"Mercado Envios por conta do comprador,Mercado Envios grátis"</formula1>
    </dataValidation>
    <dataValidation type="list" sqref="W399" allowBlank="true" errorStyle="stop" showErrorMessage="true" showInputMessage="true">
      <formula1>"Clássico,Premium"</formula1>
    </dataValidation>
    <dataValidation type="list" sqref="J400" allowBlank="true" errorStyle="stop" showErrorMessage="true" showInputMessage="true">
      <formula1>"R$"</formula1>
    </dataValidation>
    <dataValidation type="list" sqref="K400" allowBlank="true" errorStyle="stop" showErrorMessage="true" showInputMessage="true">
      <formula1>"Com impostos,Sem impostos"</formula1>
    </dataValidation>
    <dataValidation type="list" sqref="V400" allowBlank="true" errorStyle="stop" showErrorMessage="true" showInputMessage="true">
      <formula1>"Mercado Envios por conta do comprador,Mercado Envios grátis"</formula1>
    </dataValidation>
    <dataValidation type="list" sqref="W400" allowBlank="true" errorStyle="stop" showErrorMessage="true" showInputMessage="true">
      <formula1>"Clássico,Premium"</formula1>
    </dataValidation>
    <dataValidation type="list" sqref="J401" allowBlank="true" errorStyle="stop" showErrorMessage="true" showInputMessage="true">
      <formula1>"R$"</formula1>
    </dataValidation>
    <dataValidation type="list" sqref="K401" allowBlank="true" errorStyle="stop" showErrorMessage="true" showInputMessage="true">
      <formula1>"Com impostos,Sem impostos"</formula1>
    </dataValidation>
    <dataValidation type="list" sqref="V401" allowBlank="true" errorStyle="stop" showErrorMessage="true" showInputMessage="true">
      <formula1>"Mercado Envios por conta do comprador,Mercado Envios grátis"</formula1>
    </dataValidation>
    <dataValidation type="list" sqref="W401" allowBlank="true" errorStyle="stop" showErrorMessage="true" showInputMessage="true">
      <formula1>"Clássico,Premium"</formula1>
    </dataValidation>
    <dataValidation type="list" sqref="J402" allowBlank="true" errorStyle="stop" showErrorMessage="true" showInputMessage="true">
      <formula1>"R$"</formula1>
    </dataValidation>
    <dataValidation type="list" sqref="V402" allowBlank="true" errorStyle="stop" showErrorMessage="true" showInputMessage="true">
      <formula1>"Mercado Envios por conta do comprador,Mercado Envios grátis"</formula1>
    </dataValidation>
    <dataValidation type="list" sqref="W402" allowBlank="true" errorStyle="stop" showErrorMessage="true" showInputMessage="true">
      <formula1>"Clássico,Premium"</formula1>
    </dataValidation>
    <dataValidation type="list" sqref="J407" allowBlank="true" errorStyle="stop" showErrorMessage="true" showInputMessage="true">
      <formula1>"R$"</formula1>
    </dataValidation>
    <dataValidation type="list" sqref="K407" allowBlank="true" errorStyle="stop" showErrorMessage="true" showInputMessage="true">
      <formula1>"Com impostos,Sem impostos"</formula1>
    </dataValidation>
    <dataValidation type="list" sqref="V407" allowBlank="true" errorStyle="stop" showErrorMessage="true" showInputMessage="true">
      <formula1>"Mercado Envios por conta do comprador,Mercado Envios grátis"</formula1>
    </dataValidation>
    <dataValidation type="list" sqref="W407" allowBlank="true" errorStyle="stop" showErrorMessage="true" showInputMessage="true">
      <formula1>"Clássico,Premium"</formula1>
    </dataValidation>
    <dataValidation type="list" sqref="J408" allowBlank="true" errorStyle="stop" showErrorMessage="true" showInputMessage="true">
      <formula1>"R$"</formula1>
    </dataValidation>
    <dataValidation type="list" sqref="K408" allowBlank="true" errorStyle="stop" showErrorMessage="true" showInputMessage="true">
      <formula1>"Com impostos,Sem impostos"</formula1>
    </dataValidation>
    <dataValidation type="list" sqref="V408" allowBlank="true" errorStyle="stop" showErrorMessage="true" showInputMessage="true">
      <formula1>"Mercado Envios por conta do comprador,Mercado Envios grátis"</formula1>
    </dataValidation>
    <dataValidation type="list" sqref="W408" allowBlank="true" errorStyle="stop" showErrorMessage="true" showInputMessage="true">
      <formula1>"Clássico,Premium"</formula1>
    </dataValidation>
    <dataValidation type="list" sqref="J409" allowBlank="true" errorStyle="stop" showErrorMessage="true" showInputMessage="true">
      <formula1>"R$"</formula1>
    </dataValidation>
    <dataValidation type="list" sqref="K409" allowBlank="true" errorStyle="stop" showErrorMessage="true" showInputMessage="true">
      <formula1>"Com impostos,Sem impostos"</formula1>
    </dataValidation>
    <dataValidation type="list" sqref="V409" allowBlank="true" errorStyle="stop" showErrorMessage="true" showInputMessage="true">
      <formula1>"Mercado Envios por conta do comprador,Mercado Envios grátis"</formula1>
    </dataValidation>
    <dataValidation type="list" sqref="W409" allowBlank="true" errorStyle="stop" showErrorMessage="true" showInputMessage="true">
      <formula1>"Clássico,Premium"</formula1>
    </dataValidation>
    <dataValidation type="list" sqref="J410" allowBlank="true" errorStyle="stop" showErrorMessage="true" showInputMessage="true">
      <formula1>"R$"</formula1>
    </dataValidation>
    <dataValidation type="list" sqref="K410" allowBlank="true" errorStyle="stop" showErrorMessage="true" showInputMessage="true">
      <formula1>"Com impostos,Sem impostos"</formula1>
    </dataValidation>
    <dataValidation type="list" sqref="V410" allowBlank="true" errorStyle="stop" showErrorMessage="true" showInputMessage="true">
      <formula1>"Mercado Envios por conta do comprador,Mercado Envios grátis"</formula1>
    </dataValidation>
    <dataValidation type="list" sqref="W410" allowBlank="true" errorStyle="stop" showErrorMessage="true" showInputMessage="true">
      <formula1>"Clássico,Premium"</formula1>
    </dataValidation>
    <dataValidation type="list" sqref="J411" allowBlank="true" errorStyle="stop" showErrorMessage="true" showInputMessage="true">
      <formula1>"R$"</formula1>
    </dataValidation>
    <dataValidation type="list" sqref="K411" allowBlank="true" errorStyle="stop" showErrorMessage="true" showInputMessage="true">
      <formula1>"Com impostos,Sem impostos"</formula1>
    </dataValidation>
    <dataValidation type="list" sqref="V411" allowBlank="true" errorStyle="stop" showErrorMessage="true" showInputMessage="true">
      <formula1>"Mercado Envios por conta do comprador,Mercado Envios grátis"</formula1>
    </dataValidation>
    <dataValidation type="list" sqref="W411" allowBlank="true" errorStyle="stop" showErrorMessage="true" showInputMessage="true">
      <formula1>"Clássico,Premium"</formula1>
    </dataValidation>
    <dataValidation type="list" sqref="J412" allowBlank="true" errorStyle="stop" showErrorMessage="true" showInputMessage="true">
      <formula1>"R$"</formula1>
    </dataValidation>
    <dataValidation type="list" sqref="K412" allowBlank="true" errorStyle="stop" showErrorMessage="true" showInputMessage="true">
      <formula1>"Com impostos,Sem impostos"</formula1>
    </dataValidation>
    <dataValidation type="list" sqref="V412" allowBlank="true" errorStyle="stop" showErrorMessage="true" showInputMessage="true">
      <formula1>"Mercado Envios por conta do comprador,Mercado Envios grátis"</formula1>
    </dataValidation>
    <dataValidation type="list" sqref="W412" allowBlank="true" errorStyle="stop" showErrorMessage="true" showInputMessage="true">
      <formula1>"Clássico,Premium"</formula1>
    </dataValidation>
    <dataValidation type="list" sqref="J413" allowBlank="true" errorStyle="stop" showErrorMessage="true" showInputMessage="true">
      <formula1>"R$"</formula1>
    </dataValidation>
    <dataValidation type="list" sqref="K413" allowBlank="true" errorStyle="stop" showErrorMessage="true" showInputMessage="true">
      <formula1>"Com impostos,Sem impostos"</formula1>
    </dataValidation>
    <dataValidation type="list" sqref="V413" allowBlank="true" errorStyle="stop" showErrorMessage="true" showInputMessage="true">
      <formula1>"Mercado Envios por conta do comprador,Mercado Envios grátis"</formula1>
    </dataValidation>
    <dataValidation type="list" sqref="W413" allowBlank="true" errorStyle="stop" showErrorMessage="true" showInputMessage="true">
      <formula1>"Clássico,Premium"</formula1>
    </dataValidation>
    <dataValidation type="list" sqref="J414" allowBlank="true" errorStyle="stop" showErrorMessage="true" showInputMessage="true">
      <formula1>"R$"</formula1>
    </dataValidation>
    <dataValidation type="list" sqref="K414" allowBlank="true" errorStyle="stop" showErrorMessage="true" showInputMessage="true">
      <formula1>"Com impostos,Sem impostos"</formula1>
    </dataValidation>
    <dataValidation type="list" sqref="V414" allowBlank="true" errorStyle="stop" showErrorMessage="true" showInputMessage="true">
      <formula1>"Mercado Envios por conta do comprador,Mercado Envios grátis"</formula1>
    </dataValidation>
    <dataValidation type="list" sqref="W414" allowBlank="true" errorStyle="stop" showErrorMessage="true" showInputMessage="true">
      <formula1>"Clássico,Premium"</formula1>
    </dataValidation>
    <dataValidation type="list" sqref="J415" allowBlank="true" errorStyle="stop" showErrorMessage="true" showInputMessage="true">
      <formula1>"R$"</formula1>
    </dataValidation>
    <dataValidation type="list" sqref="K415" allowBlank="true" errorStyle="stop" showErrorMessage="true" showInputMessage="true">
      <formula1>"Com impostos,Sem impostos"</formula1>
    </dataValidation>
    <dataValidation type="list" sqref="V415" allowBlank="true" errorStyle="stop" showErrorMessage="true" showInputMessage="true">
      <formula1>"Mercado Envios por conta do comprador,Mercado Envios grátis"</formula1>
    </dataValidation>
    <dataValidation type="list" sqref="W415" allowBlank="true" errorStyle="stop" showErrorMessage="true" showInputMessage="true">
      <formula1>"Clássico,Premium"</formula1>
    </dataValidation>
    <dataValidation type="list" sqref="J416" allowBlank="true" errorStyle="stop" showErrorMessage="true" showInputMessage="true">
      <formula1>"R$"</formula1>
    </dataValidation>
    <dataValidation type="list" sqref="K416" allowBlank="true" errorStyle="stop" showErrorMessage="true" showInputMessage="true">
      <formula1>"Com impostos,Sem impostos"</formula1>
    </dataValidation>
    <dataValidation type="list" sqref="V416" allowBlank="true" errorStyle="stop" showErrorMessage="true" showInputMessage="true">
      <formula1>"Mercado Envios por conta do comprador,Mercado Envios grátis"</formula1>
    </dataValidation>
    <dataValidation type="list" sqref="W416" allowBlank="true" errorStyle="stop" showErrorMessage="true" showInputMessage="true">
      <formula1>"Clássico,Premium"</formula1>
    </dataValidation>
    <dataValidation type="list" sqref="J417" allowBlank="true" errorStyle="stop" showErrorMessage="true" showInputMessage="true">
      <formula1>"R$"</formula1>
    </dataValidation>
    <dataValidation type="list" sqref="K417" allowBlank="true" errorStyle="stop" showErrorMessage="true" showInputMessage="true">
      <formula1>"Com impostos,Sem impostos"</formula1>
    </dataValidation>
    <dataValidation type="list" sqref="V417" allowBlank="true" errorStyle="stop" showErrorMessage="true" showInputMessage="true">
      <formula1>"Mercado Envios por conta do comprador,Mercado Envios grátis"</formula1>
    </dataValidation>
    <dataValidation type="list" sqref="W417" allowBlank="true" errorStyle="stop" showErrorMessage="true" showInputMessage="true">
      <formula1>"Clássico,Premium"</formula1>
    </dataValidation>
    <dataValidation type="list" sqref="J418" allowBlank="true" errorStyle="stop" showErrorMessage="true" showInputMessage="true">
      <formula1>"R$"</formula1>
    </dataValidation>
    <dataValidation type="list" sqref="K418" allowBlank="true" errorStyle="stop" showErrorMessage="true" showInputMessage="true">
      <formula1>"Com impostos,Sem impostos"</formula1>
    </dataValidation>
    <dataValidation type="list" sqref="V418" allowBlank="true" errorStyle="stop" showErrorMessage="true" showInputMessage="true">
      <formula1>"Mercado Envios por conta do comprador,Mercado Envios grátis"</formula1>
    </dataValidation>
    <dataValidation type="list" sqref="W418" allowBlank="true" errorStyle="stop" showErrorMessage="true" showInputMessage="true">
      <formula1>"Clássico,Premium"</formula1>
    </dataValidation>
    <dataValidation type="list" sqref="J419" allowBlank="true" errorStyle="stop" showErrorMessage="true" showInputMessage="true">
      <formula1>"R$"</formula1>
    </dataValidation>
    <dataValidation type="list" sqref="K419" allowBlank="true" errorStyle="stop" showErrorMessage="true" showInputMessage="true">
      <formula1>"Com impostos,Sem impostos"</formula1>
    </dataValidation>
    <dataValidation type="list" sqref="V419" allowBlank="true" errorStyle="stop" showErrorMessage="true" showInputMessage="true">
      <formula1>"Mercado Envios por conta do comprador,Mercado Envios grátis"</formula1>
    </dataValidation>
    <dataValidation type="list" sqref="W419" allowBlank="true" errorStyle="stop" showErrorMessage="true" showInputMessage="true">
      <formula1>"Clássico,Premium"</formula1>
    </dataValidation>
    <dataValidation type="list" sqref="J420" allowBlank="true" errorStyle="stop" showErrorMessage="true" showInputMessage="true">
      <formula1>"R$"</formula1>
    </dataValidation>
    <dataValidation type="list" sqref="K420" allowBlank="true" errorStyle="stop" showErrorMessage="true" showInputMessage="true">
      <formula1>"Com impostos,Sem impostos"</formula1>
    </dataValidation>
    <dataValidation type="list" sqref="V420" allowBlank="true" errorStyle="stop" showErrorMessage="true" showInputMessage="true">
      <formula1>"Mercado Envios por conta do comprador,Mercado Envios grátis"</formula1>
    </dataValidation>
    <dataValidation type="list" sqref="W420" allowBlank="true" errorStyle="stop" showErrorMessage="true" showInputMessage="true">
      <formula1>"Clássico,Premium"</formula1>
    </dataValidation>
    <dataValidation type="list" sqref="J421" allowBlank="true" errorStyle="stop" showErrorMessage="true" showInputMessage="true">
      <formula1>"R$"</formula1>
    </dataValidation>
    <dataValidation type="list" sqref="K421" allowBlank="true" errorStyle="stop" showErrorMessage="true" showInputMessage="true">
      <formula1>"Com impostos,Sem impostos"</formula1>
    </dataValidation>
    <dataValidation type="list" sqref="V421" allowBlank="true" errorStyle="stop" showErrorMessage="true" showInputMessage="true">
      <formula1>"Mercado Envios por conta do comprador,Mercado Envios grátis"</formula1>
    </dataValidation>
    <dataValidation type="list" sqref="W421" allowBlank="true" errorStyle="stop" showErrorMessage="true" showInputMessage="true">
      <formula1>"Clássico,Premium"</formula1>
    </dataValidation>
    <dataValidation type="list" sqref="J422" allowBlank="true" errorStyle="stop" showErrorMessage="true" showInputMessage="true">
      <formula1>"R$"</formula1>
    </dataValidation>
    <dataValidation type="list" sqref="V422" allowBlank="true" errorStyle="stop" showErrorMessage="true" showInputMessage="true">
      <formula1>"Mercado Envios por conta do comprador,Mercado Envios grátis"</formula1>
    </dataValidation>
    <dataValidation type="list" sqref="W422" allowBlank="true" errorStyle="stop" showErrorMessage="true" showInputMessage="true">
      <formula1>"Clássico,Premium"</formula1>
    </dataValidation>
    <dataValidation type="list" sqref="J425" allowBlank="true" errorStyle="stop" showErrorMessage="true" showInputMessage="true">
      <formula1>"R$"</formula1>
    </dataValidation>
    <dataValidation type="list" sqref="K425" allowBlank="true" errorStyle="stop" showErrorMessage="true" showInputMessage="true">
      <formula1>"Com impostos,Sem impostos"</formula1>
    </dataValidation>
    <dataValidation type="list" sqref="V425" allowBlank="true" errorStyle="stop" showErrorMessage="true" showInputMessage="true">
      <formula1>"Mercado Envios por conta do comprador,Mercado Envios grátis"</formula1>
    </dataValidation>
    <dataValidation type="list" sqref="W425" allowBlank="true" errorStyle="stop" showErrorMessage="true" showInputMessage="true">
      <formula1>"Clássico,Premium"</formula1>
    </dataValidation>
    <dataValidation type="list" sqref="J426" allowBlank="true" errorStyle="stop" showErrorMessage="true" showInputMessage="true">
      <formula1>"R$"</formula1>
    </dataValidation>
    <dataValidation type="list" sqref="K426" allowBlank="true" errorStyle="stop" showErrorMessage="true" showInputMessage="true">
      <formula1>"Com impostos,Sem impostos"</formula1>
    </dataValidation>
    <dataValidation type="list" sqref="V426" allowBlank="true" errorStyle="stop" showErrorMessage="true" showInputMessage="true">
      <formula1>"Mercado Envios por conta do comprador,Mercado Envios grátis"</formula1>
    </dataValidation>
    <dataValidation type="list" sqref="W426" allowBlank="true" errorStyle="stop" showErrorMessage="true" showInputMessage="true">
      <formula1>"Clássico,Premium"</formula1>
    </dataValidation>
    <dataValidation type="list" sqref="J427" allowBlank="true" errorStyle="stop" showErrorMessage="true" showInputMessage="true">
      <formula1>"R$"</formula1>
    </dataValidation>
    <dataValidation type="list" sqref="K427" allowBlank="true" errorStyle="stop" showErrorMessage="true" showInputMessage="true">
      <formula1>"Com impostos,Sem impostos"</formula1>
    </dataValidation>
    <dataValidation type="list" sqref="V427" allowBlank="true" errorStyle="stop" showErrorMessage="true" showInputMessage="true">
      <formula1>"Mercado Envios por conta do comprador,Mercado Envios grátis"</formula1>
    </dataValidation>
    <dataValidation type="list" sqref="W427" allowBlank="true" errorStyle="stop" showErrorMessage="true" showInputMessage="true">
      <formula1>"Clássico,Premium"</formula1>
    </dataValidation>
    <dataValidation type="list" sqref="J428" allowBlank="true" errorStyle="stop" showErrorMessage="true" showInputMessage="true">
      <formula1>"R$"</formula1>
    </dataValidation>
    <dataValidation type="list" sqref="K428" allowBlank="true" errorStyle="stop" showErrorMessage="true" showInputMessage="true">
      <formula1>"Com impostos,Sem impostos"</formula1>
    </dataValidation>
    <dataValidation type="list" sqref="V428" allowBlank="true" errorStyle="stop" showErrorMessage="true" showInputMessage="true">
      <formula1>"Mercado Envios por conta do comprador,Mercado Envios grátis"</formula1>
    </dataValidation>
    <dataValidation type="list" sqref="W428" allowBlank="true" errorStyle="stop" showErrorMessage="true" showInputMessage="true">
      <formula1>"Clássico,Premium"</formula1>
    </dataValidation>
    <dataValidation type="list" sqref="J429" allowBlank="true" errorStyle="stop" showErrorMessage="true" showInputMessage="true">
      <formula1>"R$"</formula1>
    </dataValidation>
    <dataValidation type="list" sqref="V429" allowBlank="true" errorStyle="stop" showErrorMessage="true" showInputMessage="true">
      <formula1>"Mercado Envios por conta do comprador,Mercado Envios grátis"</formula1>
    </dataValidation>
    <dataValidation type="list" sqref="W429" allowBlank="true" errorStyle="stop" showErrorMessage="true" showInputMessage="true">
      <formula1>"Clássico,Premium"</formula1>
    </dataValidation>
    <dataValidation type="list" sqref="J432" allowBlank="true" errorStyle="stop" showErrorMessage="true" showInputMessage="true">
      <formula1>"R$"</formula1>
    </dataValidation>
    <dataValidation type="list" sqref="K432" allowBlank="true" errorStyle="stop" showErrorMessage="true" showInputMessage="true">
      <formula1>"Com impostos,Sem impostos"</formula1>
    </dataValidation>
    <dataValidation type="list" sqref="V432" allowBlank="true" errorStyle="stop" showErrorMessage="true" showInputMessage="true">
      <formula1>"Mercado Envios por conta do comprador,Mercado Envios grátis"</formula1>
    </dataValidation>
    <dataValidation type="list" sqref="W432" allowBlank="true" errorStyle="stop" showErrorMessage="true" showInputMessage="true">
      <formula1>"Clássico,Premium"</formula1>
    </dataValidation>
    <dataValidation type="list" sqref="J433" allowBlank="true" errorStyle="stop" showErrorMessage="true" showInputMessage="true">
      <formula1>"R$"</formula1>
    </dataValidation>
    <dataValidation type="list" sqref="K433" allowBlank="true" errorStyle="stop" showErrorMessage="true" showInputMessage="true">
      <formula1>"Com impostos,Sem impostos"</formula1>
    </dataValidation>
    <dataValidation type="list" sqref="V433" allowBlank="true" errorStyle="stop" showErrorMessage="true" showInputMessage="true">
      <formula1>"Mercado Envios por conta do comprador,Mercado Envios grátis"</formula1>
    </dataValidation>
    <dataValidation type="list" sqref="W433" allowBlank="true" errorStyle="stop" showErrorMessage="true" showInputMessage="true">
      <formula1>"Clássico,Premium"</formula1>
    </dataValidation>
    <dataValidation type="list" sqref="J434" allowBlank="true" errorStyle="stop" showErrorMessage="true" showInputMessage="true">
      <formula1>"R$"</formula1>
    </dataValidation>
    <dataValidation type="list" sqref="K434" allowBlank="true" errorStyle="stop" showErrorMessage="true" showInputMessage="true">
      <formula1>"Com impostos,Sem impostos"</formula1>
    </dataValidation>
    <dataValidation type="list" sqref="V434" allowBlank="true" errorStyle="stop" showErrorMessage="true" showInputMessage="true">
      <formula1>"Mercado Envios por conta do comprador,Mercado Envios grátis"</formula1>
    </dataValidation>
    <dataValidation type="list" sqref="W434" allowBlank="true" errorStyle="stop" showErrorMessage="true" showInputMessage="true">
      <formula1>"Clássico,Premium"</formula1>
    </dataValidation>
    <dataValidation type="list" sqref="J435" allowBlank="true" errorStyle="stop" showErrorMessage="true" showInputMessage="true">
      <formula1>"R$"</formula1>
    </dataValidation>
    <dataValidation type="list" sqref="K435" allowBlank="true" errorStyle="stop" showErrorMessage="true" showInputMessage="true">
      <formula1>"Com impostos,Sem impostos"</formula1>
    </dataValidation>
    <dataValidation type="list" sqref="W435" allowBlank="true" errorStyle="stop" showErrorMessage="true" showInputMessage="true">
      <formula1>"Clássico,Premium"</formula1>
    </dataValidation>
    <dataValidation type="list" sqref="J436" allowBlank="true" errorStyle="stop" showErrorMessage="true" showInputMessage="true">
      <formula1>"R$"</formula1>
    </dataValidation>
    <dataValidation type="list" sqref="V436" allowBlank="true" errorStyle="stop" showErrorMessage="true" showInputMessage="true">
      <formula1>"Mercado Envios por conta do comprador,Mercado Envios grátis"</formula1>
    </dataValidation>
    <dataValidation type="list" sqref="W436" allowBlank="true" errorStyle="stop" showErrorMessage="true" showInputMessage="true">
      <formula1>"Clássico,Premium"</formula1>
    </dataValidation>
    <dataValidation type="list" sqref="J443" allowBlank="true" errorStyle="stop" showErrorMessage="true" showInputMessage="true">
      <formula1>"R$"</formula1>
    </dataValidation>
    <dataValidation type="list" sqref="K443" allowBlank="true" errorStyle="stop" showErrorMessage="true" showInputMessage="true">
      <formula1>"Com impostos,Sem impostos"</formula1>
    </dataValidation>
    <dataValidation type="list" sqref="V443" allowBlank="true" errorStyle="stop" showErrorMessage="true" showInputMessage="true">
      <formula1>"Mercado Envios por conta do comprador,Mercado Envios grátis"</formula1>
    </dataValidation>
    <dataValidation type="list" sqref="W443" allowBlank="true" errorStyle="stop" showErrorMessage="true" showInputMessage="true">
      <formula1>"Clássico,Premium"</formula1>
    </dataValidation>
    <dataValidation type="list" sqref="J444" allowBlank="true" errorStyle="stop" showErrorMessage="true" showInputMessage="true">
      <formula1>"R$"</formula1>
    </dataValidation>
    <dataValidation type="list" sqref="K444" allowBlank="true" errorStyle="stop" showErrorMessage="true" showInputMessage="true">
      <formula1>"Com impostos,Sem impostos"</formula1>
    </dataValidation>
    <dataValidation type="list" sqref="V444" allowBlank="true" errorStyle="stop" showErrorMessage="true" showInputMessage="true">
      <formula1>"Mercado Envios por conta do comprador,Mercado Envios grátis"</formula1>
    </dataValidation>
    <dataValidation type="list" sqref="W444" allowBlank="true" errorStyle="stop" showErrorMessage="true" showInputMessage="true">
      <formula1>"Clássico,Premium"</formula1>
    </dataValidation>
    <dataValidation type="list" sqref="J445" allowBlank="true" errorStyle="stop" showErrorMessage="true" showInputMessage="true">
      <formula1>"R$"</formula1>
    </dataValidation>
    <dataValidation type="list" sqref="K445" allowBlank="true" errorStyle="stop" showErrorMessage="true" showInputMessage="true">
      <formula1>"Com impostos,Sem impostos"</formula1>
    </dataValidation>
    <dataValidation type="list" sqref="V445" allowBlank="true" errorStyle="stop" showErrorMessage="true" showInputMessage="true">
      <formula1>"Mercado Envios por conta do comprador,Mercado Envios grátis"</formula1>
    </dataValidation>
    <dataValidation type="list" sqref="W445" allowBlank="true" errorStyle="stop" showErrorMessage="true" showInputMessage="true">
      <formula1>"Clássico,Premium"</formula1>
    </dataValidation>
    <dataValidation type="list" sqref="J446" allowBlank="true" errorStyle="stop" showErrorMessage="true" showInputMessage="true">
      <formula1>"R$"</formula1>
    </dataValidation>
    <dataValidation type="list" sqref="K446" allowBlank="true" errorStyle="stop" showErrorMessage="true" showInputMessage="true">
      <formula1>"Com impostos,Sem impostos"</formula1>
    </dataValidation>
    <dataValidation type="list" sqref="V446" allowBlank="true" errorStyle="stop" showErrorMessage="true" showInputMessage="true">
      <formula1>"Mercado Envios por conta do comprador,Mercado Envios grátis"</formula1>
    </dataValidation>
    <dataValidation type="list" sqref="W446" allowBlank="true" errorStyle="stop" showErrorMessage="true" showInputMessage="true">
      <formula1>"Clássico,Premium"</formula1>
    </dataValidation>
    <dataValidation type="list" sqref="J447" allowBlank="true" errorStyle="stop" showErrorMessage="true" showInputMessage="true">
      <formula1>"R$"</formula1>
    </dataValidation>
    <dataValidation type="list" sqref="K447" allowBlank="true" errorStyle="stop" showErrorMessage="true" showInputMessage="true">
      <formula1>"Com impostos,Sem impostos"</formula1>
    </dataValidation>
    <dataValidation type="list" sqref="V447" allowBlank="true" errorStyle="stop" showErrorMessage="true" showInputMessage="true">
      <formula1>"Mercado Envios por conta do comprador,Mercado Envios grátis"</formula1>
    </dataValidation>
    <dataValidation type="list" sqref="W447" allowBlank="true" errorStyle="stop" showErrorMessage="true" showInputMessage="true">
      <formula1>"Clássico,Premium"</formula1>
    </dataValidation>
    <dataValidation type="list" sqref="J448" allowBlank="true" errorStyle="stop" showErrorMessage="true" showInputMessage="true">
      <formula1>"R$"</formula1>
    </dataValidation>
    <dataValidation type="list" sqref="K448" allowBlank="true" errorStyle="stop" showErrorMessage="true" showInputMessage="true">
      <formula1>"Com impostos,Sem impostos"</formula1>
    </dataValidation>
    <dataValidation type="list" sqref="V448" allowBlank="true" errorStyle="stop" showErrorMessage="true" showInputMessage="true">
      <formula1>"Mercado Envios por conta do comprador,Mercado Envios grátis"</formula1>
    </dataValidation>
    <dataValidation type="list" sqref="W448" allowBlank="true" errorStyle="stop" showErrorMessage="true" showInputMessage="true">
      <formula1>"Clássico,Premium"</formula1>
    </dataValidation>
    <dataValidation type="list" sqref="J449" allowBlank="true" errorStyle="stop" showErrorMessage="true" showInputMessage="true">
      <formula1>"R$"</formula1>
    </dataValidation>
    <dataValidation type="list" sqref="K449" allowBlank="true" errorStyle="stop" showErrorMessage="true" showInputMessage="true">
      <formula1>"Com impostos,Sem impostos"</formula1>
    </dataValidation>
    <dataValidation type="list" sqref="V449" allowBlank="true" errorStyle="stop" showErrorMessage="true" showInputMessage="true">
      <formula1>"Mercado Envios por conta do comprador,Mercado Envios grátis"</formula1>
    </dataValidation>
    <dataValidation type="list" sqref="W449" allowBlank="true" errorStyle="stop" showErrorMessage="true" showInputMessage="true">
      <formula1>"Clássico,Premium"</formula1>
    </dataValidation>
    <dataValidation type="list" sqref="J450" allowBlank="true" errorStyle="stop" showErrorMessage="true" showInputMessage="true">
      <formula1>"R$"</formula1>
    </dataValidation>
    <dataValidation type="list" sqref="K450" allowBlank="true" errorStyle="stop" showErrorMessage="true" showInputMessage="true">
      <formula1>"Com impostos,Sem impostos"</formula1>
    </dataValidation>
    <dataValidation type="list" sqref="V450" allowBlank="true" errorStyle="stop" showErrorMessage="true" showInputMessage="true">
      <formula1>"Mercado Envios por conta do comprador,Mercado Envios grátis"</formula1>
    </dataValidation>
    <dataValidation type="list" sqref="W450" allowBlank="true" errorStyle="stop" showErrorMessage="true" showInputMessage="true">
      <formula1>"Clássico,Premium"</formula1>
    </dataValidation>
    <dataValidation type="list" sqref="J451" allowBlank="true" errorStyle="stop" showErrorMessage="true" showInputMessage="true">
      <formula1>"R$"</formula1>
    </dataValidation>
    <dataValidation type="list" sqref="K451" allowBlank="true" errorStyle="stop" showErrorMessage="true" showInputMessage="true">
      <formula1>"Com impostos,Sem impostos"</formula1>
    </dataValidation>
    <dataValidation type="list" sqref="V451" allowBlank="true" errorStyle="stop" showErrorMessage="true" showInputMessage="true">
      <formula1>"Mercado Envios por conta do comprador,Mercado Envios grátis"</formula1>
    </dataValidation>
    <dataValidation type="list" sqref="W451" allowBlank="true" errorStyle="stop" showErrorMessage="true" showInputMessage="true">
      <formula1>"Clássico,Premium"</formula1>
    </dataValidation>
    <dataValidation type="list" sqref="J452" allowBlank="true" errorStyle="stop" showErrorMessage="true" showInputMessage="true">
      <formula1>"R$"</formula1>
    </dataValidation>
    <dataValidation type="list" sqref="K452" allowBlank="true" errorStyle="stop" showErrorMessage="true" showInputMessage="true">
      <formula1>"Com impostos,Sem impostos"</formula1>
    </dataValidation>
    <dataValidation type="list" sqref="V452" allowBlank="true" errorStyle="stop" showErrorMessage="true" showInputMessage="true">
      <formula1>"Mercado Envios por conta do comprador,Mercado Envios grátis"</formula1>
    </dataValidation>
    <dataValidation type="list" sqref="W452" allowBlank="true" errorStyle="stop" showErrorMessage="true" showInputMessage="true">
      <formula1>"Clássico,Premium"</formula1>
    </dataValidation>
    <dataValidation type="list" sqref="J453" allowBlank="true" errorStyle="stop" showErrorMessage="true" showInputMessage="true">
      <formula1>"R$"</formula1>
    </dataValidation>
    <dataValidation type="list" sqref="K453" allowBlank="true" errorStyle="stop" showErrorMessage="true" showInputMessage="true">
      <formula1>"Com impostos,Sem impostos"</formula1>
    </dataValidation>
    <dataValidation type="list" sqref="V453" allowBlank="true" errorStyle="stop" showErrorMessage="true" showInputMessage="true">
      <formula1>"Mercado Envios por conta do comprador,Mercado Envios grátis"</formula1>
    </dataValidation>
    <dataValidation type="list" sqref="W453" allowBlank="true" errorStyle="stop" showErrorMessage="true" showInputMessage="true">
      <formula1>"Clássico,Premium"</formula1>
    </dataValidation>
    <dataValidation type="list" sqref="J454" allowBlank="true" errorStyle="stop" showErrorMessage="true" showInputMessage="true">
      <formula1>"R$"</formula1>
    </dataValidation>
    <dataValidation type="list" sqref="V454" allowBlank="true" errorStyle="stop" showErrorMessage="true" showInputMessage="true">
      <formula1>"Mercado Envios por conta do comprador,Mercado Envios grátis"</formula1>
    </dataValidation>
    <dataValidation type="list" sqref="W454" allowBlank="true" errorStyle="stop" showErrorMessage="true" showInputMessage="true">
      <formula1>"Clássico,Premium"</formula1>
    </dataValidation>
    <dataValidation type="list" sqref="J457" allowBlank="true" errorStyle="stop" showErrorMessage="true" showInputMessage="true">
      <formula1>"R$"</formula1>
    </dataValidation>
    <dataValidation type="list" sqref="K457" allowBlank="true" errorStyle="stop" showErrorMessage="true" showInputMessage="true">
      <formula1>"Com impostos,Sem impostos"</formula1>
    </dataValidation>
    <dataValidation type="list" sqref="V457" allowBlank="true" errorStyle="stop" showErrorMessage="true" showInputMessage="true">
      <formula1>"Mercado Envios por conta do comprador,Mercado Envios grátis"</formula1>
    </dataValidation>
    <dataValidation type="list" sqref="W457" allowBlank="true" errorStyle="stop" showErrorMessage="true" showInputMessage="true">
      <formula1>"Clássico,Premium"</formula1>
    </dataValidation>
    <dataValidation type="list" sqref="J458" allowBlank="true" errorStyle="stop" showErrorMessage="true" showInputMessage="true">
      <formula1>"R$"</formula1>
    </dataValidation>
    <dataValidation type="list" sqref="K458" allowBlank="true" errorStyle="stop" showErrorMessage="true" showInputMessage="true">
      <formula1>"Com impostos,Sem impostos"</formula1>
    </dataValidation>
    <dataValidation type="list" sqref="V458" allowBlank="true" errorStyle="stop" showErrorMessage="true" showInputMessage="true">
      <formula1>"Mercado Envios por conta do comprador,Mercado Envios grátis"</formula1>
    </dataValidation>
    <dataValidation type="list" sqref="W458" allowBlank="true" errorStyle="stop" showErrorMessage="true" showInputMessage="true">
      <formula1>"Clássico,Premium"</formula1>
    </dataValidation>
    <dataValidation type="list" sqref="J459" allowBlank="true" errorStyle="stop" showErrorMessage="true" showInputMessage="true">
      <formula1>"R$"</formula1>
    </dataValidation>
    <dataValidation type="list" sqref="K459" allowBlank="true" errorStyle="stop" showErrorMessage="true" showInputMessage="true">
      <formula1>"Com impostos,Sem impostos"</formula1>
    </dataValidation>
    <dataValidation type="list" sqref="V459" allowBlank="true" errorStyle="stop" showErrorMessage="true" showInputMessage="true">
      <formula1>"Mercado Envios por conta do comprador,Mercado Envios grátis"</formula1>
    </dataValidation>
    <dataValidation type="list" sqref="W459" allowBlank="true" errorStyle="stop" showErrorMessage="true" showInputMessage="true">
      <formula1>"Clássico,Premium"</formula1>
    </dataValidation>
    <dataValidation type="list" sqref="J460" allowBlank="true" errorStyle="stop" showErrorMessage="true" showInputMessage="true">
      <formula1>"R$"</formula1>
    </dataValidation>
    <dataValidation type="list" sqref="K460" allowBlank="true" errorStyle="stop" showErrorMessage="true" showInputMessage="true">
      <formula1>"Com impostos,Sem impostos"</formula1>
    </dataValidation>
    <dataValidation type="list" sqref="V460" allowBlank="true" errorStyle="stop" showErrorMessage="true" showInputMessage="true">
      <formula1>"Mercado Envios por conta do comprador,Mercado Envios grátis"</formula1>
    </dataValidation>
    <dataValidation type="list" sqref="W460" allowBlank="true" errorStyle="stop" showErrorMessage="true" showInputMessage="true">
      <formula1>"Clássico,Premium"</formula1>
    </dataValidation>
    <dataValidation type="list" sqref="J461" allowBlank="true" errorStyle="stop" showErrorMessage="true" showInputMessage="true">
      <formula1>"R$"</formula1>
    </dataValidation>
    <dataValidation type="list" sqref="K461" allowBlank="true" errorStyle="stop" showErrorMessage="true" showInputMessage="true">
      <formula1>"Com impostos,Sem impostos"</formula1>
    </dataValidation>
    <dataValidation type="list" sqref="V461" allowBlank="true" errorStyle="stop" showErrorMessage="true" showInputMessage="true">
      <formula1>"Mercado Envios por conta do comprador,Mercado Envios grátis"</formula1>
    </dataValidation>
    <dataValidation type="list" sqref="W461" allowBlank="true" errorStyle="stop" showErrorMessage="true" showInputMessage="true">
      <formula1>"Clássico,Premium"</formula1>
    </dataValidation>
    <dataValidation type="list" sqref="J462" allowBlank="true" errorStyle="stop" showErrorMessage="true" showInputMessage="true">
      <formula1>"R$"</formula1>
    </dataValidation>
    <dataValidation type="list" sqref="K462" allowBlank="true" errorStyle="stop" showErrorMessage="true" showInputMessage="true">
      <formula1>"Com impostos,Sem impostos"</formula1>
    </dataValidation>
    <dataValidation type="list" sqref="V462" allowBlank="true" errorStyle="stop" showErrorMessage="true" showInputMessage="true">
      <formula1>"Mercado Envios por conta do comprador,Mercado Envios grátis"</formula1>
    </dataValidation>
    <dataValidation type="list" sqref="W462" allowBlank="true" errorStyle="stop" showErrorMessage="true" showInputMessage="true">
      <formula1>"Clássico,Premium"</formula1>
    </dataValidation>
    <dataValidation type="list" sqref="J463" allowBlank="true" errorStyle="stop" showErrorMessage="true" showInputMessage="true">
      <formula1>"R$"</formula1>
    </dataValidation>
    <dataValidation type="list" sqref="K463" allowBlank="true" errorStyle="stop" showErrorMessage="true" showInputMessage="true">
      <formula1>"Com impostos,Sem impostos"</formula1>
    </dataValidation>
    <dataValidation type="list" sqref="V463" allowBlank="true" errorStyle="stop" showErrorMessage="true" showInputMessage="true">
      <formula1>"Mercado Envios por conta do comprador,Mercado Envios grátis"</formula1>
    </dataValidation>
    <dataValidation type="list" sqref="W463" allowBlank="true" errorStyle="stop" showErrorMessage="true" showInputMessage="true">
      <formula1>"Clássico,Premium"</formula1>
    </dataValidation>
    <dataValidation type="list" sqref="J464" allowBlank="true" errorStyle="stop" showErrorMessage="true" showInputMessage="true">
      <formula1>"R$"</formula1>
    </dataValidation>
    <dataValidation type="list" sqref="K464" allowBlank="true" errorStyle="stop" showErrorMessage="true" showInputMessage="true">
      <formula1>"Com impostos,Sem impostos"</formula1>
    </dataValidation>
    <dataValidation type="list" sqref="V464" allowBlank="true" errorStyle="stop" showErrorMessage="true" showInputMessage="true">
      <formula1>"Mercado Envios por conta do comprador,Mercado Envios grátis"</formula1>
    </dataValidation>
    <dataValidation type="list" sqref="W464" allowBlank="true" errorStyle="stop" showErrorMessage="true" showInputMessage="true">
      <formula1>"Clássico,Premium"</formula1>
    </dataValidation>
    <dataValidation type="list" sqref="J465" allowBlank="true" errorStyle="stop" showErrorMessage="true" showInputMessage="true">
      <formula1>"R$"</formula1>
    </dataValidation>
    <dataValidation type="list" sqref="K465" allowBlank="true" errorStyle="stop" showErrorMessage="true" showInputMessage="true">
      <formula1>"Com impostos,Sem impostos"</formula1>
    </dataValidation>
    <dataValidation type="list" sqref="V465" allowBlank="true" errorStyle="stop" showErrorMessage="true" showInputMessage="true">
      <formula1>"Mercado Envios por conta do comprador,Mercado Envios grátis"</formula1>
    </dataValidation>
    <dataValidation type="list" sqref="W465" allowBlank="true" errorStyle="stop" showErrorMessage="true" showInputMessage="true">
      <formula1>"Clássico,Premium"</formula1>
    </dataValidation>
    <dataValidation type="list" sqref="J466" allowBlank="true" errorStyle="stop" showErrorMessage="true" showInputMessage="true">
      <formula1>"R$"</formula1>
    </dataValidation>
    <dataValidation type="list" sqref="K466" allowBlank="true" errorStyle="stop" showErrorMessage="true" showInputMessage="true">
      <formula1>"Com impostos,Sem impostos"</formula1>
    </dataValidation>
    <dataValidation type="list" sqref="V466" allowBlank="true" errorStyle="stop" showErrorMessage="true" showInputMessage="true">
      <formula1>"Mercado Envios por conta do comprador,Mercado Envios grátis"</formula1>
    </dataValidation>
    <dataValidation type="list" sqref="W466" allowBlank="true" errorStyle="stop" showErrorMessage="true" showInputMessage="true">
      <formula1>"Clássico,Premium"</formula1>
    </dataValidation>
    <dataValidation type="list" sqref="J467" allowBlank="true" errorStyle="stop" showErrorMessage="true" showInputMessage="true">
      <formula1>"R$"</formula1>
    </dataValidation>
    <dataValidation type="list" sqref="K467" allowBlank="true" errorStyle="stop" showErrorMessage="true" showInputMessage="true">
      <formula1>"Com impostos,Sem impostos"</formula1>
    </dataValidation>
    <dataValidation type="list" sqref="V467" allowBlank="true" errorStyle="stop" showErrorMessage="true" showInputMessage="true">
      <formula1>"Mercado Envios por conta do comprador,Mercado Envios grátis"</formula1>
    </dataValidation>
    <dataValidation type="list" sqref="W467" allowBlank="true" errorStyle="stop" showErrorMessage="true" showInputMessage="true">
      <formula1>"Clássico,Premium"</formula1>
    </dataValidation>
    <dataValidation type="list" sqref="J468" allowBlank="true" errorStyle="stop" showErrorMessage="true" showInputMessage="true">
      <formula1>"R$"</formula1>
    </dataValidation>
    <dataValidation type="list" sqref="K468" allowBlank="true" errorStyle="stop" showErrorMessage="true" showInputMessage="true">
      <formula1>"Com impostos,Sem impostos"</formula1>
    </dataValidation>
    <dataValidation type="list" sqref="V468" allowBlank="true" errorStyle="stop" showErrorMessage="true" showInputMessage="true">
      <formula1>"Mercado Envios por conta do comprador,Mercado Envios grátis"</formula1>
    </dataValidation>
    <dataValidation type="list" sqref="W468" allowBlank="true" errorStyle="stop" showErrorMessage="true" showInputMessage="true">
      <formula1>"Clássico,Premium"</formula1>
    </dataValidation>
    <dataValidation type="list" sqref="J469" allowBlank="true" errorStyle="stop" showErrorMessage="true" showInputMessage="true">
      <formula1>"R$"</formula1>
    </dataValidation>
    <dataValidation type="list" sqref="K469" allowBlank="true" errorStyle="stop" showErrorMessage="true" showInputMessage="true">
      <formula1>"Com impostos,Sem impostos"</formula1>
    </dataValidation>
    <dataValidation type="list" sqref="V469" allowBlank="true" errorStyle="stop" showErrorMessage="true" showInputMessage="true">
      <formula1>"Mercado Envios por conta do comprador,Mercado Envios grátis"</formula1>
    </dataValidation>
    <dataValidation type="list" sqref="W469" allowBlank="true" errorStyle="stop" showErrorMessage="true" showInputMessage="true">
      <formula1>"Clássico,Premium"</formula1>
    </dataValidation>
    <dataValidation type="list" sqref="J470" allowBlank="true" errorStyle="stop" showErrorMessage="true" showInputMessage="true">
      <formula1>"R$"</formula1>
    </dataValidation>
    <dataValidation type="list" sqref="K470" allowBlank="true" errorStyle="stop" showErrorMessage="true" showInputMessage="true">
      <formula1>"Com impostos,Sem impostos"</formula1>
    </dataValidation>
    <dataValidation type="list" sqref="V470" allowBlank="true" errorStyle="stop" showErrorMessage="true" showInputMessage="true">
      <formula1>"Mercado Envios por conta do comprador,Mercado Envios grátis"</formula1>
    </dataValidation>
    <dataValidation type="list" sqref="W470" allowBlank="true" errorStyle="stop" showErrorMessage="true" showInputMessage="true">
      <formula1>"Clássico,Premium"</formula1>
    </dataValidation>
    <dataValidation type="list" sqref="J471" allowBlank="true" errorStyle="stop" showErrorMessage="true" showInputMessage="true">
      <formula1>"R$"</formula1>
    </dataValidation>
    <dataValidation type="list" sqref="K471" allowBlank="true" errorStyle="stop" showErrorMessage="true" showInputMessage="true">
      <formula1>"Com impostos,Sem impostos"</formula1>
    </dataValidation>
    <dataValidation type="list" sqref="V471" allowBlank="true" errorStyle="stop" showErrorMessage="true" showInputMessage="true">
      <formula1>"Mercado Envios por conta do comprador,Mercado Envios grátis"</formula1>
    </dataValidation>
    <dataValidation type="list" sqref="W471" allowBlank="true" errorStyle="stop" showErrorMessage="true" showInputMessage="true">
      <formula1>"Clássico,Premium"</formula1>
    </dataValidation>
    <dataValidation type="list" sqref="J472" allowBlank="true" errorStyle="stop" showErrorMessage="true" showInputMessage="true">
      <formula1>"R$"</formula1>
    </dataValidation>
    <dataValidation type="list" sqref="K472" allowBlank="true" errorStyle="stop" showErrorMessage="true" showInputMessage="true">
      <formula1>"Com impostos,Sem impostos"</formula1>
    </dataValidation>
    <dataValidation type="list" sqref="V472" allowBlank="true" errorStyle="stop" showErrorMessage="true" showInputMessage="true">
      <formula1>"Mercado Envios por conta do comprador,Mercado Envios grátis"</formula1>
    </dataValidation>
    <dataValidation type="list" sqref="W472" allowBlank="true" errorStyle="stop" showErrorMessage="true" showInputMessage="true">
      <formula1>"Clássico,Premium"</formula1>
    </dataValidation>
    <dataValidation type="list" sqref="J473" allowBlank="true" errorStyle="stop" showErrorMessage="true" showInputMessage="true">
      <formula1>"R$"</formula1>
    </dataValidation>
    <dataValidation type="list" sqref="K473" allowBlank="true" errorStyle="stop" showErrorMessage="true" showInputMessage="true">
      <formula1>"Com impostos,Sem impostos"</formula1>
    </dataValidation>
    <dataValidation type="list" sqref="V473" allowBlank="true" errorStyle="stop" showErrorMessage="true" showInputMessage="true">
      <formula1>"Mercado Envios por conta do comprador,Mercado Envios grátis"</formula1>
    </dataValidation>
    <dataValidation type="list" sqref="W473" allowBlank="true" errorStyle="stop" showErrorMessage="true" showInputMessage="true">
      <formula1>"Clássico,Premium"</formula1>
    </dataValidation>
    <dataValidation type="list" sqref="J474" allowBlank="true" errorStyle="stop" showErrorMessage="true" showInputMessage="true">
      <formula1>"R$"</formula1>
    </dataValidation>
    <dataValidation type="list" sqref="K474" allowBlank="true" errorStyle="stop" showErrorMessage="true" showInputMessage="true">
      <formula1>"Com impostos,Sem impostos"</formula1>
    </dataValidation>
    <dataValidation type="list" sqref="V474" allowBlank="true" errorStyle="stop" showErrorMessage="true" showInputMessage="true">
      <formula1>"Mercado Envios por conta do comprador,Mercado Envios grátis"</formula1>
    </dataValidation>
    <dataValidation type="list" sqref="W474" allowBlank="true" errorStyle="stop" showErrorMessage="true" showInputMessage="true">
      <formula1>"Clássico,Premium"</formula1>
    </dataValidation>
    <dataValidation type="list" sqref="J475" allowBlank="true" errorStyle="stop" showErrorMessage="true" showInputMessage="true">
      <formula1>"R$"</formula1>
    </dataValidation>
    <dataValidation type="list" sqref="K475" allowBlank="true" errorStyle="stop" showErrorMessage="true" showInputMessage="true">
      <formula1>"Com impostos,Sem impostos"</formula1>
    </dataValidation>
    <dataValidation type="list" sqref="V475" allowBlank="true" errorStyle="stop" showErrorMessage="true" showInputMessage="true">
      <formula1>"Mercado Envios por conta do comprador,Mercado Envios grátis"</formula1>
    </dataValidation>
    <dataValidation type="list" sqref="W475" allowBlank="true" errorStyle="stop" showErrorMessage="true" showInputMessage="true">
      <formula1>"Clássico,Premium"</formula1>
    </dataValidation>
    <dataValidation type="list" sqref="J476" allowBlank="true" errorStyle="stop" showErrorMessage="true" showInputMessage="true">
      <formula1>"R$"</formula1>
    </dataValidation>
    <dataValidation type="list" sqref="K476" allowBlank="true" errorStyle="stop" showErrorMessage="true" showInputMessage="true">
      <formula1>"Com impostos,Sem impostos"</formula1>
    </dataValidation>
    <dataValidation type="list" sqref="V476" allowBlank="true" errorStyle="stop" showErrorMessage="true" showInputMessage="true">
      <formula1>"Mercado Envios por conta do comprador,Mercado Envios grátis"</formula1>
    </dataValidation>
    <dataValidation type="list" sqref="W476" allowBlank="true" errorStyle="stop" showErrorMessage="true" showInputMessage="true">
      <formula1>"Clássico,Premium"</formula1>
    </dataValidation>
    <dataValidation type="list" sqref="J477" allowBlank="true" errorStyle="stop" showErrorMessage="true" showInputMessage="true">
      <formula1>"R$"</formula1>
    </dataValidation>
    <dataValidation type="list" sqref="K477" allowBlank="true" errorStyle="stop" showErrorMessage="true" showInputMessage="true">
      <formula1>"Com impostos,Sem impostos"</formula1>
    </dataValidation>
    <dataValidation type="list" sqref="V477" allowBlank="true" errorStyle="stop" showErrorMessage="true" showInputMessage="true">
      <formula1>"Mercado Envios por conta do comprador,Mercado Envios grátis"</formula1>
    </dataValidation>
    <dataValidation type="list" sqref="W477" allowBlank="true" errorStyle="stop" showErrorMessage="true" showInputMessage="true">
      <formula1>"Clássico,Premium"</formula1>
    </dataValidation>
    <dataValidation type="list" sqref="J478" allowBlank="true" errorStyle="stop" showErrorMessage="true" showInputMessage="true">
      <formula1>"R$"</formula1>
    </dataValidation>
    <dataValidation type="list" sqref="K478" allowBlank="true" errorStyle="stop" showErrorMessage="true" showInputMessage="true">
      <formula1>"Com impostos,Sem impostos"</formula1>
    </dataValidation>
    <dataValidation type="list" sqref="V478" allowBlank="true" errorStyle="stop" showErrorMessage="true" showInputMessage="true">
      <formula1>"Mercado Envios por conta do comprador,Mercado Envios grátis"</formula1>
    </dataValidation>
    <dataValidation type="list" sqref="W478" allowBlank="true" errorStyle="stop" showErrorMessage="true" showInputMessage="true">
      <formula1>"Clássico,Premium"</formula1>
    </dataValidation>
    <dataValidation type="list" sqref="J479" allowBlank="true" errorStyle="stop" showErrorMessage="true" showInputMessage="true">
      <formula1>"R$"</formula1>
    </dataValidation>
    <dataValidation type="list" sqref="K479" allowBlank="true" errorStyle="stop" showErrorMessage="true" showInputMessage="true">
      <formula1>"Com impostos,Sem impostos"</formula1>
    </dataValidation>
    <dataValidation type="list" sqref="V479" allowBlank="true" errorStyle="stop" showErrorMessage="true" showInputMessage="true">
      <formula1>"Mercado Envios por conta do comprador,Mercado Envios grátis"</formula1>
    </dataValidation>
    <dataValidation type="list" sqref="W479" allowBlank="true" errorStyle="stop" showErrorMessage="true" showInputMessage="true">
      <formula1>"Clássico,Premium"</formula1>
    </dataValidation>
    <dataValidation type="list" sqref="J480" allowBlank="true" errorStyle="stop" showErrorMessage="true" showInputMessage="true">
      <formula1>"R$"</formula1>
    </dataValidation>
    <dataValidation type="list" sqref="K480" allowBlank="true" errorStyle="stop" showErrorMessage="true" showInputMessage="true">
      <formula1>"Com impostos,Sem impostos"</formula1>
    </dataValidation>
    <dataValidation type="list" sqref="V480" allowBlank="true" errorStyle="stop" showErrorMessage="true" showInputMessage="true">
      <formula1>"Mercado Envios por conta do comprador,Mercado Envios grátis"</formula1>
    </dataValidation>
    <dataValidation type="list" sqref="W480" allowBlank="true" errorStyle="stop" showErrorMessage="true" showInputMessage="true">
      <formula1>"Clássico,Premium"</formula1>
    </dataValidation>
    <dataValidation type="list" sqref="J481" allowBlank="true" errorStyle="stop" showErrorMessage="true" showInputMessage="true">
      <formula1>"R$"</formula1>
    </dataValidation>
    <dataValidation type="list" sqref="K481" allowBlank="true" errorStyle="stop" showErrorMessage="true" showInputMessage="true">
      <formula1>"Com impostos,Sem impostos"</formula1>
    </dataValidation>
    <dataValidation type="list" sqref="V481" allowBlank="true" errorStyle="stop" showErrorMessage="true" showInputMessage="true">
      <formula1>"Mercado Envios por conta do comprador,Mercado Envios grátis"</formula1>
    </dataValidation>
    <dataValidation type="list" sqref="W481" allowBlank="true" errorStyle="stop" showErrorMessage="true" showInputMessage="true">
      <formula1>"Clássico,Premium"</formula1>
    </dataValidation>
    <dataValidation type="list" sqref="J482" allowBlank="true" errorStyle="stop" showErrorMessage="true" showInputMessage="true">
      <formula1>"R$"</formula1>
    </dataValidation>
    <dataValidation type="list" sqref="V482" allowBlank="true" errorStyle="stop" showErrorMessage="true" showInputMessage="true">
      <formula1>"Mercado Envios por conta do comprador,Mercado Envios grátis"</formula1>
    </dataValidation>
    <dataValidation type="list" sqref="W482" allowBlank="true" errorStyle="stop" showErrorMessage="true" showInputMessage="true">
      <formula1>"Clássico,Premium"</formula1>
    </dataValidation>
    <dataValidation type="list" sqref="J486" allowBlank="true" errorStyle="stop" showErrorMessage="true" showInputMessage="true">
      <formula1>"R$"</formula1>
    </dataValidation>
    <dataValidation type="list" sqref="K486" allowBlank="true" errorStyle="stop" showErrorMessage="true" showInputMessage="true">
      <formula1>"Com impostos,Sem impostos"</formula1>
    </dataValidation>
    <dataValidation type="list" sqref="V486" allowBlank="true" errorStyle="stop" showErrorMessage="true" showInputMessage="true">
      <formula1>"Mercado Envios por conta do comprador,Mercado Envios grátis"</formula1>
    </dataValidation>
    <dataValidation type="list" sqref="W486" allowBlank="true" errorStyle="stop" showErrorMessage="true" showInputMessage="true">
      <formula1>"Clássico,Premium"</formula1>
    </dataValidation>
    <dataValidation type="list" sqref="J487" allowBlank="true" errorStyle="stop" showErrorMessage="true" showInputMessage="true">
      <formula1>"R$"</formula1>
    </dataValidation>
    <dataValidation type="list" sqref="K487" allowBlank="true" errorStyle="stop" showErrorMessage="true" showInputMessage="true">
      <formula1>"Com impostos,Sem impostos"</formula1>
    </dataValidation>
    <dataValidation type="list" sqref="V487" allowBlank="true" errorStyle="stop" showErrorMessage="true" showInputMessage="true">
      <formula1>"Mercado Envios por conta do comprador,Mercado Envios grátis"</formula1>
    </dataValidation>
    <dataValidation type="list" sqref="W487" allowBlank="true" errorStyle="stop" showErrorMessage="true" showInputMessage="true">
      <formula1>"Clássico,Premium"</formula1>
    </dataValidation>
    <dataValidation type="list" sqref="J488" allowBlank="true" errorStyle="stop" showErrorMessage="true" showInputMessage="true">
      <formula1>"R$"</formula1>
    </dataValidation>
    <dataValidation type="list" sqref="K488" allowBlank="true" errorStyle="stop" showErrorMessage="true" showInputMessage="true">
      <formula1>"Com impostos,Sem impostos"</formula1>
    </dataValidation>
    <dataValidation type="list" sqref="V488" allowBlank="true" errorStyle="stop" showErrorMessage="true" showInputMessage="true">
      <formula1>"Mercado Envios por conta do comprador,Mercado Envios grátis"</formula1>
    </dataValidation>
    <dataValidation type="list" sqref="W488" allowBlank="true" errorStyle="stop" showErrorMessage="true" showInputMessage="true">
      <formula1>"Clássico,Premium"</formula1>
    </dataValidation>
    <dataValidation type="list" sqref="J489" allowBlank="true" errorStyle="stop" showErrorMessage="true" showInputMessage="true">
      <formula1>"R$"</formula1>
    </dataValidation>
    <dataValidation type="list" sqref="K489" allowBlank="true" errorStyle="stop" showErrorMessage="true" showInputMessage="true">
      <formula1>"Com impostos,Sem impostos"</formula1>
    </dataValidation>
    <dataValidation type="list" sqref="W489" allowBlank="true" errorStyle="stop" showErrorMessage="true" showInputMessage="true">
      <formula1>"Clássico,Premium"</formula1>
    </dataValidation>
    <dataValidation type="list" sqref="J490" allowBlank="true" errorStyle="stop" showErrorMessage="true" showInputMessage="true">
      <formula1>"R$"</formula1>
    </dataValidation>
    <dataValidation type="list" sqref="K490" allowBlank="true" errorStyle="stop" showErrorMessage="true" showInputMessage="true">
      <formula1>"Com impostos,Sem impostos"</formula1>
    </dataValidation>
    <dataValidation type="list" sqref="V490" allowBlank="true" errorStyle="stop" showErrorMessage="true" showInputMessage="true">
      <formula1>"Mercado Envios por conta do comprador,Mercado Envios grátis"</formula1>
    </dataValidation>
    <dataValidation type="list" sqref="W490" allowBlank="true" errorStyle="stop" showErrorMessage="true" showInputMessage="true">
      <formula1>"Clássico,Premium"</formula1>
    </dataValidation>
    <dataValidation type="list" sqref="J491" allowBlank="true" errorStyle="stop" showErrorMessage="true" showInputMessage="true">
      <formula1>"R$"</formula1>
    </dataValidation>
    <dataValidation type="list" sqref="K491" allowBlank="true" errorStyle="stop" showErrorMessage="true" showInputMessage="true">
      <formula1>"Com impostos,Sem impostos"</formula1>
    </dataValidation>
    <dataValidation type="list" sqref="V491" allowBlank="true" errorStyle="stop" showErrorMessage="true" showInputMessage="true">
      <formula1>"Mercado Envios por conta do comprador,Mercado Envios grátis"</formula1>
    </dataValidation>
    <dataValidation type="list" sqref="W491" allowBlank="true" errorStyle="stop" showErrorMessage="true" showInputMessage="true">
      <formula1>"Clássico,Premium"</formula1>
    </dataValidation>
    <dataValidation type="list" sqref="J492" allowBlank="true" errorStyle="stop" showErrorMessage="true" showInputMessage="true">
      <formula1>"R$"</formula1>
    </dataValidation>
    <dataValidation type="list" sqref="K492" allowBlank="true" errorStyle="stop" showErrorMessage="true" showInputMessage="true">
      <formula1>"Com impostos,Sem impostos"</formula1>
    </dataValidation>
    <dataValidation type="list" sqref="V492" allowBlank="true" errorStyle="stop" showErrorMessage="true" showInputMessage="true">
      <formula1>"Mercado Envios por conta do comprador,Mercado Envios grátis"</formula1>
    </dataValidation>
    <dataValidation type="list" sqref="W492" allowBlank="true" errorStyle="stop" showErrorMessage="true" showInputMessage="true">
      <formula1>"Clássico,Premium"</formula1>
    </dataValidation>
    <dataValidation type="list" sqref="J493" allowBlank="true" errorStyle="stop" showErrorMessage="true" showInputMessage="true">
      <formula1>"R$"</formula1>
    </dataValidation>
    <dataValidation type="list" sqref="K493" allowBlank="true" errorStyle="stop" showErrorMessage="true" showInputMessage="true">
      <formula1>"Com impostos,Sem impostos"</formula1>
    </dataValidation>
    <dataValidation type="list" sqref="V493" allowBlank="true" errorStyle="stop" showErrorMessage="true" showInputMessage="true">
      <formula1>"Mercado Envios por conta do comprador,Mercado Envios grátis"</formula1>
    </dataValidation>
    <dataValidation type="list" sqref="W493" allowBlank="true" errorStyle="stop" showErrorMessage="true" showInputMessage="true">
      <formula1>"Clássico,Premium"</formula1>
    </dataValidation>
    <dataValidation type="list" sqref="J494" allowBlank="true" errorStyle="stop" showErrorMessage="true" showInputMessage="true">
      <formula1>"R$"</formula1>
    </dataValidation>
    <dataValidation type="list" sqref="K494" allowBlank="true" errorStyle="stop" showErrorMessage="true" showInputMessage="true">
      <formula1>"Com impostos,Sem impostos"</formula1>
    </dataValidation>
    <dataValidation type="list" sqref="V494" allowBlank="true" errorStyle="stop" showErrorMessage="true" showInputMessage="true">
      <formula1>"Mercado Envios por conta do comprador,Mercado Envios grátis"</formula1>
    </dataValidation>
    <dataValidation type="list" sqref="W494" allowBlank="true" errorStyle="stop" showErrorMessage="true" showInputMessage="true">
      <formula1>"Clássico,Premium"</formula1>
    </dataValidation>
    <dataValidation type="list" sqref="J495" allowBlank="true" errorStyle="stop" showErrorMessage="true" showInputMessage="true">
      <formula1>"R$"</formula1>
    </dataValidation>
    <dataValidation type="list" sqref="K495" allowBlank="true" errorStyle="stop" showErrorMessage="true" showInputMessage="true">
      <formula1>"Com impostos,Sem impostos"</formula1>
    </dataValidation>
    <dataValidation type="list" sqref="V495" allowBlank="true" errorStyle="stop" showErrorMessage="true" showInputMessage="true">
      <formula1>"Mercado Envios por conta do comprador,Mercado Envios grátis"</formula1>
    </dataValidation>
    <dataValidation type="list" sqref="W495" allowBlank="true" errorStyle="stop" showErrorMessage="true" showInputMessage="true">
      <formula1>"Clássico,Premium"</formula1>
    </dataValidation>
    <dataValidation type="list" sqref="J496" allowBlank="true" errorStyle="stop" showErrorMessage="true" showInputMessage="true">
      <formula1>"R$"</formula1>
    </dataValidation>
    <dataValidation type="list" sqref="K496" allowBlank="true" errorStyle="stop" showErrorMessage="true" showInputMessage="true">
      <formula1>"Com impostos,Sem impostos"</formula1>
    </dataValidation>
    <dataValidation type="list" sqref="V496" allowBlank="true" errorStyle="stop" showErrorMessage="true" showInputMessage="true">
      <formula1>"Mercado Envios por conta do comprador,Mercado Envios grátis"</formula1>
    </dataValidation>
    <dataValidation type="list" sqref="W496" allowBlank="true" errorStyle="stop" showErrorMessage="true" showInputMessage="true">
      <formula1>"Clássico,Premium"</formula1>
    </dataValidation>
    <dataValidation type="list" sqref="J497" allowBlank="true" errorStyle="stop" showErrorMessage="true" showInputMessage="true">
      <formula1>"R$"</formula1>
    </dataValidation>
    <dataValidation type="list" sqref="K497" allowBlank="true" errorStyle="stop" showErrorMessage="true" showInputMessage="true">
      <formula1>"Com impostos,Sem impostos"</formula1>
    </dataValidation>
    <dataValidation type="list" sqref="V497" allowBlank="true" errorStyle="stop" showErrorMessage="true" showInputMessage="true">
      <formula1>"Mercado Envios por conta do comprador,Mercado Envios grátis"</formula1>
    </dataValidation>
    <dataValidation type="list" sqref="W497" allowBlank="true" errorStyle="stop" showErrorMessage="true" showInputMessage="true">
      <formula1>"Clássico,Premium"</formula1>
    </dataValidation>
    <dataValidation type="list" sqref="J498" allowBlank="true" errorStyle="stop" showErrorMessage="true" showInputMessage="true">
      <formula1>"R$"</formula1>
    </dataValidation>
    <dataValidation type="list" sqref="K498" allowBlank="true" errorStyle="stop" showErrorMessage="true" showInputMessage="true">
      <formula1>"Com impostos,Sem impostos"</formula1>
    </dataValidation>
    <dataValidation type="list" sqref="V498" allowBlank="true" errorStyle="stop" showErrorMessage="true" showInputMessage="true">
      <formula1>"Mercado Envios por conta do comprador,Mercado Envios grátis"</formula1>
    </dataValidation>
    <dataValidation type="list" sqref="W498" allowBlank="true" errorStyle="stop" showErrorMessage="true" showInputMessage="true">
      <formula1>"Clássico,Premium"</formula1>
    </dataValidation>
    <dataValidation type="list" sqref="J499" allowBlank="true" errorStyle="stop" showErrorMessage="true" showInputMessage="true">
      <formula1>"R$"</formula1>
    </dataValidation>
    <dataValidation type="list" sqref="K499" allowBlank="true" errorStyle="stop" showErrorMessage="true" showInputMessage="true">
      <formula1>"Com impostos,Sem impostos"</formula1>
    </dataValidation>
    <dataValidation type="list" sqref="V499" allowBlank="true" errorStyle="stop" showErrorMessage="true" showInputMessage="true">
      <formula1>"Mercado Envios por conta do comprador,Mercado Envios grátis"</formula1>
    </dataValidation>
    <dataValidation type="list" sqref="W499" allowBlank="true" errorStyle="stop" showErrorMessage="true" showInputMessage="true">
      <formula1>"Clássico,Premium"</formula1>
    </dataValidation>
    <dataValidation type="list" sqref="J500" allowBlank="true" errorStyle="stop" showErrorMessage="true" showInputMessage="true">
      <formula1>"R$"</formula1>
    </dataValidation>
    <dataValidation type="list" sqref="V500" allowBlank="true" errorStyle="stop" showErrorMessage="true" showInputMessage="true">
      <formula1>"Mercado Envios por conta do comprador,Mercado Envios grátis"</formula1>
    </dataValidation>
    <dataValidation type="list" sqref="W500" allowBlank="true" errorStyle="stop" showErrorMessage="true" showInputMessage="true">
      <formula1>"Clássico,Premium"</formula1>
    </dataValidation>
    <dataValidation type="list" sqref="J503" allowBlank="true" errorStyle="stop" showErrorMessage="true" showInputMessage="true">
      <formula1>"R$"</formula1>
    </dataValidation>
    <dataValidation type="list" sqref="K503" allowBlank="true" errorStyle="stop" showErrorMessage="true" showInputMessage="true">
      <formula1>"Com impostos,Sem impostos"</formula1>
    </dataValidation>
    <dataValidation type="list" sqref="V503" allowBlank="true" errorStyle="stop" showErrorMessage="true" showInputMessage="true">
      <formula1>"Mercado Envios por conta do comprador,Mercado Envios grátis"</formula1>
    </dataValidation>
    <dataValidation type="list" sqref="W503" allowBlank="true" errorStyle="stop" showErrorMessage="true" showInputMessage="true">
      <formula1>"Clássico,Premium"</formula1>
    </dataValidation>
    <dataValidation type="list" sqref="J504" allowBlank="true" errorStyle="stop" showErrorMessage="true" showInputMessage="true">
      <formula1>"R$"</formula1>
    </dataValidation>
    <dataValidation type="list" sqref="K504" allowBlank="true" errorStyle="stop" showErrorMessage="true" showInputMessage="true">
      <formula1>"Com impostos,Sem impostos"</formula1>
    </dataValidation>
    <dataValidation type="list" sqref="V504" allowBlank="true" errorStyle="stop" showErrorMessage="true" showInputMessage="true">
      <formula1>"Mercado Envios por conta do comprador,Mercado Envios grátis"</formula1>
    </dataValidation>
    <dataValidation type="list" sqref="W504" allowBlank="true" errorStyle="stop" showErrorMessage="true" showInputMessage="true">
      <formula1>"Clássico,Premium"</formula1>
    </dataValidation>
    <dataValidation type="list" sqref="J505" allowBlank="true" errorStyle="stop" showErrorMessage="true" showInputMessage="true">
      <formula1>"R$"</formula1>
    </dataValidation>
    <dataValidation type="list" sqref="K505" allowBlank="true" errorStyle="stop" showErrorMessage="true" showInputMessage="true">
      <formula1>"Com impostos,Sem impostos"</formula1>
    </dataValidation>
    <dataValidation type="list" sqref="V505" allowBlank="true" errorStyle="stop" showErrorMessage="true" showInputMessage="true">
      <formula1>"Mercado Envios por conta do comprador,Mercado Envios grátis"</formula1>
    </dataValidation>
    <dataValidation type="list" sqref="W505" allowBlank="true" errorStyle="stop" showErrorMessage="true" showInputMessage="true">
      <formula1>"Clássico,Premium"</formula1>
    </dataValidation>
    <dataValidation type="list" sqref="J506" allowBlank="true" errorStyle="stop" showErrorMessage="true" showInputMessage="true">
      <formula1>"R$"</formula1>
    </dataValidation>
    <dataValidation type="list" sqref="K506" allowBlank="true" errorStyle="stop" showErrorMessage="true" showInputMessage="true">
      <formula1>"Com impostos,Sem impostos"</formula1>
    </dataValidation>
    <dataValidation type="list" sqref="V506" allowBlank="true" errorStyle="stop" showErrorMessage="true" showInputMessage="true">
      <formula1>"Mercado Envios por conta do comprador,Mercado Envios grátis"</formula1>
    </dataValidation>
    <dataValidation type="list" sqref="W506" allowBlank="true" errorStyle="stop" showErrorMessage="true" showInputMessage="true">
      <formula1>"Clássico,Premium"</formula1>
    </dataValidation>
    <dataValidation type="list" sqref="J507" allowBlank="true" errorStyle="stop" showErrorMessage="true" showInputMessage="true">
      <formula1>"R$"</formula1>
    </dataValidation>
    <dataValidation type="list" sqref="K507" allowBlank="true" errorStyle="stop" showErrorMessage="true" showInputMessage="true">
      <formula1>"Com impostos,Sem impostos"</formula1>
    </dataValidation>
    <dataValidation type="list" sqref="V507" allowBlank="true" errorStyle="stop" showErrorMessage="true" showInputMessage="true">
      <formula1>"Mercado Envios por conta do comprador,Mercado Envios grátis"</formula1>
    </dataValidation>
    <dataValidation type="list" sqref="W507" allowBlank="true" errorStyle="stop" showErrorMessage="true" showInputMessage="true">
      <formula1>"Clássico,Premium"</formula1>
    </dataValidation>
    <dataValidation type="list" sqref="J508" allowBlank="true" errorStyle="stop" showErrorMessage="true" showInputMessage="true">
      <formula1>"R$"</formula1>
    </dataValidation>
    <dataValidation type="list" sqref="K508" allowBlank="true" errorStyle="stop" showErrorMessage="true" showInputMessage="true">
      <formula1>"Com impostos,Sem impostos"</formula1>
    </dataValidation>
    <dataValidation type="list" sqref="V508" allowBlank="true" errorStyle="stop" showErrorMessage="true" showInputMessage="true">
      <formula1>"Mercado Envios por conta do comprador,Mercado Envios grátis"</formula1>
    </dataValidation>
    <dataValidation type="list" sqref="W508" allowBlank="true" errorStyle="stop" showErrorMessage="true" showInputMessage="true">
      <formula1>"Clássico,Premium"</formula1>
    </dataValidation>
    <dataValidation type="list" sqref="J509" allowBlank="true" errorStyle="stop" showErrorMessage="true" showInputMessage="true">
      <formula1>"R$"</formula1>
    </dataValidation>
    <dataValidation type="list" sqref="K509" allowBlank="true" errorStyle="stop" showErrorMessage="true" showInputMessage="true">
      <formula1>"Com impostos,Sem impostos"</formula1>
    </dataValidation>
    <dataValidation type="list" sqref="V509" allowBlank="true" errorStyle="stop" showErrorMessage="true" showInputMessage="true">
      <formula1>"Mercado Envios por conta do comprador,Mercado Envios grátis"</formula1>
    </dataValidation>
    <dataValidation type="list" sqref="W509" allowBlank="true" errorStyle="stop" showErrorMessage="true" showInputMessage="true">
      <formula1>"Clássico,Premium"</formula1>
    </dataValidation>
    <dataValidation type="list" sqref="J510" allowBlank="true" errorStyle="stop" showErrorMessage="true" showInputMessage="true">
      <formula1>"R$"</formula1>
    </dataValidation>
    <dataValidation type="list" sqref="K510" allowBlank="true" errorStyle="stop" showErrorMessage="true" showInputMessage="true">
      <formula1>"Com impostos,Sem impostos"</formula1>
    </dataValidation>
    <dataValidation type="list" sqref="V510" allowBlank="true" errorStyle="stop" showErrorMessage="true" showInputMessage="true">
      <formula1>"Mercado Envios por conta do comprador,Mercado Envios grátis"</formula1>
    </dataValidation>
    <dataValidation type="list" sqref="W510" allowBlank="true" errorStyle="stop" showErrorMessage="true" showInputMessage="true">
      <formula1>"Clássico,Premium"</formula1>
    </dataValidation>
    <dataValidation type="list" sqref="J511" allowBlank="true" errorStyle="stop" showErrorMessage="true" showInputMessage="true">
      <formula1>"R$"</formula1>
    </dataValidation>
    <dataValidation type="list" sqref="V511" allowBlank="true" errorStyle="stop" showErrorMessage="true" showInputMessage="true">
      <formula1>"Mercado Envios por conta do comprador,Mercado Envios grátis"</formula1>
    </dataValidation>
    <dataValidation type="list" sqref="W511" allowBlank="true" errorStyle="stop" showErrorMessage="true" showInputMessage="true">
      <formula1>"Clássico,Premium"</formula1>
    </dataValidation>
    <dataValidation type="list" sqref="J514" allowBlank="true" errorStyle="stop" showErrorMessage="true" showInputMessage="true">
      <formula1>"R$"</formula1>
    </dataValidation>
    <dataValidation type="list" sqref="V514" allowBlank="true" errorStyle="stop" showErrorMessage="true" showInputMessage="true">
      <formula1>"Mercado Envios por conta do comprador,Mercado Envios grátis"</formula1>
    </dataValidation>
    <dataValidation type="list" sqref="W514" allowBlank="true" errorStyle="stop" showErrorMessage="true" showInputMessage="true">
      <formula1>"Clássico,Premium"</formula1>
    </dataValidation>
    <dataValidation type="list" sqref="J527" allowBlank="true" errorStyle="stop" showErrorMessage="true" showInputMessage="true">
      <formula1>"R$"</formula1>
    </dataValidation>
    <dataValidation type="list" sqref="K527" allowBlank="true" errorStyle="stop" showErrorMessage="true" showInputMessage="true">
      <formula1>"Com impostos,Sem impostos"</formula1>
    </dataValidation>
    <dataValidation type="list" sqref="V527" allowBlank="true" errorStyle="stop" showErrorMessage="true" showInputMessage="true">
      <formula1>"Mercado Envios por conta do comprador,Mercado Envios grátis"</formula1>
    </dataValidation>
    <dataValidation type="list" sqref="W527" allowBlank="true" errorStyle="stop" showErrorMessage="true" showInputMessage="true">
      <formula1>"Clássico,Premium"</formula1>
    </dataValidation>
    <dataValidation type="list" sqref="J528" allowBlank="true" errorStyle="stop" showErrorMessage="true" showInputMessage="true">
      <formula1>"R$"</formula1>
    </dataValidation>
    <dataValidation type="list" sqref="K528" allowBlank="true" errorStyle="stop" showErrorMessage="true" showInputMessage="true">
      <formula1>"Com impostos,Sem impostos"</formula1>
    </dataValidation>
    <dataValidation type="list" sqref="V528" allowBlank="true" errorStyle="stop" showErrorMessage="true" showInputMessage="true">
      <formula1>"Mercado Envios por conta do comprador,Mercado Envios grátis"</formula1>
    </dataValidation>
    <dataValidation type="list" sqref="W528" allowBlank="true" errorStyle="stop" showErrorMessage="true" showInputMessage="true">
      <formula1>"Clássico,Premium"</formula1>
    </dataValidation>
    <dataValidation type="list" sqref="J529" allowBlank="true" errorStyle="stop" showErrorMessage="true" showInputMessage="true">
      <formula1>"R$"</formula1>
    </dataValidation>
    <dataValidation type="list" sqref="K529" allowBlank="true" errorStyle="stop" showErrorMessage="true" showInputMessage="true">
      <formula1>"Com impostos,Sem impostos"</formula1>
    </dataValidation>
    <dataValidation type="list" sqref="V529" allowBlank="true" errorStyle="stop" showErrorMessage="true" showInputMessage="true">
      <formula1>"Mercado Envios por conta do comprador,Mercado Envios grátis"</formula1>
    </dataValidation>
    <dataValidation type="list" sqref="W529" allowBlank="true" errorStyle="stop" showErrorMessage="true" showInputMessage="true">
      <formula1>"Clássico,Premium"</formula1>
    </dataValidation>
    <dataValidation type="list" sqref="J530" allowBlank="true" errorStyle="stop" showErrorMessage="true" showInputMessage="true">
      <formula1>"R$"</formula1>
    </dataValidation>
    <dataValidation type="list" sqref="K530" allowBlank="true" errorStyle="stop" showErrorMessage="true" showInputMessage="true">
      <formula1>"Com impostos,Sem impostos"</formula1>
    </dataValidation>
    <dataValidation type="list" sqref="V530" allowBlank="true" errorStyle="stop" showErrorMessage="true" showInputMessage="true">
      <formula1>"Mercado Envios por conta do comprador,Mercado Envios grátis"</formula1>
    </dataValidation>
    <dataValidation type="list" sqref="W530" allowBlank="true" errorStyle="stop" showErrorMessage="true" showInputMessage="true">
      <formula1>"Clássico,Premium"</formula1>
    </dataValidation>
    <dataValidation type="list" sqref="J531" allowBlank="true" errorStyle="stop" showErrorMessage="true" showInputMessage="true">
      <formula1>"R$"</formula1>
    </dataValidation>
    <dataValidation type="list" sqref="K531" allowBlank="true" errorStyle="stop" showErrorMessage="true" showInputMessage="true">
      <formula1>"Com impostos,Sem impostos"</formula1>
    </dataValidation>
    <dataValidation type="list" sqref="V531" allowBlank="true" errorStyle="stop" showErrorMessage="true" showInputMessage="true">
      <formula1>"Mercado Envios por conta do comprador,Mercado Envios grátis"</formula1>
    </dataValidation>
    <dataValidation type="list" sqref="W531" allowBlank="true" errorStyle="stop" showErrorMessage="true" showInputMessage="true">
      <formula1>"Clássico,Premium"</formula1>
    </dataValidation>
    <dataValidation type="list" sqref="J532" allowBlank="true" errorStyle="stop" showErrorMessage="true" showInputMessage="true">
      <formula1>"R$"</formula1>
    </dataValidation>
    <dataValidation type="list" sqref="K532" allowBlank="true" errorStyle="stop" showErrorMessage="true" showInputMessage="true">
      <formula1>"Com impostos,Sem impostos"</formula1>
    </dataValidation>
    <dataValidation type="list" sqref="V532" allowBlank="true" errorStyle="stop" showErrorMessage="true" showInputMessage="true">
      <formula1>"Mercado Envios por conta do comprador,Mercado Envios grátis"</formula1>
    </dataValidation>
    <dataValidation type="list" sqref="W532" allowBlank="true" errorStyle="stop" showErrorMessage="true" showInputMessage="true">
      <formula1>"Clássico,Premium"</formula1>
    </dataValidation>
    <dataValidation type="list" sqref="J533" allowBlank="true" errorStyle="stop" showErrorMessage="true" showInputMessage="true">
      <formula1>"R$"</formula1>
    </dataValidation>
    <dataValidation type="list" sqref="K533" allowBlank="true" errorStyle="stop" showErrorMessage="true" showInputMessage="true">
      <formula1>"Com impostos,Sem impostos"</formula1>
    </dataValidation>
    <dataValidation type="list" sqref="V533" allowBlank="true" errorStyle="stop" showErrorMessage="true" showInputMessage="true">
      <formula1>"Mercado Envios por conta do comprador,Mercado Envios grátis"</formula1>
    </dataValidation>
    <dataValidation type="list" sqref="W533" allowBlank="true" errorStyle="stop" showErrorMessage="true" showInputMessage="true">
      <formula1>"Clássico,Premium"</formula1>
    </dataValidation>
    <dataValidation type="list" sqref="J534" allowBlank="true" errorStyle="stop" showErrorMessage="true" showInputMessage="true">
      <formula1>"R$"</formula1>
    </dataValidation>
    <dataValidation type="list" sqref="K534" allowBlank="true" errorStyle="stop" showErrorMessage="true" showInputMessage="true">
      <formula1>"Com impostos,Sem impostos"</formula1>
    </dataValidation>
    <dataValidation type="list" sqref="V534" allowBlank="true" errorStyle="stop" showErrorMessage="true" showInputMessage="true">
      <formula1>"Mercado Envios por conta do comprador,Mercado Envios grátis"</formula1>
    </dataValidation>
    <dataValidation type="list" sqref="W534" allowBlank="true" errorStyle="stop" showErrorMessage="true" showInputMessage="true">
      <formula1>"Clássico,Premium"</formula1>
    </dataValidation>
    <dataValidation type="list" sqref="J535" allowBlank="true" errorStyle="stop" showErrorMessage="true" showInputMessage="true">
      <formula1>"R$"</formula1>
    </dataValidation>
    <dataValidation type="list" sqref="K535" allowBlank="true" errorStyle="stop" showErrorMessage="true" showInputMessage="true">
      <formula1>"Com impostos,Sem impostos"</formula1>
    </dataValidation>
    <dataValidation type="list" sqref="V535" allowBlank="true" errorStyle="stop" showErrorMessage="true" showInputMessage="true">
      <formula1>"Mercado Envios por conta do comprador,Mercado Envios grátis"</formula1>
    </dataValidation>
    <dataValidation type="list" sqref="W535" allowBlank="true" errorStyle="stop" showErrorMessage="true" showInputMessage="true">
      <formula1>"Clássico,Premium"</formula1>
    </dataValidation>
    <dataValidation type="list" sqref="J536" allowBlank="true" errorStyle="stop" showErrorMessage="true" showInputMessage="true">
      <formula1>"R$"</formula1>
    </dataValidation>
    <dataValidation type="list" sqref="V536" allowBlank="true" errorStyle="stop" showErrorMessage="true" showInputMessage="true">
      <formula1>"Mercado Envios por conta do comprador,Mercado Envios grátis"</formula1>
    </dataValidation>
    <dataValidation type="list" sqref="W536" allowBlank="true" errorStyle="stop" showErrorMessage="true" showInputMessage="true">
      <formula1>"Clássico,Premium"</formula1>
    </dataValidation>
    <dataValidation type="list" sqref="J539" allowBlank="true" errorStyle="stop" showErrorMessage="true" showInputMessage="true">
      <formula1>"R$"</formula1>
    </dataValidation>
    <dataValidation type="list" sqref="K539" allowBlank="true" errorStyle="stop" showErrorMessage="true" showInputMessage="true">
      <formula1>"Com impostos,Sem impostos"</formula1>
    </dataValidation>
    <dataValidation type="list" sqref="V539" allowBlank="true" errorStyle="stop" showErrorMessage="true" showInputMessage="true">
      <formula1>"Mercado Envios por conta do comprador,Mercado Envios grátis"</formula1>
    </dataValidation>
    <dataValidation type="list" sqref="W539" allowBlank="true" errorStyle="stop" showErrorMessage="true" showInputMessage="true">
      <formula1>"Clássico,Premium"</formula1>
    </dataValidation>
    <dataValidation type="list" sqref="J540" allowBlank="true" errorStyle="stop" showErrorMessage="true" showInputMessage="true">
      <formula1>"R$"</formula1>
    </dataValidation>
    <dataValidation type="list" sqref="K540" allowBlank="true" errorStyle="stop" showErrorMessage="true" showInputMessage="true">
      <formula1>"Com impostos,Sem impostos"</formula1>
    </dataValidation>
    <dataValidation type="list" sqref="V540" allowBlank="true" errorStyle="stop" showErrorMessage="true" showInputMessage="true">
      <formula1>"Mercado Envios por conta do comprador,Mercado Envios grátis"</formula1>
    </dataValidation>
    <dataValidation type="list" sqref="W540" allowBlank="true" errorStyle="stop" showErrorMessage="true" showInputMessage="true">
      <formula1>"Clássico,Premium"</formula1>
    </dataValidation>
    <dataValidation type="list" sqref="J541" allowBlank="true" errorStyle="stop" showErrorMessage="true" showInputMessage="true">
      <formula1>"R$"</formula1>
    </dataValidation>
    <dataValidation type="list" sqref="K541" allowBlank="true" errorStyle="stop" showErrorMessage="true" showInputMessage="true">
      <formula1>"Com impostos,Sem impostos"</formula1>
    </dataValidation>
    <dataValidation type="list" sqref="V541" allowBlank="true" errorStyle="stop" showErrorMessage="true" showInputMessage="true">
      <formula1>"Mercado Envios por conta do comprador,Mercado Envios grátis"</formula1>
    </dataValidation>
    <dataValidation type="list" sqref="W541" allowBlank="true" errorStyle="stop" showErrorMessage="true" showInputMessage="true">
      <formula1>"Clássico,Premium"</formula1>
    </dataValidation>
    <dataValidation type="list" sqref="J542" allowBlank="true" errorStyle="stop" showErrorMessage="true" showInputMessage="true">
      <formula1>"R$"</formula1>
    </dataValidation>
    <dataValidation type="list" sqref="K542" allowBlank="true" errorStyle="stop" showErrorMessage="true" showInputMessage="true">
      <formula1>"Com impostos,Sem impostos"</formula1>
    </dataValidation>
    <dataValidation type="list" sqref="V542" allowBlank="true" errorStyle="stop" showErrorMessage="true" showInputMessage="true">
      <formula1>"Mercado Envios por conta do comprador,Mercado Envios grátis"</formula1>
    </dataValidation>
    <dataValidation type="list" sqref="W542" allowBlank="true" errorStyle="stop" showErrorMessage="true" showInputMessage="true">
      <formula1>"Clássico,Premium"</formula1>
    </dataValidation>
    <dataValidation type="list" sqref="J543" allowBlank="true" errorStyle="stop" showErrorMessage="true" showInputMessage="true">
      <formula1>"R$"</formula1>
    </dataValidation>
    <dataValidation type="list" sqref="K543" allowBlank="true" errorStyle="stop" showErrorMessage="true" showInputMessage="true">
      <formula1>"Com impostos,Sem impostos"</formula1>
    </dataValidation>
    <dataValidation type="list" sqref="V543" allowBlank="true" errorStyle="stop" showErrorMessage="true" showInputMessage="true">
      <formula1>"Mercado Envios por conta do comprador,Mercado Envios grátis"</formula1>
    </dataValidation>
    <dataValidation type="list" sqref="W543" allowBlank="true" errorStyle="stop" showErrorMessage="true" showInputMessage="true">
      <formula1>"Clássico,Premium"</formula1>
    </dataValidation>
    <dataValidation type="list" sqref="J544" allowBlank="true" errorStyle="stop" showErrorMessage="true" showInputMessage="true">
      <formula1>"R$"</formula1>
    </dataValidation>
    <dataValidation type="list" sqref="K544" allowBlank="true" errorStyle="stop" showErrorMessage="true" showInputMessage="true">
      <formula1>"Com impostos,Sem impostos"</formula1>
    </dataValidation>
    <dataValidation type="list" sqref="V544" allowBlank="true" errorStyle="stop" showErrorMessage="true" showInputMessage="true">
      <formula1>"Mercado Envios por conta do comprador,Mercado Envios grátis"</formula1>
    </dataValidation>
    <dataValidation type="list" sqref="W544" allowBlank="true" errorStyle="stop" showErrorMessage="true" showInputMessage="true">
      <formula1>"Clássico,Premium"</formula1>
    </dataValidation>
    <dataValidation type="list" sqref="J545" allowBlank="true" errorStyle="stop" showErrorMessage="true" showInputMessage="true">
      <formula1>"R$"</formula1>
    </dataValidation>
    <dataValidation type="list" sqref="K545" allowBlank="true" errorStyle="stop" showErrorMessage="true" showInputMessage="true">
      <formula1>"Com impostos,Sem impostos"</formula1>
    </dataValidation>
    <dataValidation type="list" sqref="V545" allowBlank="true" errorStyle="stop" showErrorMessage="true" showInputMessage="true">
      <formula1>"Mercado Envios por conta do comprador,Mercado Envios grátis"</formula1>
    </dataValidation>
    <dataValidation type="list" sqref="W545" allowBlank="true" errorStyle="stop" showErrorMessage="true" showInputMessage="true">
      <formula1>"Clássico,Premium"</formula1>
    </dataValidation>
    <dataValidation type="list" sqref="J546" allowBlank="true" errorStyle="stop" showErrorMessage="true" showInputMessage="true">
      <formula1>"R$"</formula1>
    </dataValidation>
    <dataValidation type="list" sqref="K546" allowBlank="true" errorStyle="stop" showErrorMessage="true" showInputMessage="true">
      <formula1>"Com impostos,Sem impostos"</formula1>
    </dataValidation>
    <dataValidation type="list" sqref="V546" allowBlank="true" errorStyle="stop" showErrorMessage="true" showInputMessage="true">
      <formula1>"Mercado Envios por conta do comprador,Mercado Envios grátis"</formula1>
    </dataValidation>
    <dataValidation type="list" sqref="W546" allowBlank="true" errorStyle="stop" showErrorMessage="true" showInputMessage="true">
      <formula1>"Clássico,Premium"</formula1>
    </dataValidation>
    <dataValidation type="list" sqref="J547" allowBlank="true" errorStyle="stop" showErrorMessage="true" showInputMessage="true">
      <formula1>"R$"</formula1>
    </dataValidation>
    <dataValidation type="list" sqref="K547" allowBlank="true" errorStyle="stop" showErrorMessage="true" showInputMessage="true">
      <formula1>"Com impostos,Sem impostos"</formula1>
    </dataValidation>
    <dataValidation type="list" sqref="V547" allowBlank="true" errorStyle="stop" showErrorMessage="true" showInputMessage="true">
      <formula1>"Mercado Envios por conta do comprador,Mercado Envios grátis"</formula1>
    </dataValidation>
    <dataValidation type="list" sqref="W547" allowBlank="true" errorStyle="stop" showErrorMessage="true" showInputMessage="true">
      <formula1>"Clássico,Premium"</formula1>
    </dataValidation>
    <dataValidation type="list" sqref="J548" allowBlank="true" errorStyle="stop" showErrorMessage="true" showInputMessage="true">
      <formula1>"R$"</formula1>
    </dataValidation>
    <dataValidation type="list" sqref="K548" allowBlank="true" errorStyle="stop" showErrorMessage="true" showInputMessage="true">
      <formula1>"Com impostos,Sem impostos"</formula1>
    </dataValidation>
    <dataValidation type="list" sqref="V548" allowBlank="true" errorStyle="stop" showErrorMessage="true" showInputMessage="true">
      <formula1>"Mercado Envios por conta do comprador,Mercado Envios grátis"</formula1>
    </dataValidation>
    <dataValidation type="list" sqref="W548" allowBlank="true" errorStyle="stop" showErrorMessage="true" showInputMessage="true">
      <formula1>"Clássico,Premium"</formula1>
    </dataValidation>
    <dataValidation type="list" sqref="J549" allowBlank="true" errorStyle="stop" showErrorMessage="true" showInputMessage="true">
      <formula1>"R$"</formula1>
    </dataValidation>
    <dataValidation type="list" sqref="K549" allowBlank="true" errorStyle="stop" showErrorMessage="true" showInputMessage="true">
      <formula1>"Com impostos,Sem impostos"</formula1>
    </dataValidation>
    <dataValidation type="list" sqref="V549" allowBlank="true" errorStyle="stop" showErrorMessage="true" showInputMessage="true">
      <formula1>"Mercado Envios por conta do comprador,Mercado Envios grátis"</formula1>
    </dataValidation>
    <dataValidation type="list" sqref="W549" allowBlank="true" errorStyle="stop" showErrorMessage="true" showInputMessage="true">
      <formula1>"Clássico,Premium"</formula1>
    </dataValidation>
    <dataValidation type="list" sqref="J550" allowBlank="true" errorStyle="stop" showErrorMessage="true" showInputMessage="true">
      <formula1>"R$"</formula1>
    </dataValidation>
    <dataValidation type="list" sqref="K550" allowBlank="true" errorStyle="stop" showErrorMessage="true" showInputMessage="true">
      <formula1>"Com impostos,Sem impostos"</formula1>
    </dataValidation>
    <dataValidation type="list" sqref="V550" allowBlank="true" errorStyle="stop" showErrorMessage="true" showInputMessage="true">
      <formula1>"Mercado Envios por conta do comprador,Mercado Envios grátis"</formula1>
    </dataValidation>
    <dataValidation type="list" sqref="W550" allowBlank="true" errorStyle="stop" showErrorMessage="true" showInputMessage="true">
      <formula1>"Clássico,Premium"</formula1>
    </dataValidation>
    <dataValidation type="list" sqref="J551" allowBlank="true" errorStyle="stop" showErrorMessage="true" showInputMessage="true">
      <formula1>"R$"</formula1>
    </dataValidation>
    <dataValidation type="list" sqref="K551" allowBlank="true" errorStyle="stop" showErrorMessage="true" showInputMessage="true">
      <formula1>"Com impostos,Sem impostos"</formula1>
    </dataValidation>
    <dataValidation type="list" sqref="V551" allowBlank="true" errorStyle="stop" showErrorMessage="true" showInputMessage="true">
      <formula1>"Mercado Envios por conta do comprador,Mercado Envios grátis"</formula1>
    </dataValidation>
    <dataValidation type="list" sqref="W551" allowBlank="true" errorStyle="stop" showErrorMessage="true" showInputMessage="true">
      <formula1>"Clássico,Premium"</formula1>
    </dataValidation>
    <dataValidation type="list" sqref="J552" allowBlank="true" errorStyle="stop" showErrorMessage="true" showInputMessage="true">
      <formula1>"R$"</formula1>
    </dataValidation>
    <dataValidation type="list" sqref="K552" allowBlank="true" errorStyle="stop" showErrorMessage="true" showInputMessage="true">
      <formula1>"Com impostos,Sem impostos"</formula1>
    </dataValidation>
    <dataValidation type="list" sqref="V552" allowBlank="true" errorStyle="stop" showErrorMessage="true" showInputMessage="true">
      <formula1>"Mercado Envios por conta do comprador,Mercado Envios grátis"</formula1>
    </dataValidation>
    <dataValidation type="list" sqref="W552" allowBlank="true" errorStyle="stop" showErrorMessage="true" showInputMessage="true">
      <formula1>"Clássico,Premium"</formula1>
    </dataValidation>
    <dataValidation type="list" sqref="J553" allowBlank="true" errorStyle="stop" showErrorMessage="true" showInputMessage="true">
      <formula1>"R$"</formula1>
    </dataValidation>
    <dataValidation type="list" sqref="K553" allowBlank="true" errorStyle="stop" showErrorMessage="true" showInputMessage="true">
      <formula1>"Com impostos,Sem impostos"</formula1>
    </dataValidation>
    <dataValidation type="list" sqref="V553" allowBlank="true" errorStyle="stop" showErrorMessage="true" showInputMessage="true">
      <formula1>"Mercado Envios por conta do comprador,Mercado Envios grátis"</formula1>
    </dataValidation>
    <dataValidation type="list" sqref="W553" allowBlank="true" errorStyle="stop" showErrorMessage="true" showInputMessage="true">
      <formula1>"Clássico,Premium"</formula1>
    </dataValidation>
    <dataValidation type="list" sqref="J554" allowBlank="true" errorStyle="stop" showErrorMessage="true" showInputMessage="true">
      <formula1>"R$"</formula1>
    </dataValidation>
    <dataValidation type="list" sqref="K554" allowBlank="true" errorStyle="stop" showErrorMessage="true" showInputMessage="true">
      <formula1>"Com impostos,Sem impostos"</formula1>
    </dataValidation>
    <dataValidation type="list" sqref="V554" allowBlank="true" errorStyle="stop" showErrorMessage="true" showInputMessage="true">
      <formula1>"Mercado Envios por conta do comprador,Mercado Envios grátis"</formula1>
    </dataValidation>
    <dataValidation type="list" sqref="W554" allowBlank="true" errorStyle="stop" showErrorMessage="true" showInputMessage="true">
      <formula1>"Clássico,Premium"</formula1>
    </dataValidation>
    <dataValidation type="list" sqref="J555" allowBlank="true" errorStyle="stop" showErrorMessage="true" showInputMessage="true">
      <formula1>"R$"</formula1>
    </dataValidation>
    <dataValidation type="list" sqref="K555" allowBlank="true" errorStyle="stop" showErrorMessage="true" showInputMessage="true">
      <formula1>"Com impostos,Sem impostos"</formula1>
    </dataValidation>
    <dataValidation type="list" sqref="V555" allowBlank="true" errorStyle="stop" showErrorMessage="true" showInputMessage="true">
      <formula1>"Mercado Envios por conta do comprador,Mercado Envios grátis"</formula1>
    </dataValidation>
    <dataValidation type="list" sqref="W555" allowBlank="true" errorStyle="stop" showErrorMessage="true" showInputMessage="true">
      <formula1>"Clássico,Premium"</formula1>
    </dataValidation>
    <dataValidation type="list" sqref="J556" allowBlank="true" errorStyle="stop" showErrorMessage="true" showInputMessage="true">
      <formula1>"R$"</formula1>
    </dataValidation>
    <dataValidation type="list" sqref="V556" allowBlank="true" errorStyle="stop" showErrorMessage="true" showInputMessage="true">
      <formula1>"Mercado Envios por conta do comprador,Mercado Envios grátis"</formula1>
    </dataValidation>
    <dataValidation type="list" sqref="W556" allowBlank="true" errorStyle="stop" showErrorMessage="true" showInputMessage="true">
      <formula1>"Clássico,Premium"</formula1>
    </dataValidation>
    <dataValidation type="list" sqref="J559" allowBlank="true" errorStyle="stop" showErrorMessage="true" showInputMessage="true">
      <formula1>"R$"</formula1>
    </dataValidation>
    <dataValidation type="list" sqref="K559" allowBlank="true" errorStyle="stop" showErrorMessage="true" showInputMessage="true">
      <formula1>"Com impostos,Sem impostos"</formula1>
    </dataValidation>
    <dataValidation type="list" sqref="V559" allowBlank="true" errorStyle="stop" showErrorMessage="true" showInputMessage="true">
      <formula1>"Mercado Envios por conta do comprador,Mercado Envios grátis"</formula1>
    </dataValidation>
    <dataValidation type="list" sqref="W559" allowBlank="true" errorStyle="stop" showErrorMessage="true" showInputMessage="true">
      <formula1>"Clássico,Premium"</formula1>
    </dataValidation>
    <dataValidation type="list" sqref="J560" allowBlank="true" errorStyle="stop" showErrorMessage="true" showInputMessage="true">
      <formula1>"R$"</formula1>
    </dataValidation>
    <dataValidation type="list" sqref="K560" allowBlank="true" errorStyle="stop" showErrorMessage="true" showInputMessage="true">
      <formula1>"Com impostos,Sem impostos"</formula1>
    </dataValidation>
    <dataValidation type="list" sqref="V560" allowBlank="true" errorStyle="stop" showErrorMessage="true" showInputMessage="true">
      <formula1>"Mercado Envios por conta do comprador,Mercado Envios grátis"</formula1>
    </dataValidation>
    <dataValidation type="list" sqref="W560" allowBlank="true" errorStyle="stop" showErrorMessage="true" showInputMessage="true">
      <formula1>"Clássico,Premium"</formula1>
    </dataValidation>
    <dataValidation type="list" sqref="J561" allowBlank="true" errorStyle="stop" showErrorMessage="true" showInputMessage="true">
      <formula1>"R$"</formula1>
    </dataValidation>
    <dataValidation type="list" sqref="K561" allowBlank="true" errorStyle="stop" showErrorMessage="true" showInputMessage="true">
      <formula1>"Com impostos,Sem impostos"</formula1>
    </dataValidation>
    <dataValidation type="list" sqref="V561" allowBlank="true" errorStyle="stop" showErrorMessage="true" showInputMessage="true">
      <formula1>"Mercado Envios por conta do comprador,Mercado Envios grátis"</formula1>
    </dataValidation>
    <dataValidation type="list" sqref="W561" allowBlank="true" errorStyle="stop" showErrorMessage="true" showInputMessage="true">
      <formula1>"Clássico,Premium"</formula1>
    </dataValidation>
    <dataValidation type="list" sqref="J562" allowBlank="true" errorStyle="stop" showErrorMessage="true" showInputMessage="true">
      <formula1>"R$"</formula1>
    </dataValidation>
    <dataValidation type="list" sqref="K562" allowBlank="true" errorStyle="stop" showErrorMessage="true" showInputMessage="true">
      <formula1>"Com impostos,Sem impostos"</formula1>
    </dataValidation>
    <dataValidation type="list" sqref="V562" allowBlank="true" errorStyle="stop" showErrorMessage="true" showInputMessage="true">
      <formula1>"Mercado Envios por conta do comprador,Mercado Envios grátis"</formula1>
    </dataValidation>
    <dataValidation type="list" sqref="W562" allowBlank="true" errorStyle="stop" showErrorMessage="true" showInputMessage="true">
      <formula1>"Clássico,Premium"</formula1>
    </dataValidation>
    <dataValidation type="list" sqref="J563" allowBlank="true" errorStyle="stop" showErrorMessage="true" showInputMessage="true">
      <formula1>"R$"</formula1>
    </dataValidation>
    <dataValidation type="list" sqref="K563" allowBlank="true" errorStyle="stop" showErrorMessage="true" showInputMessage="true">
      <formula1>"Com impostos,Sem impostos"</formula1>
    </dataValidation>
    <dataValidation type="list" sqref="V563" allowBlank="true" errorStyle="stop" showErrorMessage="true" showInputMessage="true">
      <formula1>"Mercado Envios por conta do comprador,Mercado Envios grátis"</formula1>
    </dataValidation>
    <dataValidation type="list" sqref="W563" allowBlank="true" errorStyle="stop" showErrorMessage="true" showInputMessage="true">
      <formula1>"Clássico,Premium"</formula1>
    </dataValidation>
    <dataValidation type="list" sqref="J564" allowBlank="true" errorStyle="stop" showErrorMessage="true" showInputMessage="true">
      <formula1>"R$"</formula1>
    </dataValidation>
    <dataValidation type="list" sqref="V564" allowBlank="true" errorStyle="stop" showErrorMessage="true" showInputMessage="true">
      <formula1>"Mercado Envios por conta do comprador,Mercado Envios grátis"</formula1>
    </dataValidation>
    <dataValidation type="list" sqref="W564" allowBlank="true" errorStyle="stop" showErrorMessage="true" showInputMessage="true">
      <formula1>"Clássico,Premium"</formula1>
    </dataValidation>
    <dataValidation type="list" sqref="J567" allowBlank="true" errorStyle="stop" showErrorMessage="true" showInputMessage="true">
      <formula1>"R$"</formula1>
    </dataValidation>
    <dataValidation type="list" sqref="K567" allowBlank="true" errorStyle="stop" showErrorMessage="true" showInputMessage="true">
      <formula1>"Com impostos,Sem impostos"</formula1>
    </dataValidation>
    <dataValidation type="list" sqref="V567" allowBlank="true" errorStyle="stop" showErrorMessage="true" showInputMessage="true">
      <formula1>"Mercado Envios por conta do comprador,Mercado Envios grátis"</formula1>
    </dataValidation>
    <dataValidation type="list" sqref="W567" allowBlank="true" errorStyle="stop" showErrorMessage="true" showInputMessage="true">
      <formula1>"Clássico,Premium"</formula1>
    </dataValidation>
    <dataValidation type="list" sqref="J568" allowBlank="true" errorStyle="stop" showErrorMessage="true" showInputMessage="true">
      <formula1>"R$"</formula1>
    </dataValidation>
    <dataValidation type="list" sqref="K568" allowBlank="true" errorStyle="stop" showErrorMessage="true" showInputMessage="true">
      <formula1>"Com impostos,Sem impostos"</formula1>
    </dataValidation>
    <dataValidation type="list" sqref="V568" allowBlank="true" errorStyle="stop" showErrorMessage="true" showInputMessage="true">
      <formula1>"Mercado Envios por conta do comprador,Mercado Envios grátis"</formula1>
    </dataValidation>
    <dataValidation type="list" sqref="W568" allowBlank="true" errorStyle="stop" showErrorMessage="true" showInputMessage="true">
      <formula1>"Clássico,Premium"</formula1>
    </dataValidation>
    <dataValidation type="list" sqref="J569" allowBlank="true" errorStyle="stop" showErrorMessage="true" showInputMessage="true">
      <formula1>"R$"</formula1>
    </dataValidation>
    <dataValidation type="list" sqref="K569" allowBlank="true" errorStyle="stop" showErrorMessage="true" showInputMessage="true">
      <formula1>"Com impostos,Sem impostos"</formula1>
    </dataValidation>
    <dataValidation type="list" sqref="V569" allowBlank="true" errorStyle="stop" showErrorMessage="true" showInputMessage="true">
      <formula1>"Mercado Envios por conta do comprador,Mercado Envios grátis"</formula1>
    </dataValidation>
    <dataValidation type="list" sqref="W569" allowBlank="true" errorStyle="stop" showErrorMessage="true" showInputMessage="true">
      <formula1>"Clássico,Premium"</formula1>
    </dataValidation>
    <dataValidation type="list" sqref="J570" allowBlank="true" errorStyle="stop" showErrorMessage="true" showInputMessage="true">
      <formula1>"R$"</formula1>
    </dataValidation>
    <dataValidation type="list" sqref="K570" allowBlank="true" errorStyle="stop" showErrorMessage="true" showInputMessage="true">
      <formula1>"Com impostos,Sem impostos"</formula1>
    </dataValidation>
    <dataValidation type="list" sqref="V570" allowBlank="true" errorStyle="stop" showErrorMessage="true" showInputMessage="true">
      <formula1>"Mercado Envios por conta do comprador,Mercado Envios grátis"</formula1>
    </dataValidation>
    <dataValidation type="list" sqref="W570" allowBlank="true" errorStyle="stop" showErrorMessage="true" showInputMessage="true">
      <formula1>"Clássico,Premium"</formula1>
    </dataValidation>
    <dataValidation type="list" sqref="J571" allowBlank="true" errorStyle="stop" showErrorMessage="true" showInputMessage="true">
      <formula1>"R$"</formula1>
    </dataValidation>
    <dataValidation type="list" sqref="K571" allowBlank="true" errorStyle="stop" showErrorMessage="true" showInputMessage="true">
      <formula1>"Com impostos,Sem impostos"</formula1>
    </dataValidation>
    <dataValidation type="list" sqref="V571" allowBlank="true" errorStyle="stop" showErrorMessage="true" showInputMessage="true">
      <formula1>"Mercado Envios por conta do comprador,Mercado Envios grátis"</formula1>
    </dataValidation>
    <dataValidation type="list" sqref="W571" allowBlank="true" errorStyle="stop" showErrorMessage="true" showInputMessage="true">
      <formula1>"Clássico,Premium"</formula1>
    </dataValidation>
    <dataValidation type="list" sqref="J572" allowBlank="true" errorStyle="stop" showErrorMessage="true" showInputMessage="true">
      <formula1>"R$"</formula1>
    </dataValidation>
    <dataValidation type="list" sqref="K572" allowBlank="true" errorStyle="stop" showErrorMessage="true" showInputMessage="true">
      <formula1>"Com impostos,Sem impostos"</formula1>
    </dataValidation>
    <dataValidation type="list" sqref="V572" allowBlank="true" errorStyle="stop" showErrorMessage="true" showInputMessage="true">
      <formula1>"Mercado Envios por conta do comprador,Mercado Envios grátis"</formula1>
    </dataValidation>
    <dataValidation type="list" sqref="W572" allowBlank="true" errorStyle="stop" showErrorMessage="true" showInputMessage="true">
      <formula1>"Clássico,Premium"</formula1>
    </dataValidation>
    <dataValidation type="list" sqref="J573" allowBlank="true" errorStyle="stop" showErrorMessage="true" showInputMessage="true">
      <formula1>"R$"</formula1>
    </dataValidation>
    <dataValidation type="list" sqref="K573" allowBlank="true" errorStyle="stop" showErrorMessage="true" showInputMessage="true">
      <formula1>"Com impostos,Sem impostos"</formula1>
    </dataValidation>
    <dataValidation type="list" sqref="V573" allowBlank="true" errorStyle="stop" showErrorMessage="true" showInputMessage="true">
      <formula1>"Mercado Envios por conta do comprador,Mercado Envios grátis"</formula1>
    </dataValidation>
    <dataValidation type="list" sqref="W573" allowBlank="true" errorStyle="stop" showErrorMessage="true" showInputMessage="true">
      <formula1>"Clássico,Premium"</formula1>
    </dataValidation>
    <dataValidation type="list" sqref="J574" allowBlank="true" errorStyle="stop" showErrorMessage="true" showInputMessage="true">
      <formula1>"R$"</formula1>
    </dataValidation>
    <dataValidation type="list" sqref="K574" allowBlank="true" errorStyle="stop" showErrorMessage="true" showInputMessage="true">
      <formula1>"Com impostos,Sem impostos"</formula1>
    </dataValidation>
    <dataValidation type="list" sqref="V574" allowBlank="true" errorStyle="stop" showErrorMessage="true" showInputMessage="true">
      <formula1>"Mercado Envios por conta do comprador,Mercado Envios grátis"</formula1>
    </dataValidation>
    <dataValidation type="list" sqref="W574" allowBlank="true" errorStyle="stop" showErrorMessage="true" showInputMessage="true">
      <formula1>"Clássico,Premium"</formula1>
    </dataValidation>
    <dataValidation type="list" sqref="J575" allowBlank="true" errorStyle="stop" showErrorMessage="true" showInputMessage="true">
      <formula1>"R$"</formula1>
    </dataValidation>
    <dataValidation type="list" sqref="K575" allowBlank="true" errorStyle="stop" showErrorMessage="true" showInputMessage="true">
      <formula1>"Com impostos,Sem impostos"</formula1>
    </dataValidation>
    <dataValidation type="list" sqref="V575" allowBlank="true" errorStyle="stop" showErrorMessage="true" showInputMessage="true">
      <formula1>"Mercado Envios por conta do comprador,Mercado Envios grátis"</formula1>
    </dataValidation>
    <dataValidation type="list" sqref="W575" allowBlank="true" errorStyle="stop" showErrorMessage="true" showInputMessage="true">
      <formula1>"Clássico,Premium"</formula1>
    </dataValidation>
    <dataValidation type="list" sqref="J576" allowBlank="true" errorStyle="stop" showErrorMessage="true" showInputMessage="true">
      <formula1>"R$"</formula1>
    </dataValidation>
    <dataValidation type="list" sqref="V576" allowBlank="true" errorStyle="stop" showErrorMessage="true" showInputMessage="true">
      <formula1>"Mercado Envios por conta do comprador,Mercado Envios grátis"</formula1>
    </dataValidation>
    <dataValidation type="list" sqref="W576" allowBlank="true" errorStyle="stop" showErrorMessage="true" showInputMessage="true">
      <formula1>"Clássico,Premium"</formula1>
    </dataValidation>
    <dataValidation type="list" sqref="J579" allowBlank="true" errorStyle="stop" showErrorMessage="true" showInputMessage="true">
      <formula1>"R$"</formula1>
    </dataValidation>
    <dataValidation type="list" sqref="V579" allowBlank="true" errorStyle="stop" showErrorMessage="true" showInputMessage="true">
      <formula1>"Mercado Envios por conta do comprador,Mercado Envios grátis"</formula1>
    </dataValidation>
    <dataValidation type="list" sqref="W579" allowBlank="true" errorStyle="stop" showErrorMessage="true" showInputMessage="true">
      <formula1>"Clássico,Premium"</formula1>
    </dataValidation>
    <dataValidation type="list" sqref="J582" allowBlank="true" errorStyle="stop" showErrorMessage="true" showInputMessage="true">
      <formula1>"R$"</formula1>
    </dataValidation>
    <dataValidation type="list" sqref="K582" allowBlank="true" errorStyle="stop" showErrorMessage="true" showInputMessage="true">
      <formula1>"Com impostos,Sem impostos"</formula1>
    </dataValidation>
    <dataValidation type="list" sqref="V582" allowBlank="true" errorStyle="stop" showErrorMessage="true" showInputMessage="true">
      <formula1>"Mercado Envios por conta do comprador,Mercado Envios grátis"</formula1>
    </dataValidation>
    <dataValidation type="list" sqref="W582" allowBlank="true" errorStyle="stop" showErrorMessage="true" showInputMessage="true">
      <formula1>"Clássico,Premium"</formula1>
    </dataValidation>
    <dataValidation type="list" sqref="J583" allowBlank="true" errorStyle="stop" showErrorMessage="true" showInputMessage="true">
      <formula1>"R$"</formula1>
    </dataValidation>
    <dataValidation type="list" sqref="K583" allowBlank="true" errorStyle="stop" showErrorMessage="true" showInputMessage="true">
      <formula1>"Com impostos,Sem impostos"</formula1>
    </dataValidation>
    <dataValidation type="list" sqref="V583" allowBlank="true" errorStyle="stop" showErrorMessage="true" showInputMessage="true">
      <formula1>"Mercado Envios por conta do comprador,Mercado Envios grátis"</formula1>
    </dataValidation>
    <dataValidation type="list" sqref="W583" allowBlank="true" errorStyle="stop" showErrorMessage="true" showInputMessage="true">
      <formula1>"Clássico,Premium"</formula1>
    </dataValidation>
    <dataValidation type="list" sqref="J584" allowBlank="true" errorStyle="stop" showErrorMessage="true" showInputMessage="true">
      <formula1>"R$"</formula1>
    </dataValidation>
    <dataValidation type="list" sqref="K584" allowBlank="true" errorStyle="stop" showErrorMessage="true" showInputMessage="true">
      <formula1>"Com impostos,Sem impostos"</formula1>
    </dataValidation>
    <dataValidation type="list" sqref="V584" allowBlank="true" errorStyle="stop" showErrorMessage="true" showInputMessage="true">
      <formula1>"Mercado Envios por conta do comprador,Mercado Envios grátis"</formula1>
    </dataValidation>
    <dataValidation type="list" sqref="W584" allowBlank="true" errorStyle="stop" showErrorMessage="true" showInputMessage="true">
      <formula1>"Clássico,Premium"</formula1>
    </dataValidation>
    <dataValidation type="list" sqref="J585" allowBlank="true" errorStyle="stop" showErrorMessage="true" showInputMessage="true">
      <formula1>"R$"</formula1>
    </dataValidation>
    <dataValidation type="list" sqref="V585" allowBlank="true" errorStyle="stop" showErrorMessage="true" showInputMessage="true">
      <formula1>"Mercado Envios por conta do comprador,Mercado Envios grátis"</formula1>
    </dataValidation>
    <dataValidation type="list" sqref="W585" allowBlank="true" errorStyle="stop" showErrorMessage="true" showInputMessage="true">
      <formula1>"Clássico,Premium"</formula1>
    </dataValidation>
    <dataValidation type="list" sqref="J588" allowBlank="true" errorStyle="stop" showErrorMessage="true" showInputMessage="true">
      <formula1>"R$"</formula1>
    </dataValidation>
    <dataValidation type="list" sqref="K588" allowBlank="true" errorStyle="stop" showErrorMessage="true" showInputMessage="true">
      <formula1>"Com impostos,Sem impostos"</formula1>
    </dataValidation>
    <dataValidation type="list" sqref="V588" allowBlank="true" errorStyle="stop" showErrorMessage="true" showInputMessage="true">
      <formula1>"Mercado Envios por conta do comprador,Mercado Envios grátis"</formula1>
    </dataValidation>
    <dataValidation type="list" sqref="W588" allowBlank="true" errorStyle="stop" showErrorMessage="true" showInputMessage="true">
      <formula1>"Clássico,Premium"</formula1>
    </dataValidation>
    <dataValidation type="list" sqref="J589" allowBlank="true" errorStyle="stop" showErrorMessage="true" showInputMessage="true">
      <formula1>"R$"</formula1>
    </dataValidation>
    <dataValidation type="list" sqref="K589" allowBlank="true" errorStyle="stop" showErrorMessage="true" showInputMessage="true">
      <formula1>"Com impostos,Sem impostos"</formula1>
    </dataValidation>
    <dataValidation type="list" sqref="V589" allowBlank="true" errorStyle="stop" showErrorMessage="true" showInputMessage="true">
      <formula1>"Mercado Envios por conta do comprador,Mercado Envios grátis"</formula1>
    </dataValidation>
    <dataValidation type="list" sqref="W589" allowBlank="true" errorStyle="stop" showErrorMessage="true" showInputMessage="true">
      <formula1>"Clássico,Premium"</formula1>
    </dataValidation>
    <dataValidation type="list" sqref="J590" allowBlank="true" errorStyle="stop" showErrorMessage="true" showInputMessage="true">
      <formula1>"R$"</formula1>
    </dataValidation>
    <dataValidation type="list" sqref="K590" allowBlank="true" errorStyle="stop" showErrorMessage="true" showInputMessage="true">
      <formula1>"Com impostos,Sem impostos"</formula1>
    </dataValidation>
    <dataValidation type="list" sqref="V590" allowBlank="true" errorStyle="stop" showErrorMessage="true" showInputMessage="true">
      <formula1>"Mercado Envios por conta do comprador,Mercado Envios grátis"</formula1>
    </dataValidation>
    <dataValidation type="list" sqref="W590" allowBlank="true" errorStyle="stop" showErrorMessage="true" showInputMessage="true">
      <formula1>"Clássico,Premium"</formula1>
    </dataValidation>
    <dataValidation type="list" sqref="J591" allowBlank="true" errorStyle="stop" showErrorMessage="true" showInputMessage="true">
      <formula1>"R$"</formula1>
    </dataValidation>
    <dataValidation type="list" sqref="K591" allowBlank="true" errorStyle="stop" showErrorMessage="true" showInputMessage="true">
      <formula1>"Com impostos,Sem impostos"</formula1>
    </dataValidation>
    <dataValidation type="list" sqref="V591" allowBlank="true" errorStyle="stop" showErrorMessage="true" showInputMessage="true">
      <formula1>"Mercado Envios por conta do comprador,Mercado Envios grátis"</formula1>
    </dataValidation>
    <dataValidation type="list" sqref="W591" allowBlank="true" errorStyle="stop" showErrorMessage="true" showInputMessage="true">
      <formula1>"Clássico,Premium"</formula1>
    </dataValidation>
    <dataValidation type="list" sqref="J592" allowBlank="true" errorStyle="stop" showErrorMessage="true" showInputMessage="true">
      <formula1>"R$"</formula1>
    </dataValidation>
    <dataValidation type="list" sqref="K592" allowBlank="true" errorStyle="stop" showErrorMessage="true" showInputMessage="true">
      <formula1>"Com impostos,Sem impostos"</formula1>
    </dataValidation>
    <dataValidation type="list" sqref="V592" allowBlank="true" errorStyle="stop" showErrorMessage="true" showInputMessage="true">
      <formula1>"Mercado Envios por conta do comprador,Mercado Envios grátis"</formula1>
    </dataValidation>
    <dataValidation type="list" sqref="W592" allowBlank="true" errorStyle="stop" showErrorMessage="true" showInputMessage="true">
      <formula1>"Clássico,Premium"</formula1>
    </dataValidation>
    <dataValidation type="list" sqref="J593" allowBlank="true" errorStyle="stop" showErrorMessage="true" showInputMessage="true">
      <formula1>"R$"</formula1>
    </dataValidation>
    <dataValidation type="list" sqref="K593" allowBlank="true" errorStyle="stop" showErrorMessage="true" showInputMessage="true">
      <formula1>"Com impostos,Sem impostos"</formula1>
    </dataValidation>
    <dataValidation type="list" sqref="V593" allowBlank="true" errorStyle="stop" showErrorMessage="true" showInputMessage="true">
      <formula1>"Mercado Envios por conta do comprador,Mercado Envios grátis"</formula1>
    </dataValidation>
    <dataValidation type="list" sqref="W593" allowBlank="true" errorStyle="stop" showErrorMessage="true" showInputMessage="true">
      <formula1>"Clássico,Premium"</formula1>
    </dataValidation>
    <dataValidation type="list" sqref="J594" allowBlank="true" errorStyle="stop" showErrorMessage="true" showInputMessage="true">
      <formula1>"R$"</formula1>
    </dataValidation>
    <dataValidation type="list" sqref="K594" allowBlank="true" errorStyle="stop" showErrorMessage="true" showInputMessage="true">
      <formula1>"Com impostos,Sem impostos"</formula1>
    </dataValidation>
    <dataValidation type="list" sqref="V594" allowBlank="true" errorStyle="stop" showErrorMessage="true" showInputMessage="true">
      <formula1>"Mercado Envios por conta do comprador,Mercado Envios grátis"</formula1>
    </dataValidation>
    <dataValidation type="list" sqref="W594" allowBlank="true" errorStyle="stop" showErrorMessage="true" showInputMessage="true">
      <formula1>"Clássico,Premium"</formula1>
    </dataValidation>
    <dataValidation type="list" sqref="J595" allowBlank="true" errorStyle="stop" showErrorMessage="true" showInputMessage="true">
      <formula1>"R$"</formula1>
    </dataValidation>
    <dataValidation type="list" sqref="K595" allowBlank="true" errorStyle="stop" showErrorMessage="true" showInputMessage="true">
      <formula1>"Com impostos,Sem impostos"</formula1>
    </dataValidation>
    <dataValidation type="list" sqref="V595" allowBlank="true" errorStyle="stop" showErrorMessage="true" showInputMessage="true">
      <formula1>"Mercado Envios por conta do comprador,Mercado Envios grátis"</formula1>
    </dataValidation>
    <dataValidation type="list" sqref="W595" allowBlank="true" errorStyle="stop" showErrorMessage="true" showInputMessage="true">
      <formula1>"Clássico,Premium"</formula1>
    </dataValidation>
    <dataValidation type="list" sqref="J596" allowBlank="true" errorStyle="stop" showErrorMessage="true" showInputMessage="true">
      <formula1>"R$"</formula1>
    </dataValidation>
    <dataValidation type="list" sqref="V596" allowBlank="true" errorStyle="stop" showErrorMessage="true" showInputMessage="true">
      <formula1>"Mercado Envios por conta do comprador,Mercado Envios grátis"</formula1>
    </dataValidation>
    <dataValidation type="list" sqref="W596" allowBlank="true" errorStyle="stop" showErrorMessage="true" showInputMessage="true">
      <formula1>"Clássico,Premium"</formula1>
    </dataValidation>
    <dataValidation type="list" sqref="J599" allowBlank="true" errorStyle="stop" showErrorMessage="true" showInputMessage="true">
      <formula1>"R$"</formula1>
    </dataValidation>
    <dataValidation type="list" sqref="K599" allowBlank="true" errorStyle="stop" showErrorMessage="true" showInputMessage="true">
      <formula1>"Com impostos,Sem impostos"</formula1>
    </dataValidation>
    <dataValidation type="list" sqref="V599" allowBlank="true" errorStyle="stop" showErrorMessage="true" showInputMessage="true">
      <formula1>"Mercado Envios por conta do comprador,Mercado Envios grátis"</formula1>
    </dataValidation>
    <dataValidation type="list" sqref="W599" allowBlank="true" errorStyle="stop" showErrorMessage="true" showInputMessage="true">
      <formula1>"Clássico,Premium"</formula1>
    </dataValidation>
    <dataValidation type="list" sqref="J600" allowBlank="true" errorStyle="stop" showErrorMessage="true" showInputMessage="true">
      <formula1>"R$"</formula1>
    </dataValidation>
    <dataValidation type="list" sqref="K600" allowBlank="true" errorStyle="stop" showErrorMessage="true" showInputMessage="true">
      <formula1>"Com impostos,Sem impostos"</formula1>
    </dataValidation>
    <dataValidation type="list" sqref="V600" allowBlank="true" errorStyle="stop" showErrorMessage="true" showInputMessage="true">
      <formula1>"Mercado Envios por conta do comprador,Mercado Envios grátis"</formula1>
    </dataValidation>
    <dataValidation type="list" sqref="W600" allowBlank="true" errorStyle="stop" showErrorMessage="true" showInputMessage="true">
      <formula1>"Clássico,Premium"</formula1>
    </dataValidation>
    <dataValidation type="list" sqref="J601" allowBlank="true" errorStyle="stop" showErrorMessage="true" showInputMessage="true">
      <formula1>"R$"</formula1>
    </dataValidation>
    <dataValidation type="list" sqref="K601" allowBlank="true" errorStyle="stop" showErrorMessage="true" showInputMessage="true">
      <formula1>"Com impostos,Sem impostos"</formula1>
    </dataValidation>
    <dataValidation type="list" sqref="V601" allowBlank="true" errorStyle="stop" showErrorMessage="true" showInputMessage="true">
      <formula1>"Mercado Envios por conta do comprador,Mercado Envios grátis"</formula1>
    </dataValidation>
    <dataValidation type="list" sqref="W601" allowBlank="true" errorStyle="stop" showErrorMessage="true" showInputMessage="true">
      <formula1>"Clássico,Premium"</formula1>
    </dataValidation>
    <dataValidation type="list" sqref="J602" allowBlank="true" errorStyle="stop" showErrorMessage="true" showInputMessage="true">
      <formula1>"R$"</formula1>
    </dataValidation>
    <dataValidation type="list" sqref="K602" allowBlank="true" errorStyle="stop" showErrorMessage="true" showInputMessage="true">
      <formula1>"Com impostos,Sem impostos"</formula1>
    </dataValidation>
    <dataValidation type="list" sqref="V602" allowBlank="true" errorStyle="stop" showErrorMessage="true" showInputMessage="true">
      <formula1>"Mercado Envios por conta do comprador,Mercado Envios grátis"</formula1>
    </dataValidation>
    <dataValidation type="list" sqref="W602" allowBlank="true" errorStyle="stop" showErrorMessage="true" showInputMessage="true">
      <formula1>"Clássico,Premium"</formula1>
    </dataValidation>
    <dataValidation type="list" sqref="J603" allowBlank="true" errorStyle="stop" showErrorMessage="true" showInputMessage="true">
      <formula1>"R$"</formula1>
    </dataValidation>
    <dataValidation type="list" sqref="K603" allowBlank="true" errorStyle="stop" showErrorMessage="true" showInputMessage="true">
      <formula1>"Com impostos,Sem impostos"</formula1>
    </dataValidation>
    <dataValidation type="list" sqref="V603" allowBlank="true" errorStyle="stop" showErrorMessage="true" showInputMessage="true">
      <formula1>"Mercado Envios por conta do comprador,Mercado Envios grátis"</formula1>
    </dataValidation>
    <dataValidation type="list" sqref="W603" allowBlank="true" errorStyle="stop" showErrorMessage="true" showInputMessage="true">
      <formula1>"Clássico,Premium"</formula1>
    </dataValidation>
    <dataValidation type="list" sqref="J604" allowBlank="true" errorStyle="stop" showErrorMessage="true" showInputMessage="true">
      <formula1>"R$"</formula1>
    </dataValidation>
    <dataValidation type="list" sqref="K604" allowBlank="true" errorStyle="stop" showErrorMessage="true" showInputMessage="true">
      <formula1>"Com impostos,Sem impostos"</formula1>
    </dataValidation>
    <dataValidation type="list" sqref="V604" allowBlank="true" errorStyle="stop" showErrorMessage="true" showInputMessage="true">
      <formula1>"Mercado Envios por conta do comprador,Mercado Envios grátis"</formula1>
    </dataValidation>
    <dataValidation type="list" sqref="W604" allowBlank="true" errorStyle="stop" showErrorMessage="true" showInputMessage="true">
      <formula1>"Clássico,Premium"</formula1>
    </dataValidation>
    <dataValidation type="list" sqref="J605" allowBlank="true" errorStyle="stop" showErrorMessage="true" showInputMessage="true">
      <formula1>"R$"</formula1>
    </dataValidation>
    <dataValidation type="list" sqref="K605" allowBlank="true" errorStyle="stop" showErrorMessage="true" showInputMessage="true">
      <formula1>"Com impostos,Sem impostos"</formula1>
    </dataValidation>
    <dataValidation type="list" sqref="V605" allowBlank="true" errorStyle="stop" showErrorMessage="true" showInputMessage="true">
      <formula1>"Mercado Envios por conta do comprador,Mercado Envios grátis"</formula1>
    </dataValidation>
    <dataValidation type="list" sqref="W605" allowBlank="true" errorStyle="stop" showErrorMessage="true" showInputMessage="true">
      <formula1>"Clássico,Premium"</formula1>
    </dataValidation>
    <dataValidation type="list" sqref="J606" allowBlank="true" errorStyle="stop" showErrorMessage="true" showInputMessage="true">
      <formula1>"R$"</formula1>
    </dataValidation>
    <dataValidation type="list" sqref="K606" allowBlank="true" errorStyle="stop" showErrorMessage="true" showInputMessage="true">
      <formula1>"Com impostos,Sem impostos"</formula1>
    </dataValidation>
    <dataValidation type="list" sqref="V606" allowBlank="true" errorStyle="stop" showErrorMessage="true" showInputMessage="true">
      <formula1>"Mercado Envios por conta do comprador,Mercado Envios grátis"</formula1>
    </dataValidation>
    <dataValidation type="list" sqref="W606" allowBlank="true" errorStyle="stop" showErrorMessage="true" showInputMessage="true">
      <formula1>"Clássico,Premium"</formula1>
    </dataValidation>
    <dataValidation type="list" sqref="J607" allowBlank="true" errorStyle="stop" showErrorMessage="true" showInputMessage="true">
      <formula1>"R$"</formula1>
    </dataValidation>
    <dataValidation type="list" sqref="K607" allowBlank="true" errorStyle="stop" showErrorMessage="true" showInputMessage="true">
      <formula1>"Com impostos,Sem impostos"</formula1>
    </dataValidation>
    <dataValidation type="list" sqref="V607" allowBlank="true" errorStyle="stop" showErrorMessage="true" showInputMessage="true">
      <formula1>"Mercado Envios por conta do comprador,Mercado Envios grátis"</formula1>
    </dataValidation>
    <dataValidation type="list" sqref="W607" allowBlank="true" errorStyle="stop" showErrorMessage="true" showInputMessage="true">
      <formula1>"Clássico,Premium"</formula1>
    </dataValidation>
    <dataValidation type="list" sqref="J608" allowBlank="true" errorStyle="stop" showErrorMessage="true" showInputMessage="true">
      <formula1>"R$"</formula1>
    </dataValidation>
    <dataValidation type="list" sqref="K608" allowBlank="true" errorStyle="stop" showErrorMessage="true" showInputMessage="true">
      <formula1>"Com impostos,Sem impostos"</formula1>
    </dataValidation>
    <dataValidation type="list" sqref="V608" allowBlank="true" errorStyle="stop" showErrorMessage="true" showInputMessage="true">
      <formula1>"Mercado Envios por conta do comprador,Mercado Envios grátis"</formula1>
    </dataValidation>
    <dataValidation type="list" sqref="W608" allowBlank="true" errorStyle="stop" showErrorMessage="true" showInputMessage="true">
      <formula1>"Clássico,Premium"</formula1>
    </dataValidation>
    <dataValidation type="list" sqref="J609" allowBlank="true" errorStyle="stop" showErrorMessage="true" showInputMessage="true">
      <formula1>"R$"</formula1>
    </dataValidation>
    <dataValidation type="list" sqref="K609" allowBlank="true" errorStyle="stop" showErrorMessage="true" showInputMessage="true">
      <formula1>"Com impostos,Sem impostos"</formula1>
    </dataValidation>
    <dataValidation type="list" sqref="V609" allowBlank="true" errorStyle="stop" showErrorMessage="true" showInputMessage="true">
      <formula1>"Mercado Envios por conta do comprador,Mercado Envios grátis"</formula1>
    </dataValidation>
    <dataValidation type="list" sqref="W609" allowBlank="true" errorStyle="stop" showErrorMessage="true" showInputMessage="true">
      <formula1>"Clássico,Premium"</formula1>
    </dataValidation>
    <dataValidation type="list" sqref="J610" allowBlank="true" errorStyle="stop" showErrorMessage="true" showInputMessage="true">
      <formula1>"R$"</formula1>
    </dataValidation>
    <dataValidation type="list" sqref="K610" allowBlank="true" errorStyle="stop" showErrorMessage="true" showInputMessage="true">
      <formula1>"Com impostos,Sem impostos"</formula1>
    </dataValidation>
    <dataValidation type="list" sqref="V610" allowBlank="true" errorStyle="stop" showErrorMessage="true" showInputMessage="true">
      <formula1>"Mercado Envios por conta do comprador,Mercado Envios grátis"</formula1>
    </dataValidation>
    <dataValidation type="list" sqref="W610" allowBlank="true" errorStyle="stop" showErrorMessage="true" showInputMessage="true">
      <formula1>"Clássico,Premium"</formula1>
    </dataValidation>
    <dataValidation type="list" sqref="J611" allowBlank="true" errorStyle="stop" showErrorMessage="true" showInputMessage="true">
      <formula1>"R$"</formula1>
    </dataValidation>
    <dataValidation type="list" sqref="K611" allowBlank="true" errorStyle="stop" showErrorMessage="true" showInputMessage="true">
      <formula1>"Com impostos,Sem impostos"</formula1>
    </dataValidation>
    <dataValidation type="list" sqref="V611" allowBlank="true" errorStyle="stop" showErrorMessage="true" showInputMessage="true">
      <formula1>"Mercado Envios por conta do comprador,Mercado Envios grátis"</formula1>
    </dataValidation>
    <dataValidation type="list" sqref="W611" allowBlank="true" errorStyle="stop" showErrorMessage="true" showInputMessage="true">
      <formula1>"Clássico,Premium"</formula1>
    </dataValidation>
    <dataValidation type="list" sqref="J612" allowBlank="true" errorStyle="stop" showErrorMessage="true" showInputMessage="true">
      <formula1>"R$"</formula1>
    </dataValidation>
    <dataValidation type="list" sqref="K612" allowBlank="true" errorStyle="stop" showErrorMessage="true" showInputMessage="true">
      <formula1>"Com impostos,Sem impostos"</formula1>
    </dataValidation>
    <dataValidation type="list" sqref="V612" allowBlank="true" errorStyle="stop" showErrorMessage="true" showInputMessage="true">
      <formula1>"Mercado Envios por conta do comprador,Mercado Envios grátis"</formula1>
    </dataValidation>
    <dataValidation type="list" sqref="W612" allowBlank="true" errorStyle="stop" showErrorMessage="true" showInputMessage="true">
      <formula1>"Clássico,Premium"</formula1>
    </dataValidation>
    <dataValidation type="list" sqref="J613" allowBlank="true" errorStyle="stop" showErrorMessage="true" showInputMessage="true">
      <formula1>"R$"</formula1>
    </dataValidation>
    <dataValidation type="list" sqref="K613" allowBlank="true" errorStyle="stop" showErrorMessage="true" showInputMessage="true">
      <formula1>"Com impostos,Sem impostos"</formula1>
    </dataValidation>
    <dataValidation type="list" sqref="V613" allowBlank="true" errorStyle="stop" showErrorMessage="true" showInputMessage="true">
      <formula1>"Mercado Envios por conta do comprador,Mercado Envios grátis"</formula1>
    </dataValidation>
    <dataValidation type="list" sqref="W613" allowBlank="true" errorStyle="stop" showErrorMessage="true" showInputMessage="true">
      <formula1>"Clássico,Premium"</formula1>
    </dataValidation>
    <dataValidation type="list" sqref="J614" allowBlank="true" errorStyle="stop" showErrorMessage="true" showInputMessage="true">
      <formula1>"R$"</formula1>
    </dataValidation>
    <dataValidation type="list" sqref="K614" allowBlank="true" errorStyle="stop" showErrorMessage="true" showInputMessage="true">
      <formula1>"Com impostos,Sem impostos"</formula1>
    </dataValidation>
    <dataValidation type="list" sqref="V614" allowBlank="true" errorStyle="stop" showErrorMessage="true" showInputMessage="true">
      <formula1>"Mercado Envios por conta do comprador,Mercado Envios grátis"</formula1>
    </dataValidation>
    <dataValidation type="list" sqref="W614" allowBlank="true" errorStyle="stop" showErrorMessage="true" showInputMessage="true">
      <formula1>"Clássico,Premium"</formula1>
    </dataValidation>
    <dataValidation type="list" sqref="J615" allowBlank="true" errorStyle="stop" showErrorMessage="true" showInputMessage="true">
      <formula1>"R$"</formula1>
    </dataValidation>
    <dataValidation type="list" sqref="K615" allowBlank="true" errorStyle="stop" showErrorMessage="true" showInputMessage="true">
      <formula1>"Com impostos,Sem impostos"</formula1>
    </dataValidation>
    <dataValidation type="list" sqref="V615" allowBlank="true" errorStyle="stop" showErrorMessage="true" showInputMessage="true">
      <formula1>"Mercado Envios por conta do comprador,Mercado Envios grátis"</formula1>
    </dataValidation>
    <dataValidation type="list" sqref="W615" allowBlank="true" errorStyle="stop" showErrorMessage="true" showInputMessage="true">
      <formula1>"Clássico,Premium"</formula1>
    </dataValidation>
    <dataValidation type="list" sqref="J616" allowBlank="true" errorStyle="stop" showErrorMessage="true" showInputMessage="true">
      <formula1>"R$"</formula1>
    </dataValidation>
    <dataValidation type="list" sqref="K616" allowBlank="true" errorStyle="stop" showErrorMessage="true" showInputMessage="true">
      <formula1>"Com impostos,Sem impostos"</formula1>
    </dataValidation>
    <dataValidation type="list" sqref="V616" allowBlank="true" errorStyle="stop" showErrorMessage="true" showInputMessage="true">
      <formula1>"Mercado Envios por conta do comprador,Mercado Envios grátis"</formula1>
    </dataValidation>
    <dataValidation type="list" sqref="W616" allowBlank="true" errorStyle="stop" showErrorMessage="true" showInputMessage="true">
      <formula1>"Clássico,Premium"</formula1>
    </dataValidation>
    <dataValidation type="list" sqref="J617" allowBlank="true" errorStyle="stop" showErrorMessage="true" showInputMessage="true">
      <formula1>"R$"</formula1>
    </dataValidation>
    <dataValidation type="list" sqref="V617" allowBlank="true" errorStyle="stop" showErrorMessage="true" showInputMessage="true">
      <formula1>"Mercado Envios por conta do comprador,Mercado Envios grátis"</formula1>
    </dataValidation>
    <dataValidation type="list" sqref="W617" allowBlank="true" errorStyle="stop" showErrorMessage="true" showInputMessage="true">
      <formula1>"Clássico,Premium"</formula1>
    </dataValidation>
    <dataValidation type="list" sqref="J620" allowBlank="true" errorStyle="stop" showErrorMessage="true" showInputMessage="true">
      <formula1>"R$"</formula1>
    </dataValidation>
    <dataValidation type="list" sqref="K620" allowBlank="true" errorStyle="stop" showErrorMessage="true" showInputMessage="true">
      <formula1>"Com impostos,Sem impostos"</formula1>
    </dataValidation>
    <dataValidation type="list" sqref="V620" allowBlank="true" errorStyle="stop" showErrorMessage="true" showInputMessage="true">
      <formula1>"Mercado Envios por conta do comprador,Mercado Envios grátis"</formula1>
    </dataValidation>
    <dataValidation type="list" sqref="W620" allowBlank="true" errorStyle="stop" showErrorMessage="true" showInputMessage="true">
      <formula1>"Clássico,Premium"</formula1>
    </dataValidation>
    <dataValidation type="list" sqref="J621" allowBlank="true" errorStyle="stop" showErrorMessage="true" showInputMessage="true">
      <formula1>"R$"</formula1>
    </dataValidation>
    <dataValidation type="list" sqref="V621" allowBlank="true" errorStyle="stop" showErrorMessage="true" showInputMessage="true">
      <formula1>"Mercado Envios por conta do comprador,Mercado Envios grátis"</formula1>
    </dataValidation>
    <dataValidation type="list" sqref="W621" allowBlank="true" errorStyle="stop" showErrorMessage="true" showInputMessage="true">
      <formula1>"Clássico,Premium"</formula1>
    </dataValidation>
    <dataValidation type="list" sqref="J622" allowBlank="true" errorStyle="stop" showErrorMessage="true" showInputMessage="true">
      <formula1>"R$"</formula1>
    </dataValidation>
    <dataValidation type="list" sqref="K622" allowBlank="true" errorStyle="stop" showErrorMessage="true" showInputMessage="true">
      <formula1>"Com impostos,Sem impostos"</formula1>
    </dataValidation>
    <dataValidation type="list" sqref="V622" allowBlank="true" errorStyle="stop" showErrorMessage="true" showInputMessage="true">
      <formula1>"Mercado Envios por conta do comprador,Mercado Envios grátis"</formula1>
    </dataValidation>
    <dataValidation type="list" sqref="W622" allowBlank="true" errorStyle="stop" showErrorMessage="true" showInputMessage="true">
      <formula1>"Clássico,Premium"</formula1>
    </dataValidation>
    <dataValidation type="list" sqref="J623" allowBlank="true" errorStyle="stop" showErrorMessage="true" showInputMessage="true">
      <formula1>"R$"</formula1>
    </dataValidation>
    <dataValidation type="list" sqref="V623" allowBlank="true" errorStyle="stop" showErrorMessage="true" showInputMessage="true">
      <formula1>"Mercado Envios por conta do comprador,Mercado Envios grátis"</formula1>
    </dataValidation>
    <dataValidation type="list" sqref="W623" allowBlank="true" errorStyle="stop" showErrorMessage="true" showInputMessage="true">
      <formula1>"Clássico,Premium"</formula1>
    </dataValidation>
    <dataValidation type="list" sqref="J624" allowBlank="true" errorStyle="stop" showErrorMessage="true" showInputMessage="true">
      <formula1>"R$"</formula1>
    </dataValidation>
    <dataValidation type="list" sqref="K624" allowBlank="true" errorStyle="stop" showErrorMessage="true" showInputMessage="true">
      <formula1>"Com impostos,Sem impostos"</formula1>
    </dataValidation>
    <dataValidation type="list" sqref="V624" allowBlank="true" errorStyle="stop" showErrorMessage="true" showInputMessage="true">
      <formula1>"Mercado Envios por conta do comprador,Mercado Envios grátis"</formula1>
    </dataValidation>
    <dataValidation type="list" sqref="W624" allowBlank="true" errorStyle="stop" showErrorMessage="true" showInputMessage="true">
      <formula1>"Clássico,Premium"</formula1>
    </dataValidation>
    <dataValidation type="list" sqref="J625" allowBlank="true" errorStyle="stop" showErrorMessage="true" showInputMessage="true">
      <formula1>"R$"</formula1>
    </dataValidation>
    <dataValidation type="list" sqref="K625" allowBlank="true" errorStyle="stop" showErrorMessage="true" showInputMessage="true">
      <formula1>"Com impostos,Sem impostos"</formula1>
    </dataValidation>
    <dataValidation type="list" sqref="V625" allowBlank="true" errorStyle="stop" showErrorMessage="true" showInputMessage="true">
      <formula1>"Mercado Envios por conta do comprador,Mercado Envios grátis"</formula1>
    </dataValidation>
    <dataValidation type="list" sqref="W625" allowBlank="true" errorStyle="stop" showErrorMessage="true" showInputMessage="true">
      <formula1>"Clássico,Premium"</formula1>
    </dataValidation>
    <dataValidation type="list" sqref="J626" allowBlank="true" errorStyle="stop" showErrorMessage="true" showInputMessage="true">
      <formula1>"R$"</formula1>
    </dataValidation>
    <dataValidation type="list" sqref="K626" allowBlank="true" errorStyle="stop" showErrorMessage="true" showInputMessage="true">
      <formula1>"Com impostos,Sem impostos"</formula1>
    </dataValidation>
    <dataValidation type="list" sqref="V626" allowBlank="true" errorStyle="stop" showErrorMessage="true" showInputMessage="true">
      <formula1>"Mercado Envios por conta do comprador,Mercado Envios grátis"</formula1>
    </dataValidation>
    <dataValidation type="list" sqref="W626" allowBlank="true" errorStyle="stop" showErrorMessage="true" showInputMessage="true">
      <formula1>"Clássico,Premium"</formula1>
    </dataValidation>
    <dataValidation type="list" sqref="J627" allowBlank="true" errorStyle="stop" showErrorMessage="true" showInputMessage="true">
      <formula1>"R$"</formula1>
    </dataValidation>
    <dataValidation type="list" sqref="V627" allowBlank="true" errorStyle="stop" showErrorMessage="true" showInputMessage="true">
      <formula1>"Mercado Envios por conta do comprador,Mercado Envios grátis"</formula1>
    </dataValidation>
    <dataValidation type="list" sqref="W627" allowBlank="true" errorStyle="stop" showErrorMessage="true" showInputMessage="true">
      <formula1>"Clássico,Premium"</formula1>
    </dataValidation>
    <dataValidation type="list" sqref="J628" allowBlank="true" errorStyle="stop" showErrorMessage="true" showInputMessage="true">
      <formula1>"R$"</formula1>
    </dataValidation>
    <dataValidation type="list" sqref="K628" allowBlank="true" errorStyle="stop" showErrorMessage="true" showInputMessage="true">
      <formula1>"Com impostos,Sem impostos"</formula1>
    </dataValidation>
    <dataValidation type="list" sqref="V628" allowBlank="true" errorStyle="stop" showErrorMessage="true" showInputMessage="true">
      <formula1>"Mercado Envios por conta do comprador,Mercado Envios grátis"</formula1>
    </dataValidation>
    <dataValidation type="list" sqref="W628" allowBlank="true" errorStyle="stop" showErrorMessage="true" showInputMessage="true">
      <formula1>"Clássico,Premium"</formula1>
    </dataValidation>
    <dataValidation type="list" sqref="J629" allowBlank="true" errorStyle="stop" showErrorMessage="true" showInputMessage="true">
      <formula1>"R$"</formula1>
    </dataValidation>
    <dataValidation type="list" sqref="K629" allowBlank="true" errorStyle="stop" showErrorMessage="true" showInputMessage="true">
      <formula1>"Com impostos,Sem impostos"</formula1>
    </dataValidation>
    <dataValidation type="list" sqref="V629" allowBlank="true" errorStyle="stop" showErrorMessage="true" showInputMessage="true">
      <formula1>"Mercado Envios por conta do comprador,Mercado Envios grátis"</formula1>
    </dataValidation>
    <dataValidation type="list" sqref="W629" allowBlank="true" errorStyle="stop" showErrorMessage="true" showInputMessage="true">
      <formula1>"Clássico,Premium"</formula1>
    </dataValidation>
    <dataValidation type="list" sqref="J630" allowBlank="true" errorStyle="stop" showErrorMessage="true" showInputMessage="true">
      <formula1>"R$"</formula1>
    </dataValidation>
    <dataValidation type="list" sqref="V630" allowBlank="true" errorStyle="stop" showErrorMessage="true" showInputMessage="true">
      <formula1>"Mercado Envios por conta do comprador,Mercado Envios grátis"</formula1>
    </dataValidation>
    <dataValidation type="list" sqref="W630" allowBlank="true" errorStyle="stop" showErrorMessage="true" showInputMessage="true">
      <formula1>"Clássico,Premium"</formula1>
    </dataValidation>
    <dataValidation type="list" sqref="J633" allowBlank="true" errorStyle="stop" showErrorMessage="true" showInputMessage="true">
      <formula1>"R$"</formula1>
    </dataValidation>
    <dataValidation type="list" sqref="K633" allowBlank="true" errorStyle="stop" showErrorMessage="true" showInputMessage="true">
      <formula1>"Com impostos,Sem impostos"</formula1>
    </dataValidation>
    <dataValidation type="list" sqref="V633" allowBlank="true" errorStyle="stop" showErrorMessage="true" showInputMessage="true">
      <formula1>"Mercado Envios por conta do comprador,Mercado Envios grátis"</formula1>
    </dataValidation>
    <dataValidation type="list" sqref="W633" allowBlank="true" errorStyle="stop" showErrorMessage="true" showInputMessage="true">
      <formula1>"Clássico,Premium"</formula1>
    </dataValidation>
    <dataValidation type="list" sqref="J634" allowBlank="true" errorStyle="stop" showErrorMessage="true" showInputMessage="true">
      <formula1>"R$"</formula1>
    </dataValidation>
    <dataValidation type="list" sqref="K634" allowBlank="true" errorStyle="stop" showErrorMessage="true" showInputMessage="true">
      <formula1>"Com impostos,Sem impostos"</formula1>
    </dataValidation>
    <dataValidation type="list" sqref="V634" allowBlank="true" errorStyle="stop" showErrorMessage="true" showInputMessage="true">
      <formula1>"Mercado Envios por conta do comprador,Mercado Envios grátis"</formula1>
    </dataValidation>
    <dataValidation type="list" sqref="W634" allowBlank="true" errorStyle="stop" showErrorMessage="true" showInputMessage="true">
      <formula1>"Clássico,Premium"</formula1>
    </dataValidation>
    <dataValidation type="list" sqref="J635" allowBlank="true" errorStyle="stop" showErrorMessage="true" showInputMessage="true">
      <formula1>"R$"</formula1>
    </dataValidation>
    <dataValidation type="list" sqref="K635" allowBlank="true" errorStyle="stop" showErrorMessage="true" showInputMessage="true">
      <formula1>"Com impostos,Sem impostos"</formula1>
    </dataValidation>
    <dataValidation type="list" sqref="V635" allowBlank="true" errorStyle="stop" showErrorMessage="true" showInputMessage="true">
      <formula1>"Mercado Envios por conta do comprador,Mercado Envios grátis"</formula1>
    </dataValidation>
    <dataValidation type="list" sqref="W635" allowBlank="true" errorStyle="stop" showErrorMessage="true" showInputMessage="true">
      <formula1>"Clássico,Premium"</formula1>
    </dataValidation>
    <dataValidation type="list" sqref="J636" allowBlank="true" errorStyle="stop" showErrorMessage="true" showInputMessage="true">
      <formula1>"R$"</formula1>
    </dataValidation>
    <dataValidation type="list" sqref="K636" allowBlank="true" errorStyle="stop" showErrorMessage="true" showInputMessage="true">
      <formula1>"Com impostos,Sem impostos"</formula1>
    </dataValidation>
    <dataValidation type="list" sqref="V636" allowBlank="true" errorStyle="stop" showErrorMessage="true" showInputMessage="true">
      <formula1>"Mercado Envios por conta do comprador,Mercado Envios grátis"</formula1>
    </dataValidation>
    <dataValidation type="list" sqref="W636" allowBlank="true" errorStyle="stop" showErrorMessage="true" showInputMessage="true">
      <formula1>"Clássico,Premium"</formula1>
    </dataValidation>
    <dataValidation type="list" sqref="J637" allowBlank="true" errorStyle="stop" showErrorMessage="true" showInputMessage="true">
      <formula1>"R$"</formula1>
    </dataValidation>
    <dataValidation type="list" sqref="K637" allowBlank="true" errorStyle="stop" showErrorMessage="true" showInputMessage="true">
      <formula1>"Com impostos,Sem impostos"</formula1>
    </dataValidation>
    <dataValidation type="list" sqref="V637" allowBlank="true" errorStyle="stop" showErrorMessage="true" showInputMessage="true">
      <formula1>"Mercado Envios por conta do comprador,Mercado Envios grátis"</formula1>
    </dataValidation>
    <dataValidation type="list" sqref="W637" allowBlank="true" errorStyle="stop" showErrorMessage="true" showInputMessage="true">
      <formula1>"Clássico,Premium"</formula1>
    </dataValidation>
    <dataValidation type="list" sqref="J638" allowBlank="true" errorStyle="stop" showErrorMessage="true" showInputMessage="true">
      <formula1>"R$"</formula1>
    </dataValidation>
    <dataValidation type="list" sqref="K638" allowBlank="true" errorStyle="stop" showErrorMessage="true" showInputMessage="true">
      <formula1>"Com impostos,Sem impostos"</formula1>
    </dataValidation>
    <dataValidation type="list" sqref="V638" allowBlank="true" errorStyle="stop" showErrorMessage="true" showInputMessage="true">
      <formula1>"Mercado Envios por conta do comprador,Mercado Envios grátis"</formula1>
    </dataValidation>
    <dataValidation type="list" sqref="W638" allowBlank="true" errorStyle="stop" showErrorMessage="true" showInputMessage="true">
      <formula1>"Clássico,Premium"</formula1>
    </dataValidation>
    <dataValidation type="list" sqref="J639" allowBlank="true" errorStyle="stop" showErrorMessage="true" showInputMessage="true">
      <formula1>"R$"</formula1>
    </dataValidation>
    <dataValidation type="list" sqref="K639" allowBlank="true" errorStyle="stop" showErrorMessage="true" showInputMessage="true">
      <formula1>"Com impostos,Sem impostos"</formula1>
    </dataValidation>
    <dataValidation type="list" sqref="V639" allowBlank="true" errorStyle="stop" showErrorMessage="true" showInputMessage="true">
      <formula1>"Mercado Envios por conta do comprador,Mercado Envios grátis"</formula1>
    </dataValidation>
    <dataValidation type="list" sqref="W639" allowBlank="true" errorStyle="stop" showErrorMessage="true" showInputMessage="true">
      <formula1>"Clássico,Premium"</formula1>
    </dataValidation>
    <dataValidation type="list" sqref="J640" allowBlank="true" errorStyle="stop" showErrorMessage="true" showInputMessage="true">
      <formula1>"R$"</formula1>
    </dataValidation>
    <dataValidation type="list" sqref="V640" allowBlank="true" errorStyle="stop" showErrorMessage="true" showInputMessage="true">
      <formula1>"Mercado Envios por conta do comprador,Mercado Envios grátis"</formula1>
    </dataValidation>
    <dataValidation type="list" sqref="W640" allowBlank="true" errorStyle="stop" showErrorMessage="true" showInputMessage="true">
      <formula1>"Clássico,Premium"</formula1>
    </dataValidation>
    <dataValidation type="list" sqref="J643" allowBlank="true" errorStyle="stop" showErrorMessage="true" showInputMessage="true">
      <formula1>"R$"</formula1>
    </dataValidation>
    <dataValidation type="list" sqref="K643" allowBlank="true" errorStyle="stop" showErrorMessage="true" showInputMessage="true">
      <formula1>"Com impostos,Sem impostos"</formula1>
    </dataValidation>
    <dataValidation type="list" sqref="V643" allowBlank="true" errorStyle="stop" showErrorMessage="true" showInputMessage="true">
      <formula1>"Mercado Envios por conta do comprador,Mercado Envios grátis"</formula1>
    </dataValidation>
    <dataValidation type="list" sqref="W643" allowBlank="true" errorStyle="stop" showErrorMessage="true" showInputMessage="true">
      <formula1>"Clássico,Premium"</formula1>
    </dataValidation>
    <dataValidation type="list" sqref="J644" allowBlank="true" errorStyle="stop" showErrorMessage="true" showInputMessage="true">
      <formula1>"R$"</formula1>
    </dataValidation>
    <dataValidation type="list" sqref="K644" allowBlank="true" errorStyle="stop" showErrorMessage="true" showInputMessage="true">
      <formula1>"Com impostos,Sem impostos"</formula1>
    </dataValidation>
    <dataValidation type="list" sqref="V644" allowBlank="true" errorStyle="stop" showErrorMessage="true" showInputMessage="true">
      <formula1>"Mercado Envios por conta do comprador,Mercado Envios grátis"</formula1>
    </dataValidation>
    <dataValidation type="list" sqref="W644" allowBlank="true" errorStyle="stop" showErrorMessage="true" showInputMessage="true">
      <formula1>"Clássico,Premium"</formula1>
    </dataValidation>
    <dataValidation type="list" sqref="J645" allowBlank="true" errorStyle="stop" showErrorMessage="true" showInputMessage="true">
      <formula1>"R$"</formula1>
    </dataValidation>
    <dataValidation type="list" sqref="K645" allowBlank="true" errorStyle="stop" showErrorMessage="true" showInputMessage="true">
      <formula1>"Com impostos,Sem impostos"</formula1>
    </dataValidation>
    <dataValidation type="list" sqref="V645" allowBlank="true" errorStyle="stop" showErrorMessage="true" showInputMessage="true">
      <formula1>"Mercado Envios por conta do comprador,Mercado Envios grátis"</formula1>
    </dataValidation>
    <dataValidation type="list" sqref="W645" allowBlank="true" errorStyle="stop" showErrorMessage="true" showInputMessage="true">
      <formula1>"Clássico,Premium"</formula1>
    </dataValidation>
    <dataValidation type="list" sqref="J646" allowBlank="true" errorStyle="stop" showErrorMessage="true" showInputMessage="true">
      <formula1>"R$"</formula1>
    </dataValidation>
    <dataValidation type="list" sqref="K646" allowBlank="true" errorStyle="stop" showErrorMessage="true" showInputMessage="true">
      <formula1>"Com impostos,Sem impostos"</formula1>
    </dataValidation>
    <dataValidation type="list" sqref="V646" allowBlank="true" errorStyle="stop" showErrorMessage="true" showInputMessage="true">
      <formula1>"Mercado Envios por conta do comprador,Mercado Envios grátis"</formula1>
    </dataValidation>
    <dataValidation type="list" sqref="W646" allowBlank="true" errorStyle="stop" showErrorMessage="true" showInputMessage="true">
      <formula1>"Clássico,Premium"</formula1>
    </dataValidation>
    <dataValidation type="list" sqref="J647" allowBlank="true" errorStyle="stop" showErrorMessage="true" showInputMessage="true">
      <formula1>"R$"</formula1>
    </dataValidation>
    <dataValidation type="list" sqref="K647" allowBlank="true" errorStyle="stop" showErrorMessage="true" showInputMessage="true">
      <formula1>"Com impostos,Sem impostos"</formula1>
    </dataValidation>
    <dataValidation type="list" sqref="V647" allowBlank="true" errorStyle="stop" showErrorMessage="true" showInputMessage="true">
      <formula1>"Mercado Envios por conta do comprador,Mercado Envios grátis"</formula1>
    </dataValidation>
    <dataValidation type="list" sqref="W647" allowBlank="true" errorStyle="stop" showErrorMessage="true" showInputMessage="true">
      <formula1>"Clássico,Premium"</formula1>
    </dataValidation>
    <dataValidation type="list" sqref="J648" allowBlank="true" errorStyle="stop" showErrorMessage="true" showInputMessage="true">
      <formula1>"R$"</formula1>
    </dataValidation>
    <dataValidation type="list" sqref="K648" allowBlank="true" errorStyle="stop" showErrorMessage="true" showInputMessage="true">
      <formula1>"Com impostos,Sem impostos"</formula1>
    </dataValidation>
    <dataValidation type="list" sqref="V648" allowBlank="true" errorStyle="stop" showErrorMessage="true" showInputMessage="true">
      <formula1>"Mercado Envios por conta do comprador,Mercado Envios grátis"</formula1>
    </dataValidation>
    <dataValidation type="list" sqref="W648" allowBlank="true" errorStyle="stop" showErrorMessage="true" showInputMessage="true">
      <formula1>"Clássico,Premium"</formula1>
    </dataValidation>
    <dataValidation type="list" sqref="J649" allowBlank="true" errorStyle="stop" showErrorMessage="true" showInputMessage="true">
      <formula1>"R$"</formula1>
    </dataValidation>
    <dataValidation type="list" sqref="K649" allowBlank="true" errorStyle="stop" showErrorMessage="true" showInputMessage="true">
      <formula1>"Com impostos,Sem impostos"</formula1>
    </dataValidation>
    <dataValidation type="list" sqref="V649" allowBlank="true" errorStyle="stop" showErrorMessage="true" showInputMessage="true">
      <formula1>"Mercado Envios por conta do comprador,Mercado Envios grátis"</formula1>
    </dataValidation>
    <dataValidation type="list" sqref="W649" allowBlank="true" errorStyle="stop" showErrorMessage="true" showInputMessage="true">
      <formula1>"Clássico,Premium"</formula1>
    </dataValidation>
    <dataValidation type="list" sqref="J650" allowBlank="true" errorStyle="stop" showErrorMessage="true" showInputMessage="true">
      <formula1>"R$"</formula1>
    </dataValidation>
    <dataValidation type="list" sqref="V650" allowBlank="true" errorStyle="stop" showErrorMessage="true" showInputMessage="true">
      <formula1>"Mercado Envios por conta do comprador,Mercado Envios grátis"</formula1>
    </dataValidation>
    <dataValidation type="list" sqref="W650" allowBlank="true" errorStyle="stop" showErrorMessage="true" showInputMessage="true">
      <formula1>"Clássico,Premium"</formula1>
    </dataValidation>
    <dataValidation type="list" sqref="J651" allowBlank="true" errorStyle="stop" showErrorMessage="true" showInputMessage="true">
      <formula1>"R$"</formula1>
    </dataValidation>
    <dataValidation type="list" sqref="K651" allowBlank="true" errorStyle="stop" showErrorMessage="true" showInputMessage="true">
      <formula1>"Com impostos,Sem impostos"</formula1>
    </dataValidation>
    <dataValidation type="list" sqref="V651" allowBlank="true" errorStyle="stop" showErrorMessage="true" showInputMessage="true">
      <formula1>"Mercado Envios por conta do comprador,Mercado Envios grátis"</formula1>
    </dataValidation>
    <dataValidation type="list" sqref="W651" allowBlank="true" errorStyle="stop" showErrorMessage="true" showInputMessage="true">
      <formula1>"Clássico,Premium"</formula1>
    </dataValidation>
    <dataValidation type="list" sqref="J652" allowBlank="true" errorStyle="stop" showErrorMessage="true" showInputMessage="true">
      <formula1>"R$"</formula1>
    </dataValidation>
    <dataValidation type="list" sqref="K652" allowBlank="true" errorStyle="stop" showErrorMessage="true" showInputMessage="true">
      <formula1>"Com impostos,Sem impostos"</formula1>
    </dataValidation>
    <dataValidation type="list" sqref="V652" allowBlank="true" errorStyle="stop" showErrorMessage="true" showInputMessage="true">
      <formula1>"Mercado Envios por conta do comprador,Mercado Envios grátis"</formula1>
    </dataValidation>
    <dataValidation type="list" sqref="W652" allowBlank="true" errorStyle="stop" showErrorMessage="true" showInputMessage="true">
      <formula1>"Clássico,Premium"</formula1>
    </dataValidation>
    <dataValidation type="list" sqref="J653" allowBlank="true" errorStyle="stop" showErrorMessage="true" showInputMessage="true">
      <formula1>"R$"</formula1>
    </dataValidation>
    <dataValidation type="list" sqref="K653" allowBlank="true" errorStyle="stop" showErrorMessage="true" showInputMessage="true">
      <formula1>"Com impostos,Sem impostos"</formula1>
    </dataValidation>
    <dataValidation type="list" sqref="V653" allowBlank="true" errorStyle="stop" showErrorMessage="true" showInputMessage="true">
      <formula1>"Mercado Envios por conta do comprador,Mercado Envios grátis"</formula1>
    </dataValidation>
    <dataValidation type="list" sqref="W653" allowBlank="true" errorStyle="stop" showErrorMessage="true" showInputMessage="true">
      <formula1>"Clássico,Premium"</formula1>
    </dataValidation>
    <dataValidation type="list" sqref="J654" allowBlank="true" errorStyle="stop" showErrorMessage="true" showInputMessage="true">
      <formula1>"R$"</formula1>
    </dataValidation>
    <dataValidation type="list" sqref="K654" allowBlank="true" errorStyle="stop" showErrorMessage="true" showInputMessage="true">
      <formula1>"Com impostos,Sem impostos"</formula1>
    </dataValidation>
    <dataValidation type="list" sqref="V654" allowBlank="true" errorStyle="stop" showErrorMessage="true" showInputMessage="true">
      <formula1>"Mercado Envios por conta do comprador,Mercado Envios grátis"</formula1>
    </dataValidation>
    <dataValidation type="list" sqref="W654" allowBlank="true" errorStyle="stop" showErrorMessage="true" showInputMessage="true">
      <formula1>"Clássico,Premium"</formula1>
    </dataValidation>
    <dataValidation type="list" sqref="J655" allowBlank="true" errorStyle="stop" showErrorMessage="true" showInputMessage="true">
      <formula1>"R$"</formula1>
    </dataValidation>
    <dataValidation type="list" sqref="K655" allowBlank="true" errorStyle="stop" showErrorMessage="true" showInputMessage="true">
      <formula1>"Com impostos,Sem impostos"</formula1>
    </dataValidation>
    <dataValidation type="list" sqref="V655" allowBlank="true" errorStyle="stop" showErrorMessage="true" showInputMessage="true">
      <formula1>"Mercado Envios por conta do comprador,Mercado Envios grátis"</formula1>
    </dataValidation>
    <dataValidation type="list" sqref="W655" allowBlank="true" errorStyle="stop" showErrorMessage="true" showInputMessage="true">
      <formula1>"Clássico,Premium"</formula1>
    </dataValidation>
    <dataValidation type="list" sqref="J656" allowBlank="true" errorStyle="stop" showErrorMessage="true" showInputMessage="true">
      <formula1>"R$"</formula1>
    </dataValidation>
    <dataValidation type="list" sqref="K656" allowBlank="true" errorStyle="stop" showErrorMessage="true" showInputMessage="true">
      <formula1>"Com impostos,Sem impostos"</formula1>
    </dataValidation>
    <dataValidation type="list" sqref="V656" allowBlank="true" errorStyle="stop" showErrorMessage="true" showInputMessage="true">
      <formula1>"Mercado Envios por conta do comprador,Mercado Envios grátis"</formula1>
    </dataValidation>
    <dataValidation type="list" sqref="W656" allowBlank="true" errorStyle="stop" showErrorMessage="true" showInputMessage="true">
      <formula1>"Clássico,Premium"</formula1>
    </dataValidation>
    <dataValidation type="list" sqref="J657" allowBlank="true" errorStyle="stop" showErrorMessage="true" showInputMessage="true">
      <formula1>"R$"</formula1>
    </dataValidation>
    <dataValidation type="list" sqref="K657" allowBlank="true" errorStyle="stop" showErrorMessage="true" showInputMessage="true">
      <formula1>"Com impostos,Sem impostos"</formula1>
    </dataValidation>
    <dataValidation type="list" sqref="V657" allowBlank="true" errorStyle="stop" showErrorMessage="true" showInputMessage="true">
      <formula1>"Mercado Envios por conta do comprador,Mercado Envios grátis"</formula1>
    </dataValidation>
    <dataValidation type="list" sqref="W657" allowBlank="true" errorStyle="stop" showErrorMessage="true" showInputMessage="true">
      <formula1>"Clássico,Premium"</formula1>
    </dataValidation>
    <dataValidation type="list" sqref="J658" allowBlank="true" errorStyle="stop" showErrorMessage="true" showInputMessage="true">
      <formula1>"R$"</formula1>
    </dataValidation>
    <dataValidation type="list" sqref="K658" allowBlank="true" errorStyle="stop" showErrorMessage="true" showInputMessage="true">
      <formula1>"Com impostos,Sem impostos"</formula1>
    </dataValidation>
    <dataValidation type="list" sqref="V658" allowBlank="true" errorStyle="stop" showErrorMessage="true" showInputMessage="true">
      <formula1>"Mercado Envios por conta do comprador,Mercado Envios grátis"</formula1>
    </dataValidation>
    <dataValidation type="list" sqref="W658" allowBlank="true" errorStyle="stop" showErrorMessage="true" showInputMessage="true">
      <formula1>"Clássico,Premium"</formula1>
    </dataValidation>
    <dataValidation type="list" sqref="J659" allowBlank="true" errorStyle="stop" showErrorMessage="true" showInputMessage="true">
      <formula1>"R$"</formula1>
    </dataValidation>
    <dataValidation type="list" sqref="K659" allowBlank="true" errorStyle="stop" showErrorMessage="true" showInputMessage="true">
      <formula1>"Com impostos,Sem impostos"</formula1>
    </dataValidation>
    <dataValidation type="list" sqref="V659" allowBlank="true" errorStyle="stop" showErrorMessage="true" showInputMessage="true">
      <formula1>"Mercado Envios por conta do comprador,Mercado Envios grátis"</formula1>
    </dataValidation>
    <dataValidation type="list" sqref="W659" allowBlank="true" errorStyle="stop" showErrorMessage="true" showInputMessage="true">
      <formula1>"Clássico,Premium"</formula1>
    </dataValidation>
    <dataValidation type="list" sqref="J660" allowBlank="true" errorStyle="stop" showErrorMessage="true" showInputMessage="true">
      <formula1>"R$"</formula1>
    </dataValidation>
    <dataValidation type="list" sqref="K660" allowBlank="true" errorStyle="stop" showErrorMessage="true" showInputMessage="true">
      <formula1>"Com impostos,Sem impostos"</formula1>
    </dataValidation>
    <dataValidation type="list" sqref="V660" allowBlank="true" errorStyle="stop" showErrorMessage="true" showInputMessage="true">
      <formula1>"Mercado Envios por conta do comprador,Mercado Envios grátis"</formula1>
    </dataValidation>
    <dataValidation type="list" sqref="W660" allowBlank="true" errorStyle="stop" showErrorMessage="true" showInputMessage="true">
      <formula1>"Clássico,Premium"</formula1>
    </dataValidation>
    <dataValidation type="list" sqref="J661" allowBlank="true" errorStyle="stop" showErrorMessage="true" showInputMessage="true">
      <formula1>"R$"</formula1>
    </dataValidation>
    <dataValidation type="list" sqref="K661" allowBlank="true" errorStyle="stop" showErrorMessage="true" showInputMessage="true">
      <formula1>"Com impostos,Sem impostos"</formula1>
    </dataValidation>
    <dataValidation type="list" sqref="V661" allowBlank="true" errorStyle="stop" showErrorMessage="true" showInputMessage="true">
      <formula1>"Mercado Envios por conta do comprador,Mercado Envios grátis"</formula1>
    </dataValidation>
    <dataValidation type="list" sqref="W661" allowBlank="true" errorStyle="stop" showErrorMessage="true" showInputMessage="true">
      <formula1>"Clássico,Premium"</formula1>
    </dataValidation>
    <dataValidation type="list" sqref="J662" allowBlank="true" errorStyle="stop" showErrorMessage="true" showInputMessage="true">
      <formula1>"R$"</formula1>
    </dataValidation>
    <dataValidation type="list" sqref="K662" allowBlank="true" errorStyle="stop" showErrorMessage="true" showInputMessage="true">
      <formula1>"Com impostos,Sem impostos"</formula1>
    </dataValidation>
    <dataValidation type="list" sqref="V662" allowBlank="true" errorStyle="stop" showErrorMessage="true" showInputMessage="true">
      <formula1>"Mercado Envios por conta do comprador,Mercado Envios grátis"</formula1>
    </dataValidation>
    <dataValidation type="list" sqref="W662" allowBlank="true" errorStyle="stop" showErrorMessage="true" showInputMessage="true">
      <formula1>"Clássico,Premium"</formula1>
    </dataValidation>
    <dataValidation type="list" sqref="J663" allowBlank="true" errorStyle="stop" showErrorMessage="true" showInputMessage="true">
      <formula1>"R$"</formula1>
    </dataValidation>
    <dataValidation type="list" sqref="K663" allowBlank="true" errorStyle="stop" showErrorMessage="true" showInputMessage="true">
      <formula1>"Com impostos,Sem impostos"</formula1>
    </dataValidation>
    <dataValidation type="list" sqref="V663" allowBlank="true" errorStyle="stop" showErrorMessage="true" showInputMessage="true">
      <formula1>"Mercado Envios por conta do comprador,Mercado Envios grátis"</formula1>
    </dataValidation>
    <dataValidation type="list" sqref="W663" allowBlank="true" errorStyle="stop" showErrorMessage="true" showInputMessage="true">
      <formula1>"Clássico,Premium"</formula1>
    </dataValidation>
    <dataValidation type="list" sqref="J664" allowBlank="true" errorStyle="stop" showErrorMessage="true" showInputMessage="true">
      <formula1>"R$"</formula1>
    </dataValidation>
    <dataValidation type="list" sqref="K664" allowBlank="true" errorStyle="stop" showErrorMessage="true" showInputMessage="true">
      <formula1>"Com impostos,Sem impostos"</formula1>
    </dataValidation>
    <dataValidation type="list" sqref="V664" allowBlank="true" errorStyle="stop" showErrorMessage="true" showInputMessage="true">
      <formula1>"Mercado Envios por conta do comprador,Mercado Envios grátis"</formula1>
    </dataValidation>
    <dataValidation type="list" sqref="W664" allowBlank="true" errorStyle="stop" showErrorMessage="true" showInputMessage="true">
      <formula1>"Clássico,Premium"</formula1>
    </dataValidation>
    <dataValidation type="list" sqref="J665" allowBlank="true" errorStyle="stop" showErrorMessage="true" showInputMessage="true">
      <formula1>"R$"</formula1>
    </dataValidation>
    <dataValidation type="list" sqref="K665" allowBlank="true" errorStyle="stop" showErrorMessage="true" showInputMessage="true">
      <formula1>"Com impostos,Sem impostos"</formula1>
    </dataValidation>
    <dataValidation type="list" sqref="V665" allowBlank="true" errorStyle="stop" showErrorMessage="true" showInputMessage="true">
      <formula1>"Mercado Envios por conta do comprador,Mercado Envios grátis"</formula1>
    </dataValidation>
    <dataValidation type="list" sqref="W665" allowBlank="true" errorStyle="stop" showErrorMessage="true" showInputMessage="true">
      <formula1>"Clássico,Premium"</formula1>
    </dataValidation>
    <dataValidation type="list" sqref="J666" allowBlank="true" errorStyle="stop" showErrorMessage="true" showInputMessage="true">
      <formula1>"R$"</formula1>
    </dataValidation>
    <dataValidation type="list" sqref="K666" allowBlank="true" errorStyle="stop" showErrorMessage="true" showInputMessage="true">
      <formula1>"Com impostos,Sem impostos"</formula1>
    </dataValidation>
    <dataValidation type="list" sqref="V666" allowBlank="true" errorStyle="stop" showErrorMessage="true" showInputMessage="true">
      <formula1>"Mercado Envios por conta do comprador,Mercado Envios grátis"</formula1>
    </dataValidation>
    <dataValidation type="list" sqref="W666" allowBlank="true" errorStyle="stop" showErrorMessage="true" showInputMessage="true">
      <formula1>"Clássico,Premium"</formula1>
    </dataValidation>
    <dataValidation type="list" sqref="J667" allowBlank="true" errorStyle="stop" showErrorMessage="true" showInputMessage="true">
      <formula1>"R$"</formula1>
    </dataValidation>
    <dataValidation type="list" sqref="K667" allowBlank="true" errorStyle="stop" showErrorMessage="true" showInputMessage="true">
      <formula1>"Com impostos,Sem impostos"</formula1>
    </dataValidation>
    <dataValidation type="list" sqref="V667" allowBlank="true" errorStyle="stop" showErrorMessage="true" showInputMessage="true">
      <formula1>"Mercado Envios por conta do comprador,Mercado Envios grátis"</formula1>
    </dataValidation>
    <dataValidation type="list" sqref="W667" allowBlank="true" errorStyle="stop" showErrorMessage="true" showInputMessage="true">
      <formula1>"Clássico,Premium"</formula1>
    </dataValidation>
    <dataValidation type="list" sqref="J668" allowBlank="true" errorStyle="stop" showErrorMessage="true" showInputMessage="true">
      <formula1>"R$"</formula1>
    </dataValidation>
    <dataValidation type="list" sqref="K668" allowBlank="true" errorStyle="stop" showErrorMessage="true" showInputMessage="true">
      <formula1>"Com impostos,Sem impostos"</formula1>
    </dataValidation>
    <dataValidation type="list" sqref="V668" allowBlank="true" errorStyle="stop" showErrorMessage="true" showInputMessage="true">
      <formula1>"Mercado Envios por conta do comprador,Mercado Envios grátis"</formula1>
    </dataValidation>
    <dataValidation type="list" sqref="W668" allowBlank="true" errorStyle="stop" showErrorMessage="true" showInputMessage="true">
      <formula1>"Clássico,Premium"</formula1>
    </dataValidation>
    <dataValidation type="list" sqref="J669" allowBlank="true" errorStyle="stop" showErrorMessage="true" showInputMessage="true">
      <formula1>"R$"</formula1>
    </dataValidation>
    <dataValidation type="list" sqref="K669" allowBlank="true" errorStyle="stop" showErrorMessage="true" showInputMessage="true">
      <formula1>"Com impostos,Sem impostos"</formula1>
    </dataValidation>
    <dataValidation type="list" sqref="V669" allowBlank="true" errorStyle="stop" showErrorMessage="true" showInputMessage="true">
      <formula1>"Mercado Envios por conta do comprador,Mercado Envios grátis"</formula1>
    </dataValidation>
    <dataValidation type="list" sqref="W669" allowBlank="true" errorStyle="stop" showErrorMessage="true" showInputMessage="true">
      <formula1>"Clássico,Premium"</formula1>
    </dataValidation>
    <dataValidation type="list" sqref="J670" allowBlank="true" errorStyle="stop" showErrorMessage="true" showInputMessage="true">
      <formula1>"R$"</formula1>
    </dataValidation>
    <dataValidation type="list" sqref="K670" allowBlank="true" errorStyle="stop" showErrorMessage="true" showInputMessage="true">
      <formula1>"Com impostos,Sem impostos"</formula1>
    </dataValidation>
    <dataValidation type="list" sqref="V670" allowBlank="true" errorStyle="stop" showErrorMessage="true" showInputMessage="true">
      <formula1>"Mercado Envios por conta do comprador,Mercado Envios grátis"</formula1>
    </dataValidation>
    <dataValidation type="list" sqref="W670" allowBlank="true" errorStyle="stop" showErrorMessage="true" showInputMessage="true">
      <formula1>"Clássico,Premium"</formula1>
    </dataValidation>
    <dataValidation type="list" sqref="J671" allowBlank="true" errorStyle="stop" showErrorMessage="true" showInputMessage="true">
      <formula1>"R$"</formula1>
    </dataValidation>
    <dataValidation type="list" sqref="K671" allowBlank="true" errorStyle="stop" showErrorMessage="true" showInputMessage="true">
      <formula1>"Com impostos,Sem impostos"</formula1>
    </dataValidation>
    <dataValidation type="list" sqref="V671" allowBlank="true" errorStyle="stop" showErrorMessage="true" showInputMessage="true">
      <formula1>"Mercado Envios por conta do comprador,Mercado Envios grátis"</formula1>
    </dataValidation>
    <dataValidation type="list" sqref="W671" allowBlank="true" errorStyle="stop" showErrorMessage="true" showInputMessage="true">
      <formula1>"Clássico,Premium"</formula1>
    </dataValidation>
    <dataValidation type="list" sqref="J672" allowBlank="true" errorStyle="stop" showErrorMessage="true" showInputMessage="true">
      <formula1>"R$"</formula1>
    </dataValidation>
    <dataValidation type="list" sqref="K672" allowBlank="true" errorStyle="stop" showErrorMessage="true" showInputMessage="true">
      <formula1>"Com impostos,Sem impostos"</formula1>
    </dataValidation>
    <dataValidation type="list" sqref="V672" allowBlank="true" errorStyle="stop" showErrorMessage="true" showInputMessage="true">
      <formula1>"Mercado Envios por conta do comprador,Mercado Envios grátis"</formula1>
    </dataValidation>
    <dataValidation type="list" sqref="W672" allowBlank="true" errorStyle="stop" showErrorMessage="true" showInputMessage="true">
      <formula1>"Clássico,Premium"</formula1>
    </dataValidation>
    <dataValidation type="list" sqref="J673" allowBlank="true" errorStyle="stop" showErrorMessage="true" showInputMessage="true">
      <formula1>"R$"</formula1>
    </dataValidation>
    <dataValidation type="list" sqref="K673" allowBlank="true" errorStyle="stop" showErrorMessage="true" showInputMessage="true">
      <formula1>"Com impostos,Sem impostos"</formula1>
    </dataValidation>
    <dataValidation type="list" sqref="V673" allowBlank="true" errorStyle="stop" showErrorMessage="true" showInputMessage="true">
      <formula1>"Mercado Envios por conta do comprador,Mercado Envios grátis"</formula1>
    </dataValidation>
    <dataValidation type="list" sqref="W673" allowBlank="true" errorStyle="stop" showErrorMessage="true" showInputMessage="true">
      <formula1>"Clássico,Premium"</formula1>
    </dataValidation>
    <dataValidation type="list" sqref="J674" allowBlank="true" errorStyle="stop" showErrorMessage="true" showInputMessage="true">
      <formula1>"R$"</formula1>
    </dataValidation>
    <dataValidation type="list" sqref="K674" allowBlank="true" errorStyle="stop" showErrorMessage="true" showInputMessage="true">
      <formula1>"Com impostos,Sem impostos"</formula1>
    </dataValidation>
    <dataValidation type="list" sqref="V674" allowBlank="true" errorStyle="stop" showErrorMessage="true" showInputMessage="true">
      <formula1>"Mercado Envios por conta do comprador,Mercado Envios grátis"</formula1>
    </dataValidation>
    <dataValidation type="list" sqref="W674" allowBlank="true" errorStyle="stop" showErrorMessage="true" showInputMessage="true">
      <formula1>"Clássico,Premium"</formula1>
    </dataValidation>
    <dataValidation type="list" sqref="J675" allowBlank="true" errorStyle="stop" showErrorMessage="true" showInputMessage="true">
      <formula1>"R$"</formula1>
    </dataValidation>
    <dataValidation type="list" sqref="K675" allowBlank="true" errorStyle="stop" showErrorMessage="true" showInputMessage="true">
      <formula1>"Com impostos,Sem impostos"</formula1>
    </dataValidation>
    <dataValidation type="list" sqref="V675" allowBlank="true" errorStyle="stop" showErrorMessage="true" showInputMessage="true">
      <formula1>"Mercado Envios por conta do comprador,Mercado Envios grátis"</formula1>
    </dataValidation>
    <dataValidation type="list" sqref="W675" allowBlank="true" errorStyle="stop" showErrorMessage="true" showInputMessage="true">
      <formula1>"Clássico,Premium"</formula1>
    </dataValidation>
    <dataValidation type="list" sqref="J676" allowBlank="true" errorStyle="stop" showErrorMessage="true" showInputMessage="true">
      <formula1>"R$"</formula1>
    </dataValidation>
    <dataValidation type="list" sqref="K676" allowBlank="true" errorStyle="stop" showErrorMessage="true" showInputMessage="true">
      <formula1>"Com impostos,Sem impostos"</formula1>
    </dataValidation>
    <dataValidation type="list" sqref="V676" allowBlank="true" errorStyle="stop" showErrorMessage="true" showInputMessage="true">
      <formula1>"Mercado Envios por conta do comprador,Mercado Envios grátis"</formula1>
    </dataValidation>
    <dataValidation type="list" sqref="W676" allowBlank="true" errorStyle="stop" showErrorMessage="true" showInputMessage="true">
      <formula1>"Clássico,Premium"</formula1>
    </dataValidation>
    <dataValidation type="list" sqref="J677" allowBlank="true" errorStyle="stop" showErrorMessage="true" showInputMessage="true">
      <formula1>"R$"</formula1>
    </dataValidation>
    <dataValidation type="list" sqref="K677" allowBlank="true" errorStyle="stop" showErrorMessage="true" showInputMessage="true">
      <formula1>"Com impostos,Sem impostos"</formula1>
    </dataValidation>
    <dataValidation type="list" sqref="V677" allowBlank="true" errorStyle="stop" showErrorMessage="true" showInputMessage="true">
      <formula1>"Mercado Envios por conta do comprador,Mercado Envios grátis"</formula1>
    </dataValidation>
    <dataValidation type="list" sqref="W677" allowBlank="true" errorStyle="stop" showErrorMessage="true" showInputMessage="true">
      <formula1>"Clássico,Premium"</formula1>
    </dataValidation>
    <dataValidation type="list" sqref="J678" allowBlank="true" errorStyle="stop" showErrorMessage="true" showInputMessage="true">
      <formula1>"R$"</formula1>
    </dataValidation>
    <dataValidation type="list" sqref="V678" allowBlank="true" errorStyle="stop" showErrorMessage="true" showInputMessage="true">
      <formula1>"Mercado Envios por conta do comprador,Mercado Envios grátis"</formula1>
    </dataValidation>
    <dataValidation type="list" sqref="W678" allowBlank="true" errorStyle="stop" showErrorMessage="true" showInputMessage="true">
      <formula1>"Clássico,Premium"</formula1>
    </dataValidation>
    <dataValidation type="list" sqref="J681" allowBlank="true" errorStyle="stop" showErrorMessage="true" showInputMessage="true">
      <formula1>"R$"</formula1>
    </dataValidation>
    <dataValidation type="list" sqref="K681" allowBlank="true" errorStyle="stop" showErrorMessage="true" showInputMessage="true">
      <formula1>"Com impostos,Sem impostos"</formula1>
    </dataValidation>
    <dataValidation type="list" sqref="V681" allowBlank="true" errorStyle="stop" showErrorMessage="true" showInputMessage="true">
      <formula1>"Mercado Envios por conta do comprador,Mercado Envios grátis"</formula1>
    </dataValidation>
    <dataValidation type="list" sqref="W681" allowBlank="true" errorStyle="stop" showErrorMessage="true" showInputMessage="true">
      <formula1>"Clássico,Premium"</formula1>
    </dataValidation>
    <dataValidation type="list" sqref="J682" allowBlank="true" errorStyle="stop" showErrorMessage="true" showInputMessage="true">
      <formula1>"R$"</formula1>
    </dataValidation>
    <dataValidation type="list" sqref="K682" allowBlank="true" errorStyle="stop" showErrorMessage="true" showInputMessage="true">
      <formula1>"Com impostos,Sem impostos"</formula1>
    </dataValidation>
    <dataValidation type="list" sqref="V682" allowBlank="true" errorStyle="stop" showErrorMessage="true" showInputMessage="true">
      <formula1>"Mercado Envios por conta do comprador,Mercado Envios grátis"</formula1>
    </dataValidation>
    <dataValidation type="list" sqref="W682" allowBlank="true" errorStyle="stop" showErrorMessage="true" showInputMessage="true">
      <formula1>"Clássico,Premium"</formula1>
    </dataValidation>
    <dataValidation type="list" sqref="J683" allowBlank="true" errorStyle="stop" showErrorMessage="true" showInputMessage="true">
      <formula1>"R$"</formula1>
    </dataValidation>
    <dataValidation type="list" sqref="V683" allowBlank="true" errorStyle="stop" showErrorMessage="true" showInputMessage="true">
      <formula1>"Mercado Envios por conta do comprador,Mercado Envios grátis"</formula1>
    </dataValidation>
    <dataValidation type="list" sqref="W683" allowBlank="true" errorStyle="stop" showErrorMessage="true" showInputMessage="true">
      <formula1>"Clássico,Premium"</formula1>
    </dataValidation>
    <dataValidation type="list" sqref="J686" allowBlank="true" errorStyle="stop" showErrorMessage="true" showInputMessage="true">
      <formula1>"R$"</formula1>
    </dataValidation>
    <dataValidation type="list" sqref="K686" allowBlank="true" errorStyle="stop" showErrorMessage="true" showInputMessage="true">
      <formula1>"Com impostos,Sem impostos"</formula1>
    </dataValidation>
    <dataValidation type="list" sqref="V686" allowBlank="true" errorStyle="stop" showErrorMessage="true" showInputMessage="true">
      <formula1>"Mercado Envios por conta do comprador,Mercado Envios grátis"</formula1>
    </dataValidation>
    <dataValidation type="list" sqref="W686" allowBlank="true" errorStyle="stop" showErrorMessage="true" showInputMessage="true">
      <formula1>"Clássico,Premium"</formula1>
    </dataValidation>
    <dataValidation type="list" sqref="J687" allowBlank="true" errorStyle="stop" showErrorMessage="true" showInputMessage="true">
      <formula1>"R$"</formula1>
    </dataValidation>
    <dataValidation type="list" sqref="K687" allowBlank="true" errorStyle="stop" showErrorMessage="true" showInputMessage="true">
      <formula1>"Com impostos,Sem impostos"</formula1>
    </dataValidation>
    <dataValidation type="list" sqref="V687" allowBlank="true" errorStyle="stop" showErrorMessage="true" showInputMessage="true">
      <formula1>"Mercado Envios por conta do comprador,Mercado Envios grátis"</formula1>
    </dataValidation>
    <dataValidation type="list" sqref="W687" allowBlank="true" errorStyle="stop" showErrorMessage="true" showInputMessage="true">
      <formula1>"Clássico,Premium"</formula1>
    </dataValidation>
    <dataValidation type="list" sqref="J688" allowBlank="true" errorStyle="stop" showErrorMessage="true" showInputMessage="true">
      <formula1>"R$"</formula1>
    </dataValidation>
    <dataValidation type="list" sqref="K688" allowBlank="true" errorStyle="stop" showErrorMessage="true" showInputMessage="true">
      <formula1>"Com impostos,Sem impostos"</formula1>
    </dataValidation>
    <dataValidation type="list" sqref="V688" allowBlank="true" errorStyle="stop" showErrorMessage="true" showInputMessage="true">
      <formula1>"Mercado Envios por conta do comprador,Mercado Envios grátis"</formula1>
    </dataValidation>
    <dataValidation type="list" sqref="W688" allowBlank="true" errorStyle="stop" showErrorMessage="true" showInputMessage="true">
      <formula1>"Clássico,Premium"</formula1>
    </dataValidation>
    <dataValidation type="list" sqref="J689" allowBlank="true" errorStyle="stop" showErrorMessage="true" showInputMessage="true">
      <formula1>"R$"</formula1>
    </dataValidation>
    <dataValidation type="list" sqref="K689" allowBlank="true" errorStyle="stop" showErrorMessage="true" showInputMessage="true">
      <formula1>"Com impostos,Sem impostos"</formula1>
    </dataValidation>
    <dataValidation type="list" sqref="V689" allowBlank="true" errorStyle="stop" showErrorMessage="true" showInputMessage="true">
      <formula1>"Mercado Envios por conta do comprador,Mercado Envios grátis"</formula1>
    </dataValidation>
    <dataValidation type="list" sqref="W689" allowBlank="true" errorStyle="stop" showErrorMessage="true" showInputMessage="true">
      <formula1>"Clássico,Premium"</formula1>
    </dataValidation>
    <dataValidation type="list" sqref="J690" allowBlank="true" errorStyle="stop" showErrorMessage="true" showInputMessage="true">
      <formula1>"R$"</formula1>
    </dataValidation>
    <dataValidation type="list" sqref="K690" allowBlank="true" errorStyle="stop" showErrorMessage="true" showInputMessage="true">
      <formula1>"Com impostos,Sem impostos"</formula1>
    </dataValidation>
    <dataValidation type="list" sqref="V690" allowBlank="true" errorStyle="stop" showErrorMessage="true" showInputMessage="true">
      <formula1>"Mercado Envios por conta do comprador,Mercado Envios grátis"</formula1>
    </dataValidation>
    <dataValidation type="list" sqref="W690" allowBlank="true" errorStyle="stop" showErrorMessage="true" showInputMessage="true">
      <formula1>"Clássico,Premium"</formula1>
    </dataValidation>
    <dataValidation type="list" sqref="J691" allowBlank="true" errorStyle="stop" showErrorMessage="true" showInputMessage="true">
      <formula1>"R$"</formula1>
    </dataValidation>
    <dataValidation type="list" sqref="K691" allowBlank="true" errorStyle="stop" showErrorMessage="true" showInputMessage="true">
      <formula1>"Com impostos,Sem impostos"</formula1>
    </dataValidation>
    <dataValidation type="list" sqref="V691" allowBlank="true" errorStyle="stop" showErrorMessage="true" showInputMessage="true">
      <formula1>"Mercado Envios por conta do comprador,Mercado Envios grátis"</formula1>
    </dataValidation>
    <dataValidation type="list" sqref="W691" allowBlank="true" errorStyle="stop" showErrorMessage="true" showInputMessage="true">
      <formula1>"Clássico,Premium"</formula1>
    </dataValidation>
    <dataValidation type="list" sqref="J692" allowBlank="true" errorStyle="stop" showErrorMessage="true" showInputMessage="true">
      <formula1>"R$"</formula1>
    </dataValidation>
    <dataValidation type="list" sqref="K692" allowBlank="true" errorStyle="stop" showErrorMessage="true" showInputMessage="true">
      <formula1>"Com impostos,Sem impostos"</formula1>
    </dataValidation>
    <dataValidation type="list" sqref="V692" allowBlank="true" errorStyle="stop" showErrorMessage="true" showInputMessage="true">
      <formula1>"Mercado Envios por conta do comprador,Mercado Envios grátis"</formula1>
    </dataValidation>
    <dataValidation type="list" sqref="W692" allowBlank="true" errorStyle="stop" showErrorMessage="true" showInputMessage="true">
      <formula1>"Clássico,Premium"</formula1>
    </dataValidation>
    <dataValidation type="list" sqref="J693" allowBlank="true" errorStyle="stop" showErrorMessage="true" showInputMessage="true">
      <formula1>"R$"</formula1>
    </dataValidation>
    <dataValidation type="list" sqref="K693" allowBlank="true" errorStyle="stop" showErrorMessage="true" showInputMessage="true">
      <formula1>"Com impostos,Sem impostos"</formula1>
    </dataValidation>
    <dataValidation type="list" sqref="V693" allowBlank="true" errorStyle="stop" showErrorMessage="true" showInputMessage="true">
      <formula1>"Mercado Envios por conta do comprador,Mercado Envios grátis"</formula1>
    </dataValidation>
    <dataValidation type="list" sqref="W693" allowBlank="true" errorStyle="stop" showErrorMessage="true" showInputMessage="true">
      <formula1>"Clássico,Premium"</formula1>
    </dataValidation>
    <dataValidation type="list" sqref="J694" allowBlank="true" errorStyle="stop" showErrorMessage="true" showInputMessage="true">
      <formula1>"R$"</formula1>
    </dataValidation>
    <dataValidation type="list" sqref="K694" allowBlank="true" errorStyle="stop" showErrorMessage="true" showInputMessage="true">
      <formula1>"Com impostos,Sem impostos"</formula1>
    </dataValidation>
    <dataValidation type="list" sqref="V694" allowBlank="true" errorStyle="stop" showErrorMessage="true" showInputMessage="true">
      <formula1>"Mercado Envios por conta do comprador,Mercado Envios grátis"</formula1>
    </dataValidation>
    <dataValidation type="list" sqref="W694" allowBlank="true" errorStyle="stop" showErrorMessage="true" showInputMessage="true">
      <formula1>"Clássico,Premium"</formula1>
    </dataValidation>
    <dataValidation type="list" sqref="J695" allowBlank="true" errorStyle="stop" showErrorMessage="true" showInputMessage="true">
      <formula1>"R$"</formula1>
    </dataValidation>
    <dataValidation type="list" sqref="K695" allowBlank="true" errorStyle="stop" showErrorMessage="true" showInputMessage="true">
      <formula1>"Com impostos,Sem impostos"</formula1>
    </dataValidation>
    <dataValidation type="list" sqref="V695" allowBlank="true" errorStyle="stop" showErrorMessage="true" showInputMessage="true">
      <formula1>"Mercado Envios por conta do comprador,Mercado Envios grátis"</formula1>
    </dataValidation>
    <dataValidation type="list" sqref="W695" allowBlank="true" errorStyle="stop" showErrorMessage="true" showInputMessage="true">
      <formula1>"Clássico,Premium"</formula1>
    </dataValidation>
    <dataValidation type="list" sqref="J696" allowBlank="true" errorStyle="stop" showErrorMessage="true" showInputMessage="true">
      <formula1>"R$"</formula1>
    </dataValidation>
    <dataValidation type="list" sqref="K696" allowBlank="true" errorStyle="stop" showErrorMessage="true" showInputMessage="true">
      <formula1>"Com impostos,Sem impostos"</formula1>
    </dataValidation>
    <dataValidation type="list" sqref="V696" allowBlank="true" errorStyle="stop" showErrorMessage="true" showInputMessage="true">
      <formula1>"Mercado Envios por conta do comprador,Mercado Envios grátis"</formula1>
    </dataValidation>
    <dataValidation type="list" sqref="W696" allowBlank="true" errorStyle="stop" showErrorMessage="true" showInputMessage="true">
      <formula1>"Clássico,Premium"</formula1>
    </dataValidation>
    <dataValidation type="list" sqref="J697" allowBlank="true" errorStyle="stop" showErrorMessage="true" showInputMessage="true">
      <formula1>"R$"</formula1>
    </dataValidation>
    <dataValidation type="list" sqref="K697" allowBlank="true" errorStyle="stop" showErrorMessage="true" showInputMessage="true">
      <formula1>"Com impostos,Sem impostos"</formula1>
    </dataValidation>
    <dataValidation type="list" sqref="V697" allowBlank="true" errorStyle="stop" showErrorMessage="true" showInputMessage="true">
      <formula1>"Mercado Envios por conta do comprador,Mercado Envios grátis"</formula1>
    </dataValidation>
    <dataValidation type="list" sqref="W697" allowBlank="true" errorStyle="stop" showErrorMessage="true" showInputMessage="true">
      <formula1>"Clássico,Premium"</formula1>
    </dataValidation>
    <dataValidation type="list" sqref="J698" allowBlank="true" errorStyle="stop" showErrorMessage="true" showInputMessage="true">
      <formula1>"R$"</formula1>
    </dataValidation>
    <dataValidation type="list" sqref="K698" allowBlank="true" errorStyle="stop" showErrorMessage="true" showInputMessage="true">
      <formula1>"Com impostos,Sem impostos"</formula1>
    </dataValidation>
    <dataValidation type="list" sqref="V698" allowBlank="true" errorStyle="stop" showErrorMessage="true" showInputMessage="true">
      <formula1>"Mercado Envios por conta do comprador,Mercado Envios grátis"</formula1>
    </dataValidation>
    <dataValidation type="list" sqref="W698" allowBlank="true" errorStyle="stop" showErrorMessage="true" showInputMessage="true">
      <formula1>"Clássico,Premium"</formula1>
    </dataValidation>
    <dataValidation type="list" sqref="J699" allowBlank="true" errorStyle="stop" showErrorMessage="true" showInputMessage="true">
      <formula1>"R$"</formula1>
    </dataValidation>
    <dataValidation type="list" sqref="K699" allowBlank="true" errorStyle="stop" showErrorMessage="true" showInputMessage="true">
      <formula1>"Com impostos,Sem impostos"</formula1>
    </dataValidation>
    <dataValidation type="list" sqref="V699" allowBlank="true" errorStyle="stop" showErrorMessage="true" showInputMessage="true">
      <formula1>"Mercado Envios por conta do comprador,Mercado Envios grátis"</formula1>
    </dataValidation>
    <dataValidation type="list" sqref="W699" allowBlank="true" errorStyle="stop" showErrorMessage="true" showInputMessage="true">
      <formula1>"Clássico,Premium"</formula1>
    </dataValidation>
    <dataValidation type="list" sqref="J700" allowBlank="true" errorStyle="stop" showErrorMessage="true" showInputMessage="true">
      <formula1>"R$"</formula1>
    </dataValidation>
    <dataValidation type="list" sqref="V700" allowBlank="true" errorStyle="stop" showErrorMessage="true" showInputMessage="true">
      <formula1>"Mercado Envios por conta do comprador,Mercado Envios grátis"</formula1>
    </dataValidation>
    <dataValidation type="list" sqref="W700" allowBlank="true" errorStyle="stop" showErrorMessage="true" showInputMessage="true">
      <formula1>"Clássico,Premium"</formula1>
    </dataValidation>
    <dataValidation type="list" sqref="J703" allowBlank="true" errorStyle="stop" showErrorMessage="true" showInputMessage="true">
      <formula1>"R$"</formula1>
    </dataValidation>
    <dataValidation type="list" sqref="V703" allowBlank="true" errorStyle="stop" showErrorMessage="true" showInputMessage="true">
      <formula1>"Mercado Envios por conta do comprador,Mercado Envios grátis"</formula1>
    </dataValidation>
    <dataValidation type="list" sqref="W703" allowBlank="true" errorStyle="stop" showErrorMessage="true" showInputMessage="true">
      <formula1>"Clássico,Premium"</formula1>
    </dataValidation>
    <dataValidation type="list" sqref="J706" allowBlank="true" errorStyle="stop" showErrorMessage="true" showInputMessage="true">
      <formula1>"R$"</formula1>
    </dataValidation>
    <dataValidation type="list" sqref="K706" allowBlank="true" errorStyle="stop" showErrorMessage="true" showInputMessage="true">
      <formula1>"Com impostos,Sem impostos"</formula1>
    </dataValidation>
    <dataValidation type="list" sqref="V706" allowBlank="true" errorStyle="stop" showErrorMessage="true" showInputMessage="true">
      <formula1>"Mercado Envios por conta do comprador,Mercado Envios grátis"</formula1>
    </dataValidation>
    <dataValidation type="list" sqref="W706" allowBlank="true" errorStyle="stop" showErrorMessage="true" showInputMessage="true">
      <formula1>"Clássico,Premium"</formula1>
    </dataValidation>
    <dataValidation type="list" sqref="J707" allowBlank="true" errorStyle="stop" showErrorMessage="true" showInputMessage="true">
      <formula1>"R$"</formula1>
    </dataValidation>
    <dataValidation type="list" sqref="K707" allowBlank="true" errorStyle="stop" showErrorMessage="true" showInputMessage="true">
      <formula1>"Com impostos,Sem impostos"</formula1>
    </dataValidation>
    <dataValidation type="list" sqref="V707" allowBlank="true" errorStyle="stop" showErrorMessage="true" showInputMessage="true">
      <formula1>"Mercado Envios por conta do comprador,Mercado Envios grátis"</formula1>
    </dataValidation>
    <dataValidation type="list" sqref="W707" allowBlank="true" errorStyle="stop" showErrorMessage="true" showInputMessage="true">
      <formula1>"Clássico,Premium"</formula1>
    </dataValidation>
    <dataValidation type="list" sqref="J708" allowBlank="true" errorStyle="stop" showErrorMessage="true" showInputMessage="true">
      <formula1>"R$"</formula1>
    </dataValidation>
    <dataValidation type="list" sqref="K708" allowBlank="true" errorStyle="stop" showErrorMessage="true" showInputMessage="true">
      <formula1>"Com impostos,Sem impostos"</formula1>
    </dataValidation>
    <dataValidation type="list" sqref="V708" allowBlank="true" errorStyle="stop" showErrorMessage="true" showInputMessage="true">
      <formula1>"Mercado Envios por conta do comprador,Mercado Envios grátis"</formula1>
    </dataValidation>
    <dataValidation type="list" sqref="W708" allowBlank="true" errorStyle="stop" showErrorMessage="true" showInputMessage="true">
      <formula1>"Clássico,Premium"</formula1>
    </dataValidation>
    <dataValidation type="list" sqref="J709" allowBlank="true" errorStyle="stop" showErrorMessage="true" showInputMessage="true">
      <formula1>"R$"</formula1>
    </dataValidation>
    <dataValidation type="list" sqref="K709" allowBlank="true" errorStyle="stop" showErrorMessage="true" showInputMessage="true">
      <formula1>"Com impostos,Sem impostos"</formula1>
    </dataValidation>
    <dataValidation type="list" sqref="V709" allowBlank="true" errorStyle="stop" showErrorMessage="true" showInputMessage="true">
      <formula1>"Mercado Envios por conta do comprador,Mercado Envios grátis"</formula1>
    </dataValidation>
    <dataValidation type="list" sqref="W709" allowBlank="true" errorStyle="stop" showErrorMessage="true" showInputMessage="true">
      <formula1>"Clássico,Premium"</formula1>
    </dataValidation>
    <dataValidation type="list" sqref="J710" allowBlank="true" errorStyle="stop" showErrorMessage="true" showInputMessage="true">
      <formula1>"R$"</formula1>
    </dataValidation>
    <dataValidation type="list" sqref="K710" allowBlank="true" errorStyle="stop" showErrorMessage="true" showInputMessage="true">
      <formula1>"Com impostos,Sem impostos"</formula1>
    </dataValidation>
    <dataValidation type="list" sqref="V710" allowBlank="true" errorStyle="stop" showErrorMessage="true" showInputMessage="true">
      <formula1>"Mercado Envios por conta do comprador,Mercado Envios grátis"</formula1>
    </dataValidation>
    <dataValidation type="list" sqref="W710" allowBlank="true" errorStyle="stop" showErrorMessage="true" showInputMessage="true">
      <formula1>"Clássico,Premium"</formula1>
    </dataValidation>
    <dataValidation type="list" sqref="J711" allowBlank="true" errorStyle="stop" showErrorMessage="true" showInputMessage="true">
      <formula1>"R$"</formula1>
    </dataValidation>
    <dataValidation type="list" sqref="K711" allowBlank="true" errorStyle="stop" showErrorMessage="true" showInputMessage="true">
      <formula1>"Com impostos,Sem impostos"</formula1>
    </dataValidation>
    <dataValidation type="list" sqref="V711" allowBlank="true" errorStyle="stop" showErrorMessage="true" showInputMessage="true">
      <formula1>"Mercado Envios por conta do comprador,Mercado Envios grátis"</formula1>
    </dataValidation>
    <dataValidation type="list" sqref="W711" allowBlank="true" errorStyle="stop" showErrorMessage="true" showInputMessage="true">
      <formula1>"Clássico,Premium"</formula1>
    </dataValidation>
    <dataValidation type="list" sqref="J712" allowBlank="true" errorStyle="stop" showErrorMessage="true" showInputMessage="true">
      <formula1>"R$"</formula1>
    </dataValidation>
    <dataValidation type="list" sqref="K712" allowBlank="true" errorStyle="stop" showErrorMessage="true" showInputMessage="true">
      <formula1>"Com impostos,Sem impostos"</formula1>
    </dataValidation>
    <dataValidation type="list" sqref="V712" allowBlank="true" errorStyle="stop" showErrorMessage="true" showInputMessage="true">
      <formula1>"Mercado Envios por conta do comprador,Mercado Envios grátis"</formula1>
    </dataValidation>
    <dataValidation type="list" sqref="W712" allowBlank="true" errorStyle="stop" showErrorMessage="true" showInputMessage="true">
      <formula1>"Clássico,Premium"</formula1>
    </dataValidation>
    <dataValidation type="list" sqref="J713" allowBlank="true" errorStyle="stop" showErrorMessage="true" showInputMessage="true">
      <formula1>"R$"</formula1>
    </dataValidation>
    <dataValidation type="list" sqref="V713" allowBlank="true" errorStyle="stop" showErrorMessage="true" showInputMessage="true">
      <formula1>"Mercado Envios por conta do comprador,Mercado Envios grátis"</formula1>
    </dataValidation>
    <dataValidation type="list" sqref="W713" allowBlank="true" errorStyle="stop" showErrorMessage="true" showInputMessage="true">
      <formula1>"Clássico,Premium"</formula1>
    </dataValidation>
    <dataValidation type="list" sqref="J714" allowBlank="true" errorStyle="stop" showErrorMessage="true" showInputMessage="true">
      <formula1>"R$"</formula1>
    </dataValidation>
    <dataValidation type="list" sqref="K714" allowBlank="true" errorStyle="stop" showErrorMessage="true" showInputMessage="true">
      <formula1>"Com impostos,Sem impostos"</formula1>
    </dataValidation>
    <dataValidation type="list" sqref="V714" allowBlank="true" errorStyle="stop" showErrorMessage="true" showInputMessage="true">
      <formula1>"Mercado Envios por conta do comprador,Mercado Envios grátis"</formula1>
    </dataValidation>
    <dataValidation type="list" sqref="W714" allowBlank="true" errorStyle="stop" showErrorMessage="true" showInputMessage="true">
      <formula1>"Clássico,Premium"</formula1>
    </dataValidation>
    <dataValidation type="list" sqref="J715" allowBlank="true" errorStyle="stop" showErrorMessage="true" showInputMessage="true">
      <formula1>"R$"</formula1>
    </dataValidation>
    <dataValidation type="list" sqref="K715" allowBlank="true" errorStyle="stop" showErrorMessage="true" showInputMessage="true">
      <formula1>"Com impostos,Sem impostos"</formula1>
    </dataValidation>
    <dataValidation type="list" sqref="V715" allowBlank="true" errorStyle="stop" showErrorMessage="true" showInputMessage="true">
      <formula1>"Mercado Envios por conta do comprador,Mercado Envios grátis"</formula1>
    </dataValidation>
    <dataValidation type="list" sqref="W715" allowBlank="true" errorStyle="stop" showErrorMessage="true" showInputMessage="true">
      <formula1>"Clássico,Premium"</formula1>
    </dataValidation>
    <dataValidation type="list" sqref="J716" allowBlank="true" errorStyle="stop" showErrorMessage="true" showInputMessage="true">
      <formula1>"R$"</formula1>
    </dataValidation>
    <dataValidation type="list" sqref="K716" allowBlank="true" errorStyle="stop" showErrorMessage="true" showInputMessage="true">
      <formula1>"Com impostos,Sem impostos"</formula1>
    </dataValidation>
    <dataValidation type="list" sqref="V716" allowBlank="true" errorStyle="stop" showErrorMessage="true" showInputMessage="true">
      <formula1>"Mercado Envios por conta do comprador,Mercado Envios grátis"</formula1>
    </dataValidation>
    <dataValidation type="list" sqref="W716" allowBlank="true" errorStyle="stop" showErrorMessage="true" showInputMessage="true">
      <formula1>"Clássico,Premium"</formula1>
    </dataValidation>
    <dataValidation type="list" sqref="J717" allowBlank="true" errorStyle="stop" showErrorMessage="true" showInputMessage="true">
      <formula1>"R$"</formula1>
    </dataValidation>
    <dataValidation type="list" sqref="K717" allowBlank="true" errorStyle="stop" showErrorMessage="true" showInputMessage="true">
      <formula1>"Com impostos,Sem impostos"</formula1>
    </dataValidation>
    <dataValidation type="list" sqref="V717" allowBlank="true" errorStyle="stop" showErrorMessage="true" showInputMessage="true">
      <formula1>"Mercado Envios por conta do comprador,Mercado Envios grátis"</formula1>
    </dataValidation>
    <dataValidation type="list" sqref="W717" allowBlank="true" errorStyle="stop" showErrorMessage="true" showInputMessage="true">
      <formula1>"Clássico,Premium"</formula1>
    </dataValidation>
    <dataValidation type="list" sqref="J718" allowBlank="true" errorStyle="stop" showErrorMessage="true" showInputMessage="true">
      <formula1>"R$"</formula1>
    </dataValidation>
    <dataValidation type="list" sqref="K718" allowBlank="true" errorStyle="stop" showErrorMessage="true" showInputMessage="true">
      <formula1>"Com impostos,Sem impostos"</formula1>
    </dataValidation>
    <dataValidation type="list" sqref="V718" allowBlank="true" errorStyle="stop" showErrorMessage="true" showInputMessage="true">
      <formula1>"Mercado Envios por conta do comprador,Mercado Envios grátis"</formula1>
    </dataValidation>
    <dataValidation type="list" sqref="W718" allowBlank="true" errorStyle="stop" showErrorMessage="true" showInputMessage="true">
      <formula1>"Clássico,Premium"</formula1>
    </dataValidation>
    <dataValidation type="list" sqref="J719" allowBlank="true" errorStyle="stop" showErrorMessage="true" showInputMessage="true">
      <formula1>"R$"</formula1>
    </dataValidation>
    <dataValidation type="list" sqref="K719" allowBlank="true" errorStyle="stop" showErrorMessage="true" showInputMessage="true">
      <formula1>"Com impostos,Sem impostos"</formula1>
    </dataValidation>
    <dataValidation type="list" sqref="V719" allowBlank="true" errorStyle="stop" showErrorMessage="true" showInputMessage="true">
      <formula1>"Mercado Envios por conta do comprador,Mercado Envios grátis"</formula1>
    </dataValidation>
    <dataValidation type="list" sqref="W719" allowBlank="true" errorStyle="stop" showErrorMessage="true" showInputMessage="true">
      <formula1>"Clássico,Premium"</formula1>
    </dataValidation>
    <dataValidation type="list" sqref="J720" allowBlank="true" errorStyle="stop" showErrorMessage="true" showInputMessage="true">
      <formula1>"R$"</formula1>
    </dataValidation>
    <dataValidation type="list" sqref="K720" allowBlank="true" errorStyle="stop" showErrorMessage="true" showInputMessage="true">
      <formula1>"Com impostos,Sem impostos"</formula1>
    </dataValidation>
    <dataValidation type="list" sqref="V720" allowBlank="true" errorStyle="stop" showErrorMessage="true" showInputMessage="true">
      <formula1>"Mercado Envios por conta do comprador,Mercado Envios grátis"</formula1>
    </dataValidation>
    <dataValidation type="list" sqref="W720" allowBlank="true" errorStyle="stop" showErrorMessage="true" showInputMessage="true">
      <formula1>"Clássico,Premium"</formula1>
    </dataValidation>
    <dataValidation type="list" sqref="J721" allowBlank="true" errorStyle="stop" showErrorMessage="true" showInputMessage="true">
      <formula1>"R$"</formula1>
    </dataValidation>
    <dataValidation type="list" sqref="K721" allowBlank="true" errorStyle="stop" showErrorMessage="true" showInputMessage="true">
      <formula1>"Com impostos,Sem impostos"</formula1>
    </dataValidation>
    <dataValidation type="list" sqref="V721" allowBlank="true" errorStyle="stop" showErrorMessage="true" showInputMessage="true">
      <formula1>"Mercado Envios por conta do comprador,Mercado Envios grátis"</formula1>
    </dataValidation>
    <dataValidation type="list" sqref="W721" allowBlank="true" errorStyle="stop" showErrorMessage="true" showInputMessage="true">
      <formula1>"Clássico,Premium"</formula1>
    </dataValidation>
    <dataValidation type="list" sqref="J722" allowBlank="true" errorStyle="stop" showErrorMessage="true" showInputMessage="true">
      <formula1>"R$"</formula1>
    </dataValidation>
    <dataValidation type="list" sqref="K722" allowBlank="true" errorStyle="stop" showErrorMessage="true" showInputMessage="true">
      <formula1>"Com impostos,Sem impostos"</formula1>
    </dataValidation>
    <dataValidation type="list" sqref="V722" allowBlank="true" errorStyle="stop" showErrorMessage="true" showInputMessage="true">
      <formula1>"Mercado Envios por conta do comprador,Mercado Envios grátis"</formula1>
    </dataValidation>
    <dataValidation type="list" sqref="W722" allowBlank="true" errorStyle="stop" showErrorMessage="true" showInputMessage="true">
      <formula1>"Clássico,Premium"</formula1>
    </dataValidation>
    <dataValidation type="list" sqref="J723" allowBlank="true" errorStyle="stop" showErrorMessage="true" showInputMessage="true">
      <formula1>"R$"</formula1>
    </dataValidation>
    <dataValidation type="list" sqref="K723" allowBlank="true" errorStyle="stop" showErrorMessage="true" showInputMessage="true">
      <formula1>"Com impostos,Sem impostos"</formula1>
    </dataValidation>
    <dataValidation type="list" sqref="V723" allowBlank="true" errorStyle="stop" showErrorMessage="true" showInputMessage="true">
      <formula1>"Mercado Envios por conta do comprador,Mercado Envios grátis"</formula1>
    </dataValidation>
    <dataValidation type="list" sqref="W723" allowBlank="true" errorStyle="stop" showErrorMessage="true" showInputMessage="true">
      <formula1>"Clássico,Premium"</formula1>
    </dataValidation>
    <dataValidation type="list" sqref="J724" allowBlank="true" errorStyle="stop" showErrorMessage="true" showInputMessage="true">
      <formula1>"R$"</formula1>
    </dataValidation>
    <dataValidation type="list" sqref="K724" allowBlank="true" errorStyle="stop" showErrorMessage="true" showInputMessage="true">
      <formula1>"Com impostos,Sem impostos"</formula1>
    </dataValidation>
    <dataValidation type="list" sqref="V724" allowBlank="true" errorStyle="stop" showErrorMessage="true" showInputMessage="true">
      <formula1>"Mercado Envios por conta do comprador,Mercado Envios grátis"</formula1>
    </dataValidation>
    <dataValidation type="list" sqref="W724" allowBlank="true" errorStyle="stop" showErrorMessage="true" showInputMessage="true">
      <formula1>"Clássico,Premium"</formula1>
    </dataValidation>
    <dataValidation type="list" sqref="J725" allowBlank="true" errorStyle="stop" showErrorMessage="true" showInputMessage="true">
      <formula1>"R$"</formula1>
    </dataValidation>
    <dataValidation type="list" sqref="V725" allowBlank="true" errorStyle="stop" showErrorMessage="true" showInputMessage="true">
      <formula1>"Mercado Envios por conta do comprador,Mercado Envios grátis"</formula1>
    </dataValidation>
    <dataValidation type="list" sqref="W725" allowBlank="true" errorStyle="stop" showErrorMessage="true" showInputMessage="true">
      <formula1>"Clássico,Premium"</formula1>
    </dataValidation>
    <dataValidation type="list" sqref="J728" allowBlank="true" errorStyle="stop" showErrorMessage="true" showInputMessage="true">
      <formula1>"R$"</formula1>
    </dataValidation>
    <dataValidation type="list" sqref="K728" allowBlank="true" errorStyle="stop" showErrorMessage="true" showInputMessage="true">
      <formula1>"Com impostos,Sem impostos"</formula1>
    </dataValidation>
    <dataValidation type="list" sqref="V728" allowBlank="true" errorStyle="stop" showErrorMessage="true" showInputMessage="true">
      <formula1>"Mercado Envios por conta do comprador,Mercado Envios grátis"</formula1>
    </dataValidation>
    <dataValidation type="list" sqref="W728" allowBlank="true" errorStyle="stop" showErrorMessage="true" showInputMessage="true">
      <formula1>"Clássico,Premium"</formula1>
    </dataValidation>
    <dataValidation type="list" sqref="J729" allowBlank="true" errorStyle="stop" showErrorMessage="true" showInputMessage="true">
      <formula1>"R$"</formula1>
    </dataValidation>
    <dataValidation type="list" sqref="K729" allowBlank="true" errorStyle="stop" showErrorMessage="true" showInputMessage="true">
      <formula1>"Com impostos,Sem impostos"</formula1>
    </dataValidation>
    <dataValidation type="list" sqref="V729" allowBlank="true" errorStyle="stop" showErrorMessage="true" showInputMessage="true">
      <formula1>"Mercado Envios por conta do comprador,Mercado Envios grátis"</formula1>
    </dataValidation>
    <dataValidation type="list" sqref="W729" allowBlank="true" errorStyle="stop" showErrorMessage="true" showInputMessage="true">
      <formula1>"Clássico,Premium"</formula1>
    </dataValidation>
    <dataValidation type="list" sqref="J730" allowBlank="true" errorStyle="stop" showErrorMessage="true" showInputMessage="true">
      <formula1>"R$"</formula1>
    </dataValidation>
    <dataValidation type="list" sqref="V730" allowBlank="true" errorStyle="stop" showErrorMessage="true" showInputMessage="true">
      <formula1>"Mercado Envios por conta do comprador,Mercado Envios grátis"</formula1>
    </dataValidation>
    <dataValidation type="list" sqref="W730" allowBlank="true" errorStyle="stop" showErrorMessage="true" showInputMessage="true">
      <formula1>"Clássico,Premium"</formula1>
    </dataValidation>
    <dataValidation type="list" sqref="J733" allowBlank="true" errorStyle="stop" showErrorMessage="true" showInputMessage="true">
      <formula1>"R$"</formula1>
    </dataValidation>
    <dataValidation type="list" sqref="K733" allowBlank="true" errorStyle="stop" showErrorMessage="true" showInputMessage="true">
      <formula1>"Com impostos,Sem impostos"</formula1>
    </dataValidation>
    <dataValidation type="list" sqref="V733" allowBlank="true" errorStyle="stop" showErrorMessage="true" showInputMessage="true">
      <formula1>"Mercado Envios por conta do comprador,Mercado Envios grátis"</formula1>
    </dataValidation>
    <dataValidation type="list" sqref="W733" allowBlank="true" errorStyle="stop" showErrorMessage="true" showInputMessage="true">
      <formula1>"Clássico,Premium"</formula1>
    </dataValidation>
    <dataValidation type="list" sqref="J734" allowBlank="true" errorStyle="stop" showErrorMessage="true" showInputMessage="true">
      <formula1>"R$"</formula1>
    </dataValidation>
    <dataValidation type="list" sqref="K734" allowBlank="true" errorStyle="stop" showErrorMessage="true" showInputMessage="true">
      <formula1>"Com impostos,Sem impostos"</formula1>
    </dataValidation>
    <dataValidation type="list" sqref="V734" allowBlank="true" errorStyle="stop" showErrorMessage="true" showInputMessage="true">
      <formula1>"Mercado Envios por conta do comprador,Mercado Envios grátis"</formula1>
    </dataValidation>
    <dataValidation type="list" sqref="W734" allowBlank="true" errorStyle="stop" showErrorMessage="true" showInputMessage="true">
      <formula1>"Clássico,Premium"</formula1>
    </dataValidation>
    <dataValidation type="list" sqref="J735" allowBlank="true" errorStyle="stop" showErrorMessage="true" showInputMessage="true">
      <formula1>"R$"</formula1>
    </dataValidation>
    <dataValidation type="list" sqref="K735" allowBlank="true" errorStyle="stop" showErrorMessage="true" showInputMessage="true">
      <formula1>"Com impostos,Sem impostos"</formula1>
    </dataValidation>
    <dataValidation type="list" sqref="V735" allowBlank="true" errorStyle="stop" showErrorMessage="true" showInputMessage="true">
      <formula1>"Mercado Envios por conta do comprador,Mercado Envios grátis"</formula1>
    </dataValidation>
    <dataValidation type="list" sqref="W735" allowBlank="true" errorStyle="stop" showErrorMessage="true" showInputMessage="true">
      <formula1>"Clássico,Premium"</formula1>
    </dataValidation>
    <dataValidation type="list" sqref="J736" allowBlank="true" errorStyle="stop" showErrorMessage="true" showInputMessage="true">
      <formula1>"R$"</formula1>
    </dataValidation>
    <dataValidation type="list" sqref="K736" allowBlank="true" errorStyle="stop" showErrorMessage="true" showInputMessage="true">
      <formula1>"Com impostos,Sem impostos"</formula1>
    </dataValidation>
    <dataValidation type="list" sqref="V736" allowBlank="true" errorStyle="stop" showErrorMessage="true" showInputMessage="true">
      <formula1>"Mercado Envios por conta do comprador,Mercado Envios grátis"</formula1>
    </dataValidation>
    <dataValidation type="list" sqref="W736" allowBlank="true" errorStyle="stop" showErrorMessage="true" showInputMessage="true">
      <formula1>"Clássico,Premium"</formula1>
    </dataValidation>
    <dataValidation type="list" sqref="J737" allowBlank="true" errorStyle="stop" showErrorMessage="true" showInputMessage="true">
      <formula1>"R$"</formula1>
    </dataValidation>
    <dataValidation type="list" sqref="K737" allowBlank="true" errorStyle="stop" showErrorMessage="true" showInputMessage="true">
      <formula1>"Com impostos,Sem impostos"</formula1>
    </dataValidation>
    <dataValidation type="list" sqref="V737" allowBlank="true" errorStyle="stop" showErrorMessage="true" showInputMessage="true">
      <formula1>"Mercado Envios por conta do comprador,Mercado Envios grátis"</formula1>
    </dataValidation>
    <dataValidation type="list" sqref="W737" allowBlank="true" errorStyle="stop" showErrorMessage="true" showInputMessage="true">
      <formula1>"Clássico,Premium"</formula1>
    </dataValidation>
    <dataValidation type="list" sqref="J738" allowBlank="true" errorStyle="stop" showErrorMessage="true" showInputMessage="true">
      <formula1>"R$"</formula1>
    </dataValidation>
    <dataValidation type="list" sqref="K738" allowBlank="true" errorStyle="stop" showErrorMessage="true" showInputMessage="true">
      <formula1>"Com impostos,Sem impostos"</formula1>
    </dataValidation>
    <dataValidation type="list" sqref="V738" allowBlank="true" errorStyle="stop" showErrorMessage="true" showInputMessage="true">
      <formula1>"Mercado Envios por conta do comprador,Mercado Envios grátis"</formula1>
    </dataValidation>
    <dataValidation type="list" sqref="W738" allowBlank="true" errorStyle="stop" showErrorMessage="true" showInputMessage="true">
      <formula1>"Clássico,Premium"</formula1>
    </dataValidation>
    <dataValidation type="list" sqref="J739" allowBlank="true" errorStyle="stop" showErrorMessage="true" showInputMessage="true">
      <formula1>"R$"</formula1>
    </dataValidation>
    <dataValidation type="list" sqref="K739" allowBlank="true" errorStyle="stop" showErrorMessage="true" showInputMessage="true">
      <formula1>"Com impostos,Sem impostos"</formula1>
    </dataValidation>
    <dataValidation type="list" sqref="V739" allowBlank="true" errorStyle="stop" showErrorMessage="true" showInputMessage="true">
      <formula1>"Mercado Envios por conta do comprador,Mercado Envios grátis"</formula1>
    </dataValidation>
    <dataValidation type="list" sqref="W739" allowBlank="true" errorStyle="stop" showErrorMessage="true" showInputMessage="true">
      <formula1>"Clássico,Premium"</formula1>
    </dataValidation>
    <dataValidation type="list" sqref="J740" allowBlank="true" errorStyle="stop" showErrorMessage="true" showInputMessage="true">
      <formula1>"R$"</formula1>
    </dataValidation>
    <dataValidation type="list" sqref="K740" allowBlank="true" errorStyle="stop" showErrorMessage="true" showInputMessage="true">
      <formula1>"Com impostos,Sem impostos"</formula1>
    </dataValidation>
    <dataValidation type="list" sqref="V740" allowBlank="true" errorStyle="stop" showErrorMessage="true" showInputMessage="true">
      <formula1>"Mercado Envios por conta do comprador,Mercado Envios grátis"</formula1>
    </dataValidation>
    <dataValidation type="list" sqref="W740" allowBlank="true" errorStyle="stop" showErrorMessage="true" showInputMessage="true">
      <formula1>"Clássico,Premium"</formula1>
    </dataValidation>
    <dataValidation type="list" sqref="J741" allowBlank="true" errorStyle="stop" showErrorMessage="true" showInputMessage="true">
      <formula1>"R$"</formula1>
    </dataValidation>
    <dataValidation type="list" sqref="K741" allowBlank="true" errorStyle="stop" showErrorMessage="true" showInputMessage="true">
      <formula1>"Com impostos,Sem impostos"</formula1>
    </dataValidation>
    <dataValidation type="list" sqref="V741" allowBlank="true" errorStyle="stop" showErrorMessage="true" showInputMessage="true">
      <formula1>"Mercado Envios por conta do comprador,Mercado Envios grátis"</formula1>
    </dataValidation>
    <dataValidation type="list" sqref="W741" allowBlank="true" errorStyle="stop" showErrorMessage="true" showInputMessage="true">
      <formula1>"Clássico,Premium"</formula1>
    </dataValidation>
    <dataValidation type="list" sqref="J742" allowBlank="true" errorStyle="stop" showErrorMessage="true" showInputMessage="true">
      <formula1>"R$"</formula1>
    </dataValidation>
    <dataValidation type="list" sqref="K742" allowBlank="true" errorStyle="stop" showErrorMessage="true" showInputMessage="true">
      <formula1>"Com impostos,Sem impostos"</formula1>
    </dataValidation>
    <dataValidation type="list" sqref="V742" allowBlank="true" errorStyle="stop" showErrorMessage="true" showInputMessage="true">
      <formula1>"Mercado Envios por conta do comprador,Mercado Envios grátis"</formula1>
    </dataValidation>
    <dataValidation type="list" sqref="W742" allowBlank="true" errorStyle="stop" showErrorMessage="true" showInputMessage="true">
      <formula1>"Clássico,Premium"</formula1>
    </dataValidation>
    <dataValidation type="list" sqref="J743" allowBlank="true" errorStyle="stop" showErrorMessage="true" showInputMessage="true">
      <formula1>"R$"</formula1>
    </dataValidation>
    <dataValidation type="list" sqref="K743" allowBlank="true" errorStyle="stop" showErrorMessage="true" showInputMessage="true">
      <formula1>"Com impostos,Sem impostos"</formula1>
    </dataValidation>
    <dataValidation type="list" sqref="V743" allowBlank="true" errorStyle="stop" showErrorMessage="true" showInputMessage="true">
      <formula1>"Mercado Envios por conta do comprador,Mercado Envios grátis"</formula1>
    </dataValidation>
    <dataValidation type="list" sqref="W743" allowBlank="true" errorStyle="stop" showErrorMessage="true" showInputMessage="true">
      <formula1>"Clássico,Premium"</formula1>
    </dataValidation>
    <dataValidation type="list" sqref="J744" allowBlank="true" errorStyle="stop" showErrorMessage="true" showInputMessage="true">
      <formula1>"R$"</formula1>
    </dataValidation>
    <dataValidation type="list" sqref="K744" allowBlank="true" errorStyle="stop" showErrorMessage="true" showInputMessage="true">
      <formula1>"Com impostos,Sem impostos"</formula1>
    </dataValidation>
    <dataValidation type="list" sqref="V744" allowBlank="true" errorStyle="stop" showErrorMessage="true" showInputMessage="true">
      <formula1>"Mercado Envios por conta do comprador,Mercado Envios grátis"</formula1>
    </dataValidation>
    <dataValidation type="list" sqref="W744" allowBlank="true" errorStyle="stop" showErrorMessage="true" showInputMessage="true">
      <formula1>"Clássico,Premium"</formula1>
    </dataValidation>
    <dataValidation type="list" sqref="J745" allowBlank="true" errorStyle="stop" showErrorMessage="true" showInputMessage="true">
      <formula1>"R$"</formula1>
    </dataValidation>
    <dataValidation type="list" sqref="K745" allowBlank="true" errorStyle="stop" showErrorMessage="true" showInputMessage="true">
      <formula1>"Com impostos,Sem impostos"</formula1>
    </dataValidation>
    <dataValidation type="list" sqref="V745" allowBlank="true" errorStyle="stop" showErrorMessage="true" showInputMessage="true">
      <formula1>"Mercado Envios por conta do comprador,Mercado Envios grátis"</formula1>
    </dataValidation>
    <dataValidation type="list" sqref="W745" allowBlank="true" errorStyle="stop" showErrorMessage="true" showInputMessage="true">
      <formula1>"Clássico,Premium"</formula1>
    </dataValidation>
    <dataValidation type="list" sqref="J746" allowBlank="true" errorStyle="stop" showErrorMessage="true" showInputMessage="true">
      <formula1>"R$"</formula1>
    </dataValidation>
    <dataValidation type="list" sqref="K746" allowBlank="true" errorStyle="stop" showErrorMessage="true" showInputMessage="true">
      <formula1>"Com impostos,Sem impostos"</formula1>
    </dataValidation>
    <dataValidation type="list" sqref="V746" allowBlank="true" errorStyle="stop" showErrorMessage="true" showInputMessage="true">
      <formula1>"Mercado Envios por conta do comprador,Mercado Envios grátis"</formula1>
    </dataValidation>
    <dataValidation type="list" sqref="W746" allowBlank="true" errorStyle="stop" showErrorMessage="true" showInputMessage="true">
      <formula1>"Clássico,Premium"</formula1>
    </dataValidation>
    <dataValidation type="list" sqref="J747" allowBlank="true" errorStyle="stop" showErrorMessage="true" showInputMessage="true">
      <formula1>"R$"</formula1>
    </dataValidation>
    <dataValidation type="list" sqref="V747" allowBlank="true" errorStyle="stop" showErrorMessage="true" showInputMessage="true">
      <formula1>"Mercado Envios por conta do comprador,Mercado Envios grátis"</formula1>
    </dataValidation>
    <dataValidation type="list" sqref="W747" allowBlank="true" errorStyle="stop" showErrorMessage="true" showInputMessage="true">
      <formula1>"Clássico,Premium"</formula1>
    </dataValidation>
    <dataValidation type="list" sqref="J748" allowBlank="true" errorStyle="stop" showErrorMessage="true" showInputMessage="true">
      <formula1>"R$"</formula1>
    </dataValidation>
    <dataValidation type="list" sqref="K748" allowBlank="true" errorStyle="stop" showErrorMessage="true" showInputMessage="true">
      <formula1>"Com impostos,Sem impostos"</formula1>
    </dataValidation>
    <dataValidation type="list" sqref="V748" allowBlank="true" errorStyle="stop" showErrorMessage="true" showInputMessage="true">
      <formula1>"Mercado Envios por conta do comprador,Mercado Envios grátis"</formula1>
    </dataValidation>
    <dataValidation type="list" sqref="W748" allowBlank="true" errorStyle="stop" showErrorMessage="true" showInputMessage="true">
      <formula1>"Clássico,Premium"</formula1>
    </dataValidation>
    <dataValidation type="list" sqref="J749" allowBlank="true" errorStyle="stop" showErrorMessage="true" showInputMessage="true">
      <formula1>"R$"</formula1>
    </dataValidation>
    <dataValidation type="list" sqref="K749" allowBlank="true" errorStyle="stop" showErrorMessage="true" showInputMessage="true">
      <formula1>"Com impostos,Sem impostos"</formula1>
    </dataValidation>
    <dataValidation type="list" sqref="V749" allowBlank="true" errorStyle="stop" showErrorMessage="true" showInputMessage="true">
      <formula1>"Mercado Envios por conta do comprador,Mercado Envios grátis"</formula1>
    </dataValidation>
    <dataValidation type="list" sqref="W749" allowBlank="true" errorStyle="stop" showErrorMessage="true" showInputMessage="true">
      <formula1>"Clássico,Premium"</formula1>
    </dataValidation>
    <dataValidation type="list" sqref="J750" allowBlank="true" errorStyle="stop" showErrorMessage="true" showInputMessage="true">
      <formula1>"R$"</formula1>
    </dataValidation>
    <dataValidation type="list" sqref="K750" allowBlank="true" errorStyle="stop" showErrorMessage="true" showInputMessage="true">
      <formula1>"Com impostos,Sem impostos"</formula1>
    </dataValidation>
    <dataValidation type="list" sqref="V750" allowBlank="true" errorStyle="stop" showErrorMessage="true" showInputMessage="true">
      <formula1>"Mercado Envios por conta do comprador,Mercado Envios grátis"</formula1>
    </dataValidation>
    <dataValidation type="list" sqref="W750" allowBlank="true" errorStyle="stop" showErrorMessage="true" showInputMessage="true">
      <formula1>"Clássico,Premium"</formula1>
    </dataValidation>
    <dataValidation type="list" sqref="J751" allowBlank="true" errorStyle="stop" showErrorMessage="true" showInputMessage="true">
      <formula1>"R$"</formula1>
    </dataValidation>
    <dataValidation type="list" sqref="K751" allowBlank="true" errorStyle="stop" showErrorMessage="true" showInputMessage="true">
      <formula1>"Com impostos,Sem impostos"</formula1>
    </dataValidation>
    <dataValidation type="list" sqref="V751" allowBlank="true" errorStyle="stop" showErrorMessage="true" showInputMessage="true">
      <formula1>"Mercado Envios por conta do comprador,Mercado Envios grátis"</formula1>
    </dataValidation>
    <dataValidation type="list" sqref="W751" allowBlank="true" errorStyle="stop" showErrorMessage="true" showInputMessage="true">
      <formula1>"Clássico,Premium"</formula1>
    </dataValidation>
    <dataValidation type="list" sqref="J752" allowBlank="true" errorStyle="stop" showErrorMessage="true" showInputMessage="true">
      <formula1>"R$"</formula1>
    </dataValidation>
    <dataValidation type="list" sqref="K752" allowBlank="true" errorStyle="stop" showErrorMessage="true" showInputMessage="true">
      <formula1>"Com impostos,Sem impostos"</formula1>
    </dataValidation>
    <dataValidation type="list" sqref="V752" allowBlank="true" errorStyle="stop" showErrorMessage="true" showInputMessage="true">
      <formula1>"Mercado Envios por conta do comprador,Mercado Envios grátis"</formula1>
    </dataValidation>
    <dataValidation type="list" sqref="W752" allowBlank="true" errorStyle="stop" showErrorMessage="true" showInputMessage="true">
      <formula1>"Clássico,Premium"</formula1>
    </dataValidation>
    <dataValidation type="list" sqref="J753" allowBlank="true" errorStyle="stop" showErrorMessage="true" showInputMessage="true">
      <formula1>"R$"</formula1>
    </dataValidation>
    <dataValidation type="list" sqref="K753" allowBlank="true" errorStyle="stop" showErrorMessage="true" showInputMessage="true">
      <formula1>"Com impostos,Sem impostos"</formula1>
    </dataValidation>
    <dataValidation type="list" sqref="V753" allowBlank="true" errorStyle="stop" showErrorMessage="true" showInputMessage="true">
      <formula1>"Mercado Envios por conta do comprador,Mercado Envios grátis"</formula1>
    </dataValidation>
    <dataValidation type="list" sqref="W753" allowBlank="true" errorStyle="stop" showErrorMessage="true" showInputMessage="true">
      <formula1>"Clássico,Premium"</formula1>
    </dataValidation>
    <dataValidation type="list" sqref="J754" allowBlank="true" errorStyle="stop" showErrorMessage="true" showInputMessage="true">
      <formula1>"R$"</formula1>
    </dataValidation>
    <dataValidation type="list" sqref="K754" allowBlank="true" errorStyle="stop" showErrorMessage="true" showInputMessage="true">
      <formula1>"Com impostos,Sem impostos"</formula1>
    </dataValidation>
    <dataValidation type="list" sqref="V754" allowBlank="true" errorStyle="stop" showErrorMessage="true" showInputMessage="true">
      <formula1>"Mercado Envios por conta do comprador,Mercado Envios grátis"</formula1>
    </dataValidation>
    <dataValidation type="list" sqref="W754" allowBlank="true" errorStyle="stop" showErrorMessage="true" showInputMessage="true">
      <formula1>"Clássico,Premium"</formula1>
    </dataValidation>
    <dataValidation type="list" sqref="J755" allowBlank="true" errorStyle="stop" showErrorMessage="true" showInputMessage="true">
      <formula1>"R$"</formula1>
    </dataValidation>
    <dataValidation type="list" sqref="V755" allowBlank="true" errorStyle="stop" showErrorMessage="true" showInputMessage="true">
      <formula1>"Mercado Envios por conta do comprador,Mercado Envios grátis"</formula1>
    </dataValidation>
    <dataValidation type="list" sqref="W755" allowBlank="true" errorStyle="stop" showErrorMessage="true" showInputMessage="true">
      <formula1>"Clássico,Premium"</formula1>
    </dataValidation>
    <dataValidation type="list" sqref="J756" allowBlank="true" errorStyle="stop" showErrorMessage="true" showInputMessage="true">
      <formula1>"R$"</formula1>
    </dataValidation>
    <dataValidation type="list" sqref="V756" allowBlank="true" errorStyle="stop" showErrorMessage="true" showInputMessage="true">
      <formula1>"Mercado Envios por conta do comprador,Mercado Envios grátis"</formula1>
    </dataValidation>
    <dataValidation type="list" sqref="W756" allowBlank="true" errorStyle="stop" showErrorMessage="true" showInputMessage="true">
      <formula1>"Clássico,Premium"</formula1>
    </dataValidation>
    <dataValidation type="list" sqref="J759" allowBlank="true" errorStyle="stop" showErrorMessage="true" showInputMessage="true">
      <formula1>"R$"</formula1>
    </dataValidation>
    <dataValidation type="list" sqref="K759" allowBlank="true" errorStyle="stop" showErrorMessage="true" showInputMessage="true">
      <formula1>"Com impostos,Sem impostos"</formula1>
    </dataValidation>
    <dataValidation type="list" sqref="V759" allowBlank="true" errorStyle="stop" showErrorMessage="true" showInputMessage="true">
      <formula1>"Mercado Envios por conta do comprador,Mercado Envios grátis"</formula1>
    </dataValidation>
    <dataValidation type="list" sqref="W759" allowBlank="true" errorStyle="stop" showErrorMessage="true" showInputMessage="true">
      <formula1>"Clássico,Premium"</formula1>
    </dataValidation>
    <dataValidation type="list" sqref="J760" allowBlank="true" errorStyle="stop" showErrorMessage="true" showInputMessage="true">
      <formula1>"R$"</formula1>
    </dataValidation>
    <dataValidation type="list" sqref="K760" allowBlank="true" errorStyle="stop" showErrorMessage="true" showInputMessage="true">
      <formula1>"Com impostos,Sem impostos"</formula1>
    </dataValidation>
    <dataValidation type="list" sqref="V760" allowBlank="true" errorStyle="stop" showErrorMessage="true" showInputMessage="true">
      <formula1>"Mercado Envios por conta do comprador,Mercado Envios grátis"</formula1>
    </dataValidation>
    <dataValidation type="list" sqref="W760" allowBlank="true" errorStyle="stop" showErrorMessage="true" showInputMessage="true">
      <formula1>"Clássico,Premium"</formula1>
    </dataValidation>
    <dataValidation type="list" sqref="J761" allowBlank="true" errorStyle="stop" showErrorMessage="true" showInputMessage="true">
      <formula1>"R$"</formula1>
    </dataValidation>
    <dataValidation type="list" sqref="V761" allowBlank="true" errorStyle="stop" showErrorMessage="true" showInputMessage="true">
      <formula1>"Mercado Envios por conta do comprador,Mercado Envios grátis"</formula1>
    </dataValidation>
    <dataValidation type="list" sqref="W761" allowBlank="true" errorStyle="stop" showErrorMessage="true" showInputMessage="true">
      <formula1>"Clássico,Premium"</formula1>
    </dataValidation>
    <dataValidation type="list" sqref="J762" allowBlank="true" errorStyle="stop" showErrorMessage="true" showInputMessage="true">
      <formula1>"R$"</formula1>
    </dataValidation>
    <dataValidation type="list" sqref="K762" allowBlank="true" errorStyle="stop" showErrorMessage="true" showInputMessage="true">
      <formula1>"Com impostos,Sem impostos"</formula1>
    </dataValidation>
    <dataValidation type="list" sqref="V762" allowBlank="true" errorStyle="stop" showErrorMessage="true" showInputMessage="true">
      <formula1>"Mercado Envios por conta do comprador,Mercado Envios grátis"</formula1>
    </dataValidation>
    <dataValidation type="list" sqref="W762" allowBlank="true" errorStyle="stop" showErrorMessage="true" showInputMessage="true">
      <formula1>"Clássico,Premium"</formula1>
    </dataValidation>
    <dataValidation type="list" sqref="J763" allowBlank="true" errorStyle="stop" showErrorMessage="true" showInputMessage="true">
      <formula1>"R$"</formula1>
    </dataValidation>
    <dataValidation type="list" sqref="K763" allowBlank="true" errorStyle="stop" showErrorMessage="true" showInputMessage="true">
      <formula1>"Com impostos,Sem impostos"</formula1>
    </dataValidation>
    <dataValidation type="list" sqref="V763" allowBlank="true" errorStyle="stop" showErrorMessage="true" showInputMessage="true">
      <formula1>"Mercado Envios por conta do comprador,Mercado Envios grátis"</formula1>
    </dataValidation>
    <dataValidation type="list" sqref="W763" allowBlank="true" errorStyle="stop" showErrorMessage="true" showInputMessage="true">
      <formula1>"Clássico,Premium"</formula1>
    </dataValidation>
    <dataValidation type="list" sqref="J764" allowBlank="true" errorStyle="stop" showErrorMessage="true" showInputMessage="true">
      <formula1>"R$"</formula1>
    </dataValidation>
    <dataValidation type="list" sqref="K764" allowBlank="true" errorStyle="stop" showErrorMessage="true" showInputMessage="true">
      <formula1>"Com impostos,Sem impostos"</formula1>
    </dataValidation>
    <dataValidation type="list" sqref="V764" allowBlank="true" errorStyle="stop" showErrorMessage="true" showInputMessage="true">
      <formula1>"Mercado Envios por conta do comprador,Mercado Envios grátis"</formula1>
    </dataValidation>
    <dataValidation type="list" sqref="W764" allowBlank="true" errorStyle="stop" showErrorMessage="true" showInputMessage="true">
      <formula1>"Clássico,Premium"</formula1>
    </dataValidation>
    <dataValidation type="list" sqref="J765" allowBlank="true" errorStyle="stop" showErrorMessage="true" showInputMessage="true">
      <formula1>"R$"</formula1>
    </dataValidation>
    <dataValidation type="list" sqref="K765" allowBlank="true" errorStyle="stop" showErrorMessage="true" showInputMessage="true">
      <formula1>"Com impostos,Sem impostos"</formula1>
    </dataValidation>
    <dataValidation type="list" sqref="V765" allowBlank="true" errorStyle="stop" showErrorMessage="true" showInputMessage="true">
      <formula1>"Mercado Envios por conta do comprador,Mercado Envios grátis"</formula1>
    </dataValidation>
    <dataValidation type="list" sqref="W765" allowBlank="true" errorStyle="stop" showErrorMessage="true" showInputMessage="true">
      <formula1>"Clássico,Premium"</formula1>
    </dataValidation>
    <dataValidation type="list" sqref="J766" allowBlank="true" errorStyle="stop" showErrorMessage="true" showInputMessage="true">
      <formula1>"R$"</formula1>
    </dataValidation>
    <dataValidation type="list" sqref="K766" allowBlank="true" errorStyle="stop" showErrorMessage="true" showInputMessage="true">
      <formula1>"Com impostos,Sem impostos"</formula1>
    </dataValidation>
    <dataValidation type="list" sqref="V766" allowBlank="true" errorStyle="stop" showErrorMessage="true" showInputMessage="true">
      <formula1>"Mercado Envios por conta do comprador,Mercado Envios grátis"</formula1>
    </dataValidation>
    <dataValidation type="list" sqref="W766" allowBlank="true" errorStyle="stop" showErrorMessage="true" showInputMessage="true">
      <formula1>"Clássico,Premium"</formula1>
    </dataValidation>
    <dataValidation type="list" sqref="J767" allowBlank="true" errorStyle="stop" showErrorMessage="true" showInputMessage="true">
      <formula1>"R$"</formula1>
    </dataValidation>
    <dataValidation type="list" sqref="K767" allowBlank="true" errorStyle="stop" showErrorMessage="true" showInputMessage="true">
      <formula1>"Com impostos,Sem impostos"</formula1>
    </dataValidation>
    <dataValidation type="list" sqref="V767" allowBlank="true" errorStyle="stop" showErrorMessage="true" showInputMessage="true">
      <formula1>"Mercado Envios por conta do comprador,Mercado Envios grátis"</formula1>
    </dataValidation>
    <dataValidation type="list" sqref="W767" allowBlank="true" errorStyle="stop" showErrorMessage="true" showInputMessage="true">
      <formula1>"Clássico,Premium"</formula1>
    </dataValidation>
    <dataValidation type="list" sqref="J768" allowBlank="true" errorStyle="stop" showErrorMessage="true" showInputMessage="true">
      <formula1>"R$"</formula1>
    </dataValidation>
    <dataValidation type="list" sqref="K768" allowBlank="true" errorStyle="stop" showErrorMessage="true" showInputMessage="true">
      <formula1>"Com impostos,Sem impostos"</formula1>
    </dataValidation>
    <dataValidation type="list" sqref="V768" allowBlank="true" errorStyle="stop" showErrorMessage="true" showInputMessage="true">
      <formula1>"Mercado Envios por conta do comprador,Mercado Envios grátis"</formula1>
    </dataValidation>
    <dataValidation type="list" sqref="W768" allowBlank="true" errorStyle="stop" showErrorMessage="true" showInputMessage="true">
      <formula1>"Clássico,Premium"</formula1>
    </dataValidation>
    <dataValidation type="list" sqref="J769" allowBlank="true" errorStyle="stop" showErrorMessage="true" showInputMessage="true">
      <formula1>"R$"</formula1>
    </dataValidation>
    <dataValidation type="list" sqref="K769" allowBlank="true" errorStyle="stop" showErrorMessage="true" showInputMessage="true">
      <formula1>"Com impostos,Sem impostos"</formula1>
    </dataValidation>
    <dataValidation type="list" sqref="V769" allowBlank="true" errorStyle="stop" showErrorMessage="true" showInputMessage="true">
      <formula1>"Mercado Envios por conta do comprador,Mercado Envios grátis"</formula1>
    </dataValidation>
    <dataValidation type="list" sqref="W769" allowBlank="true" errorStyle="stop" showErrorMessage="true" showInputMessage="true">
      <formula1>"Clássico,Premium"</formula1>
    </dataValidation>
    <dataValidation type="list" sqref="J770" allowBlank="true" errorStyle="stop" showErrorMessage="true" showInputMessage="true">
      <formula1>"R$"</formula1>
    </dataValidation>
    <dataValidation type="list" sqref="K770" allowBlank="true" errorStyle="stop" showErrorMessage="true" showInputMessage="true">
      <formula1>"Com impostos,Sem impostos"</formula1>
    </dataValidation>
    <dataValidation type="list" sqref="V770" allowBlank="true" errorStyle="stop" showErrorMessage="true" showInputMessage="true">
      <formula1>"Mercado Envios por conta do comprador,Mercado Envios grátis"</formula1>
    </dataValidation>
    <dataValidation type="list" sqref="W770" allowBlank="true" errorStyle="stop" showErrorMessage="true" showInputMessage="true">
      <formula1>"Clássico,Premium"</formula1>
    </dataValidation>
    <dataValidation type="list" sqref="J771" allowBlank="true" errorStyle="stop" showErrorMessage="true" showInputMessage="true">
      <formula1>"R$"</formula1>
    </dataValidation>
    <dataValidation type="list" sqref="V771" allowBlank="true" errorStyle="stop" showErrorMessage="true" showInputMessage="true">
      <formula1>"Mercado Envios por conta do comprador,Mercado Envios grátis"</formula1>
    </dataValidation>
    <dataValidation type="list" sqref="W771" allowBlank="true" errorStyle="stop" showErrorMessage="true" showInputMessage="true">
      <formula1>"Clássico,Premium"</formula1>
    </dataValidation>
    <dataValidation type="list" sqref="J774" allowBlank="true" errorStyle="stop" showErrorMessage="true" showInputMessage="true">
      <formula1>"R$"</formula1>
    </dataValidation>
    <dataValidation type="list" sqref="K774" allowBlank="true" errorStyle="stop" showErrorMessage="true" showInputMessage="true">
      <formula1>"Com impostos,Sem impostos"</formula1>
    </dataValidation>
    <dataValidation type="list" sqref="V774" allowBlank="true" errorStyle="stop" showErrorMessage="true" showInputMessage="true">
      <formula1>"Mercado Envios por conta do comprador,Mercado Envios grátis"</formula1>
    </dataValidation>
    <dataValidation type="list" sqref="W774" allowBlank="true" errorStyle="stop" showErrorMessage="true" showInputMessage="true">
      <formula1>"Clássico,Premium"</formula1>
    </dataValidation>
    <dataValidation type="list" sqref="J775" allowBlank="true" errorStyle="stop" showErrorMessage="true" showInputMessage="true">
      <formula1>"R$"</formula1>
    </dataValidation>
    <dataValidation type="list" sqref="V775" allowBlank="true" errorStyle="stop" showErrorMessage="true" showInputMessage="true">
      <formula1>"Mercado Envios por conta do comprador,Mercado Envios grátis"</formula1>
    </dataValidation>
    <dataValidation type="list" sqref="W775" allowBlank="true" errorStyle="stop" showErrorMessage="true" showInputMessage="true">
      <formula1>"Clássico,Premium"</formula1>
    </dataValidation>
    <dataValidation type="list" sqref="J776" allowBlank="true" errorStyle="stop" showErrorMessage="true" showInputMessage="true">
      <formula1>"R$"</formula1>
    </dataValidation>
    <dataValidation type="list" sqref="K776" allowBlank="true" errorStyle="stop" showErrorMessage="true" showInputMessage="true">
      <formula1>"Com impostos,Sem impostos"</formula1>
    </dataValidation>
    <dataValidation type="list" sqref="V776" allowBlank="true" errorStyle="stop" showErrorMessage="true" showInputMessage="true">
      <formula1>"Mercado Envios por conta do comprador,Mercado Envios grátis"</formula1>
    </dataValidation>
    <dataValidation type="list" sqref="W776" allowBlank="true" errorStyle="stop" showErrorMessage="true" showInputMessage="true">
      <formula1>"Clássico,Premium"</formula1>
    </dataValidation>
    <dataValidation type="list" sqref="J777" allowBlank="true" errorStyle="stop" showErrorMessage="true" showInputMessage="true">
      <formula1>"R$"</formula1>
    </dataValidation>
    <dataValidation type="list" sqref="K777" allowBlank="true" errorStyle="stop" showErrorMessage="true" showInputMessage="true">
      <formula1>"Com impostos,Sem impostos"</formula1>
    </dataValidation>
    <dataValidation type="list" sqref="V777" allowBlank="true" errorStyle="stop" showErrorMessage="true" showInputMessage="true">
      <formula1>"Mercado Envios por conta do comprador,Mercado Envios grátis"</formula1>
    </dataValidation>
    <dataValidation type="list" sqref="W777" allowBlank="true" errorStyle="stop" showErrorMessage="true" showInputMessage="true">
      <formula1>"Clássico,Premium"</formula1>
    </dataValidation>
    <dataValidation type="list" sqref="J778" allowBlank="true" errorStyle="stop" showErrorMessage="true" showInputMessage="true">
      <formula1>"R$"</formula1>
    </dataValidation>
    <dataValidation type="list" sqref="K778" allowBlank="true" errorStyle="stop" showErrorMessage="true" showInputMessage="true">
      <formula1>"Com impostos,Sem impostos"</formula1>
    </dataValidation>
    <dataValidation type="list" sqref="V778" allowBlank="true" errorStyle="stop" showErrorMessage="true" showInputMessage="true">
      <formula1>"Mercado Envios por conta do comprador,Mercado Envios grátis"</formula1>
    </dataValidation>
    <dataValidation type="list" sqref="W778" allowBlank="true" errorStyle="stop" showErrorMessage="true" showInputMessage="true">
      <formula1>"Clássico,Premium"</formula1>
    </dataValidation>
    <dataValidation type="list" sqref="J779" allowBlank="true" errorStyle="stop" showErrorMessage="true" showInputMessage="true">
      <formula1>"R$"</formula1>
    </dataValidation>
    <dataValidation type="list" sqref="K779" allowBlank="true" errorStyle="stop" showErrorMessage="true" showInputMessage="true">
      <formula1>"Com impostos,Sem impostos"</formula1>
    </dataValidation>
    <dataValidation type="list" sqref="V779" allowBlank="true" errorStyle="stop" showErrorMessage="true" showInputMessage="true">
      <formula1>"Mercado Envios por conta do comprador,Mercado Envios grátis"</formula1>
    </dataValidation>
    <dataValidation type="list" sqref="W779" allowBlank="true" errorStyle="stop" showErrorMessage="true" showInputMessage="true">
      <formula1>"Clássico,Premium"</formula1>
    </dataValidation>
    <dataValidation type="list" sqref="J780" allowBlank="true" errorStyle="stop" showErrorMessage="true" showInputMessage="true">
      <formula1>"R$"</formula1>
    </dataValidation>
    <dataValidation type="list" sqref="K780" allowBlank="true" errorStyle="stop" showErrorMessage="true" showInputMessage="true">
      <formula1>"Com impostos,Sem impostos"</formula1>
    </dataValidation>
    <dataValidation type="list" sqref="V780" allowBlank="true" errorStyle="stop" showErrorMessage="true" showInputMessage="true">
      <formula1>"Mercado Envios por conta do comprador,Mercado Envios grátis"</formula1>
    </dataValidation>
    <dataValidation type="list" sqref="W780" allowBlank="true" errorStyle="stop" showErrorMessage="true" showInputMessage="true">
      <formula1>"Clássico,Premium"</formula1>
    </dataValidation>
    <dataValidation type="list" sqref="J781" allowBlank="true" errorStyle="stop" showErrorMessage="true" showInputMessage="true">
      <formula1>"R$"</formula1>
    </dataValidation>
    <dataValidation type="list" sqref="K781" allowBlank="true" errorStyle="stop" showErrorMessage="true" showInputMessage="true">
      <formula1>"Com impostos,Sem impostos"</formula1>
    </dataValidation>
    <dataValidation type="list" sqref="V781" allowBlank="true" errorStyle="stop" showErrorMessage="true" showInputMessage="true">
      <formula1>"Mercado Envios por conta do comprador,Mercado Envios grátis"</formula1>
    </dataValidation>
    <dataValidation type="list" sqref="W781" allowBlank="true" errorStyle="stop" showErrorMessage="true" showInputMessage="true">
      <formula1>"Clássico,Premium"</formula1>
    </dataValidation>
    <dataValidation type="list" sqref="J782" allowBlank="true" errorStyle="stop" showErrorMessage="true" showInputMessage="true">
      <formula1>"R$"</formula1>
    </dataValidation>
    <dataValidation type="list" sqref="K782" allowBlank="true" errorStyle="stop" showErrorMessage="true" showInputMessage="true">
      <formula1>"Com impostos,Sem impostos"</formula1>
    </dataValidation>
    <dataValidation type="list" sqref="V782" allowBlank="true" errorStyle="stop" showErrorMessage="true" showInputMessage="true">
      <formula1>"Mercado Envios por conta do comprador,Mercado Envios grátis"</formula1>
    </dataValidation>
    <dataValidation type="list" sqref="W782" allowBlank="true" errorStyle="stop" showErrorMessage="true" showInputMessage="true">
      <formula1>"Clássico,Premium"</formula1>
    </dataValidation>
    <dataValidation type="list" sqref="J783" allowBlank="true" errorStyle="stop" showErrorMessage="true" showInputMessage="true">
      <formula1>"R$"</formula1>
    </dataValidation>
    <dataValidation type="list" sqref="K783" allowBlank="true" errorStyle="stop" showErrorMessage="true" showInputMessage="true">
      <formula1>"Com impostos,Sem impostos"</formula1>
    </dataValidation>
    <dataValidation type="list" sqref="V783" allowBlank="true" errorStyle="stop" showErrorMessage="true" showInputMessage="true">
      <formula1>"Mercado Envios por conta do comprador,Mercado Envios grátis"</formula1>
    </dataValidation>
    <dataValidation type="list" sqref="W783" allowBlank="true" errorStyle="stop" showErrorMessage="true" showInputMessage="true">
      <formula1>"Clássico,Premium"</formula1>
    </dataValidation>
    <dataValidation type="list" sqref="J784" allowBlank="true" errorStyle="stop" showErrorMessage="true" showInputMessage="true">
      <formula1>"R$"</formula1>
    </dataValidation>
    <dataValidation type="list" sqref="K784" allowBlank="true" errorStyle="stop" showErrorMessage="true" showInputMessage="true">
      <formula1>"Com impostos,Sem impostos"</formula1>
    </dataValidation>
    <dataValidation type="list" sqref="V784" allowBlank="true" errorStyle="stop" showErrorMessage="true" showInputMessage="true">
      <formula1>"Mercado Envios por conta do comprador,Mercado Envios grátis"</formula1>
    </dataValidation>
    <dataValidation type="list" sqref="W784" allowBlank="true" errorStyle="stop" showErrorMessage="true" showInputMessage="true">
      <formula1>"Clássico,Premium"</formula1>
    </dataValidation>
    <dataValidation type="list" sqref="J785" allowBlank="true" errorStyle="stop" showErrorMessage="true" showInputMessage="true">
      <formula1>"R$"</formula1>
    </dataValidation>
    <dataValidation type="list" sqref="K785" allowBlank="true" errorStyle="stop" showErrorMessage="true" showInputMessage="true">
      <formula1>"Com impostos,Sem impostos"</formula1>
    </dataValidation>
    <dataValidation type="list" sqref="V785" allowBlank="true" errorStyle="stop" showErrorMessage="true" showInputMessage="true">
      <formula1>"Mercado Envios por conta do comprador,Mercado Envios grátis"</formula1>
    </dataValidation>
    <dataValidation type="list" sqref="W785" allowBlank="true" errorStyle="stop" showErrorMessage="true" showInputMessage="true">
      <formula1>"Clássico,Premium"</formula1>
    </dataValidation>
    <dataValidation type="list" sqref="J786" allowBlank="true" errorStyle="stop" showErrorMessage="true" showInputMessage="true">
      <formula1>"R$"</formula1>
    </dataValidation>
    <dataValidation type="list" sqref="K786" allowBlank="true" errorStyle="stop" showErrorMessage="true" showInputMessage="true">
      <formula1>"Com impostos,Sem impostos"</formula1>
    </dataValidation>
    <dataValidation type="list" sqref="V786" allowBlank="true" errorStyle="stop" showErrorMessage="true" showInputMessage="true">
      <formula1>"Mercado Envios por conta do comprador,Mercado Envios grátis"</formula1>
    </dataValidation>
    <dataValidation type="list" sqref="W786" allowBlank="true" errorStyle="stop" showErrorMessage="true" showInputMessage="true">
      <formula1>"Clássico,Premium"</formula1>
    </dataValidation>
    <dataValidation type="list" sqref="J787" allowBlank="true" errorStyle="stop" showErrorMessage="true" showInputMessage="true">
      <formula1>"R$"</formula1>
    </dataValidation>
    <dataValidation type="list" sqref="K787" allowBlank="true" errorStyle="stop" showErrorMessage="true" showInputMessage="true">
      <formula1>"Com impostos,Sem impostos"</formula1>
    </dataValidation>
    <dataValidation type="list" sqref="V787" allowBlank="true" errorStyle="stop" showErrorMessage="true" showInputMessage="true">
      <formula1>"Mercado Envios por conta do comprador,Mercado Envios grátis"</formula1>
    </dataValidation>
    <dataValidation type="list" sqref="W787" allowBlank="true" errorStyle="stop" showErrorMessage="true" showInputMessage="true">
      <formula1>"Clássico,Premium"</formula1>
    </dataValidation>
    <dataValidation type="list" sqref="J788" allowBlank="true" errorStyle="stop" showErrorMessage="true" showInputMessage="true">
      <formula1>"R$"</formula1>
    </dataValidation>
    <dataValidation type="list" sqref="K788" allowBlank="true" errorStyle="stop" showErrorMessage="true" showInputMessage="true">
      <formula1>"Com impostos,Sem impostos"</formula1>
    </dataValidation>
    <dataValidation type="list" sqref="V788" allowBlank="true" errorStyle="stop" showErrorMessage="true" showInputMessage="true">
      <formula1>"Mercado Envios por conta do comprador,Mercado Envios grátis"</formula1>
    </dataValidation>
    <dataValidation type="list" sqref="W788" allowBlank="true" errorStyle="stop" showErrorMessage="true" showInputMessage="true">
      <formula1>"Clássico,Premium"</formula1>
    </dataValidation>
    <dataValidation type="list" sqref="J789" allowBlank="true" errorStyle="stop" showErrorMessage="true" showInputMessage="true">
      <formula1>"R$"</formula1>
    </dataValidation>
    <dataValidation type="list" sqref="K789" allowBlank="true" errorStyle="stop" showErrorMessage="true" showInputMessage="true">
      <formula1>"Com impostos,Sem impostos"</formula1>
    </dataValidation>
    <dataValidation type="list" sqref="V789" allowBlank="true" errorStyle="stop" showErrorMessage="true" showInputMessage="true">
      <formula1>"Mercado Envios por conta do comprador,Mercado Envios grátis"</formula1>
    </dataValidation>
    <dataValidation type="list" sqref="W789" allowBlank="true" errorStyle="stop" showErrorMessage="true" showInputMessage="true">
      <formula1>"Clássico,Premium"</formula1>
    </dataValidation>
    <dataValidation type="list" sqref="J790" allowBlank="true" errorStyle="stop" showErrorMessage="true" showInputMessage="true">
      <formula1>"R$"</formula1>
    </dataValidation>
    <dataValidation type="list" sqref="K790" allowBlank="true" errorStyle="stop" showErrorMessage="true" showInputMessage="true">
      <formula1>"Com impostos,Sem impostos"</formula1>
    </dataValidation>
    <dataValidation type="list" sqref="V790" allowBlank="true" errorStyle="stop" showErrorMessage="true" showInputMessage="true">
      <formula1>"Mercado Envios por conta do comprador,Mercado Envios grátis"</formula1>
    </dataValidation>
    <dataValidation type="list" sqref="W790" allowBlank="true" errorStyle="stop" showErrorMessage="true" showInputMessage="true">
      <formula1>"Clássico,Premium"</formula1>
    </dataValidation>
    <dataValidation type="list" sqref="J791" allowBlank="true" errorStyle="stop" showErrorMessage="true" showInputMessage="true">
      <formula1>"R$"</formula1>
    </dataValidation>
    <dataValidation type="list" sqref="K791" allowBlank="true" errorStyle="stop" showErrorMessage="true" showInputMessage="true">
      <formula1>"Com impostos,Sem impostos"</formula1>
    </dataValidation>
    <dataValidation type="list" sqref="V791" allowBlank="true" errorStyle="stop" showErrorMessage="true" showInputMessage="true">
      <formula1>"Mercado Envios por conta do comprador,Mercado Envios grátis"</formula1>
    </dataValidation>
    <dataValidation type="list" sqref="W791" allowBlank="true" errorStyle="stop" showErrorMessage="true" showInputMessage="true">
      <formula1>"Clássico,Premium"</formula1>
    </dataValidation>
    <dataValidation type="list" sqref="J792" allowBlank="true" errorStyle="stop" showErrorMessage="true" showInputMessage="true">
      <formula1>"R$"</formula1>
    </dataValidation>
    <dataValidation type="list" sqref="K792" allowBlank="true" errorStyle="stop" showErrorMessage="true" showInputMessage="true">
      <formula1>"Com impostos,Sem impostos"</formula1>
    </dataValidation>
    <dataValidation type="list" sqref="V792" allowBlank="true" errorStyle="stop" showErrorMessage="true" showInputMessage="true">
      <formula1>"Mercado Envios por conta do comprador,Mercado Envios grátis"</formula1>
    </dataValidation>
    <dataValidation type="list" sqref="W792" allowBlank="true" errorStyle="stop" showErrorMessage="true" showInputMessage="true">
      <formula1>"Clássico,Premium"</formula1>
    </dataValidation>
    <dataValidation type="list" sqref="J793" allowBlank="true" errorStyle="stop" showErrorMessage="true" showInputMessage="true">
      <formula1>"R$"</formula1>
    </dataValidation>
    <dataValidation type="list" sqref="K793" allowBlank="true" errorStyle="stop" showErrorMessage="true" showInputMessage="true">
      <formula1>"Com impostos,Sem impostos"</formula1>
    </dataValidation>
    <dataValidation type="list" sqref="V793" allowBlank="true" errorStyle="stop" showErrorMessage="true" showInputMessage="true">
      <formula1>"Mercado Envios por conta do comprador,Mercado Envios grátis"</formula1>
    </dataValidation>
    <dataValidation type="list" sqref="W793" allowBlank="true" errorStyle="stop" showErrorMessage="true" showInputMessage="true">
      <formula1>"Clássico,Premium"</formula1>
    </dataValidation>
    <dataValidation type="list" sqref="J794" allowBlank="true" errorStyle="stop" showErrorMessage="true" showInputMessage="true">
      <formula1>"R$"</formula1>
    </dataValidation>
    <dataValidation type="list" sqref="K794" allowBlank="true" errorStyle="stop" showErrorMessage="true" showInputMessage="true">
      <formula1>"Com impostos,Sem impostos"</formula1>
    </dataValidation>
    <dataValidation type="list" sqref="V794" allowBlank="true" errorStyle="stop" showErrorMessage="true" showInputMessage="true">
      <formula1>"Mercado Envios por conta do comprador,Mercado Envios grátis"</formula1>
    </dataValidation>
    <dataValidation type="list" sqref="W794" allowBlank="true" errorStyle="stop" showErrorMessage="true" showInputMessage="true">
      <formula1>"Clássico,Premium"</formula1>
    </dataValidation>
    <dataValidation type="list" sqref="J795" allowBlank="true" errorStyle="stop" showErrorMessage="true" showInputMessage="true">
      <formula1>"R$"</formula1>
    </dataValidation>
    <dataValidation type="list" sqref="K795" allowBlank="true" errorStyle="stop" showErrorMessage="true" showInputMessage="true">
      <formula1>"Com impostos,Sem impostos"</formula1>
    </dataValidation>
    <dataValidation type="list" sqref="V795" allowBlank="true" errorStyle="stop" showErrorMessage="true" showInputMessage="true">
      <formula1>"Mercado Envios por conta do comprador,Mercado Envios grátis"</formula1>
    </dataValidation>
    <dataValidation type="list" sqref="W795" allowBlank="true" errorStyle="stop" showErrorMessage="true" showInputMessage="true">
      <formula1>"Clássico,Premium"</formula1>
    </dataValidation>
    <dataValidation type="list" sqref="J796" allowBlank="true" errorStyle="stop" showErrorMessage="true" showInputMessage="true">
      <formula1>"R$"</formula1>
    </dataValidation>
    <dataValidation type="list" sqref="K796" allowBlank="true" errorStyle="stop" showErrorMessage="true" showInputMessage="true">
      <formula1>"Com impostos,Sem impostos"</formula1>
    </dataValidation>
    <dataValidation type="list" sqref="V796" allowBlank="true" errorStyle="stop" showErrorMessage="true" showInputMessage="true">
      <formula1>"Mercado Envios por conta do comprador,Mercado Envios grátis"</formula1>
    </dataValidation>
    <dataValidation type="list" sqref="W796" allowBlank="true" errorStyle="stop" showErrorMessage="true" showInputMessage="true">
      <formula1>"Clássico,Premium"</formula1>
    </dataValidation>
    <dataValidation type="list" sqref="J797" allowBlank="true" errorStyle="stop" showErrorMessage="true" showInputMessage="true">
      <formula1>"R$"</formula1>
    </dataValidation>
    <dataValidation type="list" sqref="K797" allowBlank="true" errorStyle="stop" showErrorMessage="true" showInputMessage="true">
      <formula1>"Com impostos,Sem impostos"</formula1>
    </dataValidation>
    <dataValidation type="list" sqref="V797" allowBlank="true" errorStyle="stop" showErrorMessage="true" showInputMessage="true">
      <formula1>"Mercado Envios por conta do comprador,Mercado Envios grátis"</formula1>
    </dataValidation>
    <dataValidation type="list" sqref="W797" allowBlank="true" errorStyle="stop" showErrorMessage="true" showInputMessage="true">
      <formula1>"Clássico,Premium"</formula1>
    </dataValidation>
    <dataValidation type="list" sqref="J798" allowBlank="true" errorStyle="stop" showErrorMessage="true" showInputMessage="true">
      <formula1>"R$"</formula1>
    </dataValidation>
    <dataValidation type="list" sqref="K798" allowBlank="true" errorStyle="stop" showErrorMessage="true" showInputMessage="true">
      <formula1>"Com impostos,Sem impostos"</formula1>
    </dataValidation>
    <dataValidation type="list" sqref="V798" allowBlank="true" errorStyle="stop" showErrorMessage="true" showInputMessage="true">
      <formula1>"Mercado Envios por conta do comprador,Mercado Envios grátis"</formula1>
    </dataValidation>
    <dataValidation type="list" sqref="W798" allowBlank="true" errorStyle="stop" showErrorMessage="true" showInputMessage="true">
      <formula1>"Clássico,Premium"</formula1>
    </dataValidation>
    <dataValidation type="list" sqref="J799" allowBlank="true" errorStyle="stop" showErrorMessage="true" showInputMessage="true">
      <formula1>"R$"</formula1>
    </dataValidation>
    <dataValidation type="list" sqref="K799" allowBlank="true" errorStyle="stop" showErrorMessage="true" showInputMessage="true">
      <formula1>"Com impostos,Sem impostos"</formula1>
    </dataValidation>
    <dataValidation type="list" sqref="V799" allowBlank="true" errorStyle="stop" showErrorMessage="true" showInputMessage="true">
      <formula1>"Mercado Envios por conta do comprador,Mercado Envios grátis"</formula1>
    </dataValidation>
    <dataValidation type="list" sqref="W799" allowBlank="true" errorStyle="stop" showErrorMessage="true" showInputMessage="true">
      <formula1>"Clássico,Premium"</formula1>
    </dataValidation>
    <dataValidation type="list" sqref="J800" allowBlank="true" errorStyle="stop" showErrorMessage="true" showInputMessage="true">
      <formula1>"R$"</formula1>
    </dataValidation>
    <dataValidation type="list" sqref="K800" allowBlank="true" errorStyle="stop" showErrorMessage="true" showInputMessage="true">
      <formula1>"Com impostos,Sem impostos"</formula1>
    </dataValidation>
    <dataValidation type="list" sqref="V800" allowBlank="true" errorStyle="stop" showErrorMessage="true" showInputMessage="true">
      <formula1>"Mercado Envios por conta do comprador,Mercado Envios grátis"</formula1>
    </dataValidation>
    <dataValidation type="list" sqref="W800" allowBlank="true" errorStyle="stop" showErrorMessage="true" showInputMessage="true">
      <formula1>"Clássico,Premium"</formula1>
    </dataValidation>
    <dataValidation type="list" sqref="J801" allowBlank="true" errorStyle="stop" showErrorMessage="true" showInputMessage="true">
      <formula1>"R$"</formula1>
    </dataValidation>
    <dataValidation type="list" sqref="K801" allowBlank="true" errorStyle="stop" showErrorMessage="true" showInputMessage="true">
      <formula1>"Com impostos,Sem impostos"</formula1>
    </dataValidation>
    <dataValidation type="list" sqref="V801" allowBlank="true" errorStyle="stop" showErrorMessage="true" showInputMessage="true">
      <formula1>"Mercado Envios por conta do comprador,Mercado Envios grátis"</formula1>
    </dataValidation>
    <dataValidation type="list" sqref="W801" allowBlank="true" errorStyle="stop" showErrorMessage="true" showInputMessage="true">
      <formula1>"Clássico,Premium"</formula1>
    </dataValidation>
    <dataValidation type="list" sqref="J802" allowBlank="true" errorStyle="stop" showErrorMessage="true" showInputMessage="true">
      <formula1>"R$"</formula1>
    </dataValidation>
    <dataValidation type="list" sqref="K802" allowBlank="true" errorStyle="stop" showErrorMessage="true" showInputMessage="true">
      <formula1>"Com impostos,Sem impostos"</formula1>
    </dataValidation>
    <dataValidation type="list" sqref="V802" allowBlank="true" errorStyle="stop" showErrorMessage="true" showInputMessage="true">
      <formula1>"Mercado Envios por conta do comprador,Mercado Envios grátis"</formula1>
    </dataValidation>
    <dataValidation type="list" sqref="W802" allowBlank="true" errorStyle="stop" showErrorMessage="true" showInputMessage="true">
      <formula1>"Clássico,Premium"</formula1>
    </dataValidation>
    <dataValidation type="list" sqref="J803" allowBlank="true" errorStyle="stop" showErrorMessage="true" showInputMessage="true">
      <formula1>"R$"</formula1>
    </dataValidation>
    <dataValidation type="list" sqref="K803" allowBlank="true" errorStyle="stop" showErrorMessage="true" showInputMessage="true">
      <formula1>"Com impostos,Sem impostos"</formula1>
    </dataValidation>
    <dataValidation type="list" sqref="V803" allowBlank="true" errorStyle="stop" showErrorMessage="true" showInputMessage="true">
      <formula1>"Mercado Envios por conta do comprador,Mercado Envios grátis"</formula1>
    </dataValidation>
    <dataValidation type="list" sqref="W803" allowBlank="true" errorStyle="stop" showErrorMessage="true" showInputMessage="true">
      <formula1>"Clássico,Premium"</formula1>
    </dataValidation>
    <dataValidation type="list" sqref="J804" allowBlank="true" errorStyle="stop" showErrorMessage="true" showInputMessage="true">
      <formula1>"R$"</formula1>
    </dataValidation>
    <dataValidation type="list" sqref="K804" allowBlank="true" errorStyle="stop" showErrorMessage="true" showInputMessage="true">
      <formula1>"Com impostos,Sem impostos"</formula1>
    </dataValidation>
    <dataValidation type="list" sqref="V804" allowBlank="true" errorStyle="stop" showErrorMessage="true" showInputMessage="true">
      <formula1>"Mercado Envios por conta do comprador,Mercado Envios grátis"</formula1>
    </dataValidation>
    <dataValidation type="list" sqref="W804" allowBlank="true" errorStyle="stop" showErrorMessage="true" showInputMessage="true">
      <formula1>"Clássico,Premium"</formula1>
    </dataValidation>
    <dataValidation type="list" sqref="J805" allowBlank="true" errorStyle="stop" showErrorMessage="true" showInputMessage="true">
      <formula1>"R$"</formula1>
    </dataValidation>
    <dataValidation type="list" sqref="K805" allowBlank="true" errorStyle="stop" showErrorMessage="true" showInputMessage="true">
      <formula1>"Com impostos,Sem impostos"</formula1>
    </dataValidation>
    <dataValidation type="list" sqref="V805" allowBlank="true" errorStyle="stop" showErrorMessage="true" showInputMessage="true">
      <formula1>"Mercado Envios por conta do comprador,Mercado Envios grátis"</formula1>
    </dataValidation>
    <dataValidation type="list" sqref="W805" allowBlank="true" errorStyle="stop" showErrorMessage="true" showInputMessage="true">
      <formula1>"Clássico,Premium"</formula1>
    </dataValidation>
    <dataValidation type="list" sqref="J806" allowBlank="true" errorStyle="stop" showErrorMessage="true" showInputMessage="true">
      <formula1>"R$"</formula1>
    </dataValidation>
    <dataValidation type="list" sqref="K806" allowBlank="true" errorStyle="stop" showErrorMessage="true" showInputMessage="true">
      <formula1>"Com impostos,Sem impostos"</formula1>
    </dataValidation>
    <dataValidation type="list" sqref="V806" allowBlank="true" errorStyle="stop" showErrorMessage="true" showInputMessage="true">
      <formula1>"Mercado Envios por conta do comprador,Mercado Envios grátis"</formula1>
    </dataValidation>
    <dataValidation type="list" sqref="W806" allowBlank="true" errorStyle="stop" showErrorMessage="true" showInputMessage="true">
      <formula1>"Clássico,Premium"</formula1>
    </dataValidation>
    <dataValidation type="list" sqref="J807" allowBlank="true" errorStyle="stop" showErrorMessage="true" showInputMessage="true">
      <formula1>"R$"</formula1>
    </dataValidation>
    <dataValidation type="list" sqref="K807" allowBlank="true" errorStyle="stop" showErrorMessage="true" showInputMessage="true">
      <formula1>"Com impostos,Sem impostos"</formula1>
    </dataValidation>
    <dataValidation type="list" sqref="V807" allowBlank="true" errorStyle="stop" showErrorMessage="true" showInputMessage="true">
      <formula1>"Mercado Envios por conta do comprador,Mercado Envios grátis"</formula1>
    </dataValidation>
    <dataValidation type="list" sqref="W807" allowBlank="true" errorStyle="stop" showErrorMessage="true" showInputMessage="true">
      <formula1>"Clássico,Premium"</formula1>
    </dataValidation>
    <dataValidation type="list" sqref="J808" allowBlank="true" errorStyle="stop" showErrorMessage="true" showInputMessage="true">
      <formula1>"R$"</formula1>
    </dataValidation>
    <dataValidation type="list" sqref="V808" allowBlank="true" errorStyle="stop" showErrorMessage="true" showInputMessage="true">
      <formula1>"Mercado Envios por conta do comprador,Mercado Envios grátis"</formula1>
    </dataValidation>
    <dataValidation type="list" sqref="W808" allowBlank="true" errorStyle="stop" showErrorMessage="true" showInputMessage="true">
      <formula1>"Clássico,Premium"</formula1>
    </dataValidation>
    <dataValidation type="list" sqref="J809" allowBlank="true" errorStyle="stop" showErrorMessage="true" showInputMessage="true">
      <formula1>"R$"</formula1>
    </dataValidation>
    <dataValidation type="list" sqref="K809" allowBlank="true" errorStyle="stop" showErrorMessage="true" showInputMessage="true">
      <formula1>"Com impostos,Sem impostos"</formula1>
    </dataValidation>
    <dataValidation type="list" sqref="V809" allowBlank="true" errorStyle="stop" showErrorMessage="true" showInputMessage="true">
      <formula1>"Mercado Envios por conta do comprador,Mercado Envios grátis"</formula1>
    </dataValidation>
    <dataValidation type="list" sqref="W809" allowBlank="true" errorStyle="stop" showErrorMessage="true" showInputMessage="true">
      <formula1>"Clássico,Premium"</formula1>
    </dataValidation>
    <dataValidation type="list" sqref="J810" allowBlank="true" errorStyle="stop" showErrorMessage="true" showInputMessage="true">
      <formula1>"R$"</formula1>
    </dataValidation>
    <dataValidation type="list" sqref="K810" allowBlank="true" errorStyle="stop" showErrorMessage="true" showInputMessage="true">
      <formula1>"Com impostos,Sem impostos"</formula1>
    </dataValidation>
    <dataValidation type="list" sqref="V810" allowBlank="true" errorStyle="stop" showErrorMessage="true" showInputMessage="true">
      <formula1>"Mercado Envios por conta do comprador,Mercado Envios grátis"</formula1>
    </dataValidation>
    <dataValidation type="list" sqref="W810" allowBlank="true" errorStyle="stop" showErrorMessage="true" showInputMessage="true">
      <formula1>"Clássico,Premium"</formula1>
    </dataValidation>
    <dataValidation type="list" sqref="J811" allowBlank="true" errorStyle="stop" showErrorMessage="true" showInputMessage="true">
      <formula1>"R$"</formula1>
    </dataValidation>
    <dataValidation type="list" sqref="K811" allowBlank="true" errorStyle="stop" showErrorMessage="true" showInputMessage="true">
      <formula1>"Com impostos,Sem impostos"</formula1>
    </dataValidation>
    <dataValidation type="list" sqref="V811" allowBlank="true" errorStyle="stop" showErrorMessage="true" showInputMessage="true">
      <formula1>"Mercado Envios por conta do comprador,Mercado Envios grátis"</formula1>
    </dataValidation>
    <dataValidation type="list" sqref="W811" allowBlank="true" errorStyle="stop" showErrorMessage="true" showInputMessage="true">
      <formula1>"Clássico,Premium"</formula1>
    </dataValidation>
    <dataValidation type="list" sqref="J812" allowBlank="true" errorStyle="stop" showErrorMessage="true" showInputMessage="true">
      <formula1>"R$"</formula1>
    </dataValidation>
    <dataValidation type="list" sqref="K812" allowBlank="true" errorStyle="stop" showErrorMessage="true" showInputMessage="true">
      <formula1>"Com impostos,Sem impostos"</formula1>
    </dataValidation>
    <dataValidation type="list" sqref="V812" allowBlank="true" errorStyle="stop" showErrorMessage="true" showInputMessage="true">
      <formula1>"Mercado Envios por conta do comprador,Mercado Envios grátis"</formula1>
    </dataValidation>
    <dataValidation type="list" sqref="W812" allowBlank="true" errorStyle="stop" showErrorMessage="true" showInputMessage="true">
      <formula1>"Clássico,Premium"</formula1>
    </dataValidation>
    <dataValidation type="list" sqref="J813" allowBlank="true" errorStyle="stop" showErrorMessage="true" showInputMessage="true">
      <formula1>"R$"</formula1>
    </dataValidation>
    <dataValidation type="list" sqref="V813" allowBlank="true" errorStyle="stop" showErrorMessage="true" showInputMessage="true">
      <formula1>"Mercado Envios por conta do comprador,Mercado Envios grátis"</formula1>
    </dataValidation>
    <dataValidation type="list" sqref="W813" allowBlank="true" errorStyle="stop" showErrorMessage="true" showInputMessage="true">
      <formula1>"Clássico,Premium"</formula1>
    </dataValidation>
    <dataValidation type="list" sqref="J814" allowBlank="true" errorStyle="stop" showErrorMessage="true" showInputMessage="true">
      <formula1>"R$"</formula1>
    </dataValidation>
    <dataValidation type="list" sqref="K814" allowBlank="true" errorStyle="stop" showErrorMessage="true" showInputMessage="true">
      <formula1>"Com impostos,Sem impostos"</formula1>
    </dataValidation>
    <dataValidation type="list" sqref="V814" allowBlank="true" errorStyle="stop" showErrorMessage="true" showInputMessage="true">
      <formula1>"Mercado Envios por conta do comprador,Mercado Envios grátis"</formula1>
    </dataValidation>
    <dataValidation type="list" sqref="W814" allowBlank="true" errorStyle="stop" showErrorMessage="true" showInputMessage="true">
      <formula1>"Clássico,Premium"</formula1>
    </dataValidation>
    <dataValidation type="list" sqref="J815" allowBlank="true" errorStyle="stop" showErrorMessage="true" showInputMessage="true">
      <formula1>"R$"</formula1>
    </dataValidation>
    <dataValidation type="list" sqref="K815" allowBlank="true" errorStyle="stop" showErrorMessage="true" showInputMessage="true">
      <formula1>"Com impostos,Sem impostos"</formula1>
    </dataValidation>
    <dataValidation type="list" sqref="V815" allowBlank="true" errorStyle="stop" showErrorMessage="true" showInputMessage="true">
      <formula1>"Mercado Envios por conta do comprador,Mercado Envios grátis"</formula1>
    </dataValidation>
    <dataValidation type="list" sqref="W815" allowBlank="true" errorStyle="stop" showErrorMessage="true" showInputMessage="true">
      <formula1>"Clássico,Premium"</formula1>
    </dataValidation>
    <dataValidation type="list" sqref="J816" allowBlank="true" errorStyle="stop" showErrorMessage="true" showInputMessage="true">
      <formula1>"R$"</formula1>
    </dataValidation>
    <dataValidation type="list" sqref="V816" allowBlank="true" errorStyle="stop" showErrorMessage="true" showInputMessage="true">
      <formula1>"Mercado Envios por conta do comprador,Envios por conta própria"</formula1>
    </dataValidation>
    <dataValidation type="list" sqref="W816" allowBlank="true" errorStyle="stop" showErrorMessage="true" showInputMessage="true">
      <formula1>"Clássico,Premium"</formula1>
    </dataValidation>
    <dataValidation type="list" sqref="J817" allowBlank="true" errorStyle="stop" showErrorMessage="true" showInputMessage="true">
      <formula1>"R$"</formula1>
    </dataValidation>
    <dataValidation type="list" sqref="K817" allowBlank="true" errorStyle="stop" showErrorMessage="true" showInputMessage="true">
      <formula1>"Com impostos,Sem impostos"</formula1>
    </dataValidation>
    <dataValidation type="list" sqref="V817" allowBlank="true" errorStyle="stop" showErrorMessage="true" showInputMessage="true">
      <formula1>"Mercado Envios por conta do comprador,Mercado Envios grátis"</formula1>
    </dataValidation>
    <dataValidation type="list" sqref="W817" allowBlank="true" errorStyle="stop" showErrorMessage="true" showInputMessage="true">
      <formula1>"Clássico,Premium"</formula1>
    </dataValidation>
    <dataValidation type="list" sqref="J818" allowBlank="true" errorStyle="stop" showErrorMessage="true" showInputMessage="true">
      <formula1>"R$"</formula1>
    </dataValidation>
    <dataValidation type="list" sqref="K818" allowBlank="true" errorStyle="stop" showErrorMessage="true" showInputMessage="true">
      <formula1>"Com impostos,Sem impostos"</formula1>
    </dataValidation>
    <dataValidation type="list" sqref="V818" allowBlank="true" errorStyle="stop" showErrorMessage="true" showInputMessage="true">
      <formula1>"Mercado Envios por conta do comprador,Mercado Envios grátis"</formula1>
    </dataValidation>
    <dataValidation type="list" sqref="W818" allowBlank="true" errorStyle="stop" showErrorMessage="true" showInputMessage="true">
      <formula1>"Clássico,Premium"</formula1>
    </dataValidation>
    <dataValidation type="list" sqref="J819" allowBlank="true" errorStyle="stop" showErrorMessage="true" showInputMessage="true">
      <formula1>"R$"</formula1>
    </dataValidation>
    <dataValidation type="list" sqref="V819" allowBlank="true" errorStyle="stop" showErrorMessage="true" showInputMessage="true">
      <formula1>"Mercado Envios por conta do comprador,Mercado Envios grátis"</formula1>
    </dataValidation>
    <dataValidation type="list" sqref="W819" allowBlank="true" errorStyle="stop" showErrorMessage="true" showInputMessage="true">
      <formula1>"Clássico,Premium"</formula1>
    </dataValidation>
    <dataValidation type="list" sqref="J820" allowBlank="true" errorStyle="stop" showErrorMessage="true" showInputMessage="true">
      <formula1>"R$"</formula1>
    </dataValidation>
    <dataValidation type="list" sqref="V820" allowBlank="true" errorStyle="stop" showErrorMessage="true" showInputMessage="true">
      <formula1>"Mercado Envios por conta do comprador,Mercado Envios grátis"</formula1>
    </dataValidation>
    <dataValidation type="list" sqref="W820" allowBlank="true" errorStyle="stop" showErrorMessage="true" showInputMessage="true">
      <formula1>"Clássico,Premium"</formula1>
    </dataValidation>
    <dataValidation type="list" sqref="J821" allowBlank="true" errorStyle="stop" showErrorMessage="true" showInputMessage="true">
      <formula1>"R$"</formula1>
    </dataValidation>
    <dataValidation type="list" sqref="K821" allowBlank="true" errorStyle="stop" showErrorMessage="true" showInputMessage="true">
      <formula1>"Com impostos,Sem impostos"</formula1>
    </dataValidation>
    <dataValidation type="list" sqref="V821" allowBlank="true" errorStyle="stop" showErrorMessage="true" showInputMessage="true">
      <formula1>"Mercado Envios por conta do comprador,Mercado Envios grátis"</formula1>
    </dataValidation>
    <dataValidation type="list" sqref="W821" allowBlank="true" errorStyle="stop" showErrorMessage="true" showInputMessage="true">
      <formula1>"Clássico,Premium"</formula1>
    </dataValidation>
    <dataValidation type="list" sqref="J822" allowBlank="true" errorStyle="stop" showErrorMessage="true" showInputMessage="true">
      <formula1>"R$"</formula1>
    </dataValidation>
    <dataValidation type="list" sqref="K822" allowBlank="true" errorStyle="stop" showErrorMessage="true" showInputMessage="true">
      <formula1>"Com impostos,Sem impostos"</formula1>
    </dataValidation>
    <dataValidation type="list" sqref="V822" allowBlank="true" errorStyle="stop" showErrorMessage="true" showInputMessage="true">
      <formula1>"Mercado Envios por conta do comprador,Mercado Envios grátis"</formula1>
    </dataValidation>
    <dataValidation type="list" sqref="W822" allowBlank="true" errorStyle="stop" showErrorMessage="true" showInputMessage="true">
      <formula1>"Clássico,Premium"</formula1>
    </dataValidation>
    <dataValidation type="list" sqref="J823" allowBlank="true" errorStyle="stop" showErrorMessage="true" showInputMessage="true">
      <formula1>"R$"</formula1>
    </dataValidation>
    <dataValidation type="list" sqref="K823" allowBlank="true" errorStyle="stop" showErrorMessage="true" showInputMessage="true">
      <formula1>"Com impostos,Sem impostos"</formula1>
    </dataValidation>
    <dataValidation type="list" sqref="V823" allowBlank="true" errorStyle="stop" showErrorMessage="true" showInputMessage="true">
      <formula1>"Mercado Envios por conta do comprador,Mercado Envios grátis"</formula1>
    </dataValidation>
    <dataValidation type="list" sqref="W823" allowBlank="true" errorStyle="stop" showErrorMessage="true" showInputMessage="true">
      <formula1>"Clássico,Premium"</formula1>
    </dataValidation>
    <dataValidation type="list" sqref="J824" allowBlank="true" errorStyle="stop" showErrorMessage="true" showInputMessage="true">
      <formula1>"R$"</formula1>
    </dataValidation>
    <dataValidation type="list" sqref="K824" allowBlank="true" errorStyle="stop" showErrorMessage="true" showInputMessage="true">
      <formula1>"Com impostos,Sem impostos"</formula1>
    </dataValidation>
    <dataValidation type="list" sqref="V824" allowBlank="true" errorStyle="stop" showErrorMessage="true" showInputMessage="true">
      <formula1>"Mercado Envios por conta do comprador,Mercado Envios grátis"</formula1>
    </dataValidation>
    <dataValidation type="list" sqref="W824" allowBlank="true" errorStyle="stop" showErrorMessage="true" showInputMessage="true">
      <formula1>"Clássico,Premium"</formula1>
    </dataValidation>
    <dataValidation type="list" sqref="J825" allowBlank="true" errorStyle="stop" showErrorMessage="true" showInputMessage="true">
      <formula1>"R$"</formula1>
    </dataValidation>
    <dataValidation type="list" sqref="V825" allowBlank="true" errorStyle="stop" showErrorMessage="true" showInputMessage="true">
      <formula1>"Mercado Envios por conta do comprador,Mercado Envios grátis"</formula1>
    </dataValidation>
    <dataValidation type="list" sqref="W825" allowBlank="true" errorStyle="stop" showErrorMessage="true" showInputMessage="true">
      <formula1>"Clássico,Premium"</formula1>
    </dataValidation>
    <dataValidation type="list" sqref="J826" allowBlank="true" errorStyle="stop" showErrorMessage="true" showInputMessage="true">
      <formula1>"R$"</formula1>
    </dataValidation>
    <dataValidation type="list" sqref="V826" allowBlank="true" errorStyle="stop" showErrorMessage="true" showInputMessage="true">
      <formula1>"Mercado Envios por conta do comprador,Mercado Envios grátis"</formula1>
    </dataValidation>
    <dataValidation type="list" sqref="W826" allowBlank="true" errorStyle="stop" showErrorMessage="true" showInputMessage="true">
      <formula1>"Clássico,Premium"</formula1>
    </dataValidation>
    <dataValidation type="list" sqref="J827" allowBlank="true" errorStyle="stop" showErrorMessage="true" showInputMessage="true">
      <formula1>"R$"</formula1>
    </dataValidation>
    <dataValidation type="list" sqref="K827" allowBlank="true" errorStyle="stop" showErrorMessage="true" showInputMessage="true">
      <formula1>"Com impostos,Sem impostos"</formula1>
    </dataValidation>
    <dataValidation type="list" sqref="V827" allowBlank="true" errorStyle="stop" showErrorMessage="true" showInputMessage="true">
      <formula1>"Mercado Envios por conta do comprador,Mercado Envios grátis"</formula1>
    </dataValidation>
    <dataValidation type="list" sqref="W827" allowBlank="true" errorStyle="stop" showErrorMessage="true" showInputMessage="true">
      <formula1>"Clássico,Premium"</formula1>
    </dataValidation>
    <dataValidation type="list" sqref="J828" allowBlank="true" errorStyle="stop" showErrorMessage="true" showInputMessage="true">
      <formula1>"R$"</formula1>
    </dataValidation>
    <dataValidation type="list" sqref="K828" allowBlank="true" errorStyle="stop" showErrorMessage="true" showInputMessage="true">
      <formula1>"Com impostos,Sem impostos"</formula1>
    </dataValidation>
    <dataValidation type="list" sqref="V828" allowBlank="true" errorStyle="stop" showErrorMessage="true" showInputMessage="true">
      <formula1>"Mercado Envios por conta do comprador,Mercado Envios grátis"</formula1>
    </dataValidation>
    <dataValidation type="list" sqref="W828" allowBlank="true" errorStyle="stop" showErrorMessage="true" showInputMessage="true">
      <formula1>"Clássico,Premium"</formula1>
    </dataValidation>
    <dataValidation type="list" sqref="J829" allowBlank="true" errorStyle="stop" showErrorMessage="true" showInputMessage="true">
      <formula1>"R$"</formula1>
    </dataValidation>
    <dataValidation type="list" sqref="K829" allowBlank="true" errorStyle="stop" showErrorMessage="true" showInputMessage="true">
      <formula1>"Com impostos,Sem impostos"</formula1>
    </dataValidation>
    <dataValidation type="list" sqref="V829" allowBlank="true" errorStyle="stop" showErrorMessage="true" showInputMessage="true">
      <formula1>"Mercado Envios por conta do comprador,Mercado Envios grátis"</formula1>
    </dataValidation>
    <dataValidation type="list" sqref="W829" allowBlank="true" errorStyle="stop" showErrorMessage="true" showInputMessage="true">
      <formula1>"Clássico,Premium"</formula1>
    </dataValidation>
    <dataValidation type="list" sqref="J830" allowBlank="true" errorStyle="stop" showErrorMessage="true" showInputMessage="true">
      <formula1>"R$"</formula1>
    </dataValidation>
    <dataValidation type="list" sqref="V830" allowBlank="true" errorStyle="stop" showErrorMessage="true" showInputMessage="true">
      <formula1>"Mercado Envios por conta do comprador,Mercado Envios grátis"</formula1>
    </dataValidation>
    <dataValidation type="list" sqref="W830" allowBlank="true" errorStyle="stop" showErrorMessage="true" showInputMessage="true">
      <formula1>"Clássico,Premium"</formula1>
    </dataValidation>
    <dataValidation type="list" sqref="J831" allowBlank="true" errorStyle="stop" showErrorMessage="true" showInputMessage="true">
      <formula1>"R$"</formula1>
    </dataValidation>
    <dataValidation type="list" sqref="V831" allowBlank="true" errorStyle="stop" showErrorMessage="true" showInputMessage="true">
      <formula1>"Mercado Envios por conta do comprador,Mercado Envios grátis"</formula1>
    </dataValidation>
    <dataValidation type="list" sqref="W831" allowBlank="true" errorStyle="stop" showErrorMessage="true" showInputMessage="true">
      <formula1>"Clássico,Premium"</formula1>
    </dataValidation>
    <dataValidation type="list" sqref="J832" allowBlank="true" errorStyle="stop" showErrorMessage="true" showInputMessage="true">
      <formula1>"R$"</formula1>
    </dataValidation>
    <dataValidation type="list" sqref="V832" allowBlank="true" errorStyle="stop" showErrorMessage="true" showInputMessage="true">
      <formula1>"Mercado Envios por conta do comprador,Mercado Envios grátis"</formula1>
    </dataValidation>
    <dataValidation type="list" sqref="W832" allowBlank="true" errorStyle="stop" showErrorMessage="true" showInputMessage="true">
      <formula1>"Clássico,Premium"</formula1>
    </dataValidation>
    <dataValidation type="list" sqref="J833" allowBlank="true" errorStyle="stop" showErrorMessage="true" showInputMessage="true">
      <formula1>"R$"</formula1>
    </dataValidation>
    <dataValidation type="list" sqref="K833" allowBlank="true" errorStyle="stop" showErrorMessage="true" showInputMessage="true">
      <formula1>"Com impostos,Sem impostos"</formula1>
    </dataValidation>
    <dataValidation type="list" sqref="V833" allowBlank="true" errorStyle="stop" showErrorMessage="true" showInputMessage="true">
      <formula1>"Mercado Envios por conta do comprador,Mercado Envios grátis"</formula1>
    </dataValidation>
    <dataValidation type="list" sqref="W833" allowBlank="true" errorStyle="stop" showErrorMessage="true" showInputMessage="true">
      <formula1>"Clássico,Premium"</formula1>
    </dataValidation>
    <dataValidation type="list" sqref="J834" allowBlank="true" errorStyle="stop" showErrorMessage="true" showInputMessage="true">
      <formula1>"R$"</formula1>
    </dataValidation>
    <dataValidation type="list" sqref="K834" allowBlank="true" errorStyle="stop" showErrorMessage="true" showInputMessage="true">
      <formula1>"Com impostos,Sem impostos"</formula1>
    </dataValidation>
    <dataValidation type="list" sqref="V834" allowBlank="true" errorStyle="stop" showErrorMessage="true" showInputMessage="true">
      <formula1>"Mercado Envios por conta do comprador,Mercado Envios grátis"</formula1>
    </dataValidation>
    <dataValidation type="list" sqref="W834" allowBlank="true" errorStyle="stop" showErrorMessage="true" showInputMessage="true">
      <formula1>"Clássico,Premium"</formula1>
    </dataValidation>
    <dataValidation type="list" sqref="J835" allowBlank="true" errorStyle="stop" showErrorMessage="true" showInputMessage="true">
      <formula1>"R$"</formula1>
    </dataValidation>
    <dataValidation type="list" sqref="V835" allowBlank="true" errorStyle="stop" showErrorMessage="true" showInputMessage="true">
      <formula1>"Mercado Envios por conta do comprador,Mercado Envios grátis"</formula1>
    </dataValidation>
    <dataValidation type="list" sqref="W835" allowBlank="true" errorStyle="stop" showErrorMessage="true" showInputMessage="true">
      <formula1>"Clássico,Premium"</formula1>
    </dataValidation>
    <dataValidation type="list" sqref="J836" allowBlank="true" errorStyle="stop" showErrorMessage="true" showInputMessage="true">
      <formula1>"R$"</formula1>
    </dataValidation>
    <dataValidation type="list" sqref="K836" allowBlank="true" errorStyle="stop" showErrorMessage="true" showInputMessage="true">
      <formula1>"Com impostos,Sem impostos"</formula1>
    </dataValidation>
    <dataValidation type="list" sqref="V836" allowBlank="true" errorStyle="stop" showErrorMessage="true" showInputMessage="true">
      <formula1>"Mercado Envios por conta do comprador,Mercado Envios grátis"</formula1>
    </dataValidation>
    <dataValidation type="list" sqref="W836" allowBlank="true" errorStyle="stop" showErrorMessage="true" showInputMessage="true">
      <formula1>"Clássico,Premium"</formula1>
    </dataValidation>
    <dataValidation type="list" sqref="J837" allowBlank="true" errorStyle="stop" showErrorMessage="true" showInputMessage="true">
      <formula1>"R$"</formula1>
    </dataValidation>
    <dataValidation type="list" sqref="K837" allowBlank="true" errorStyle="stop" showErrorMessage="true" showInputMessage="true">
      <formula1>"Com impostos,Sem impostos"</formula1>
    </dataValidation>
    <dataValidation type="list" sqref="V837" allowBlank="true" errorStyle="stop" showErrorMessage="true" showInputMessage="true">
      <formula1>"Mercado Envios por conta do comprador,Mercado Envios grátis"</formula1>
    </dataValidation>
    <dataValidation type="list" sqref="W837" allowBlank="true" errorStyle="stop" showErrorMessage="true" showInputMessage="true">
      <formula1>"Clássico,Premium"</formula1>
    </dataValidation>
    <dataValidation type="list" sqref="J838" allowBlank="true" errorStyle="stop" showErrorMessage="true" showInputMessage="true">
      <formula1>"R$"</formula1>
    </dataValidation>
    <dataValidation type="list" sqref="K838" allowBlank="true" errorStyle="stop" showErrorMessage="true" showInputMessage="true">
      <formula1>"Com impostos,Sem impostos"</formula1>
    </dataValidation>
    <dataValidation type="list" sqref="V838" allowBlank="true" errorStyle="stop" showErrorMessage="true" showInputMessage="true">
      <formula1>"Mercado Envios por conta do comprador,Mercado Envios grátis"</formula1>
    </dataValidation>
    <dataValidation type="list" sqref="W838" allowBlank="true" errorStyle="stop" showErrorMessage="true" showInputMessage="true">
      <formula1>"Clássico,Premium"</formula1>
    </dataValidation>
    <dataValidation type="list" sqref="J839" allowBlank="true" errorStyle="stop" showErrorMessage="true" showInputMessage="true">
      <formula1>"R$"</formula1>
    </dataValidation>
    <dataValidation type="list" sqref="K839" allowBlank="true" errorStyle="stop" showErrorMessage="true" showInputMessage="true">
      <formula1>"Com impostos,Sem impostos"</formula1>
    </dataValidation>
    <dataValidation type="list" sqref="V839" allowBlank="true" errorStyle="stop" showErrorMessage="true" showInputMessage="true">
      <formula1>"Mercado Envios por conta do comprador,Mercado Envios grátis"</formula1>
    </dataValidation>
    <dataValidation type="list" sqref="W839" allowBlank="true" errorStyle="stop" showErrorMessage="true" showInputMessage="true">
      <formula1>"Clássico,Premium"</formula1>
    </dataValidation>
    <dataValidation type="list" sqref="J840" allowBlank="true" errorStyle="stop" showErrorMessage="true" showInputMessage="true">
      <formula1>"R$"</formula1>
    </dataValidation>
    <dataValidation type="list" sqref="V840" allowBlank="true" errorStyle="stop" showErrorMessage="true" showInputMessage="true">
      <formula1>"Mercado Envios por conta do comprador,Envios por conta própria"</formula1>
    </dataValidation>
    <dataValidation type="list" sqref="W840" allowBlank="true" errorStyle="stop" showErrorMessage="true" showInputMessage="true">
      <formula1>"Clássico,Premium"</formula1>
    </dataValidation>
    <dataValidation type="list" sqref="J841" allowBlank="true" errorStyle="stop" showErrorMessage="true" showInputMessage="true">
      <formula1>"R$"</formula1>
    </dataValidation>
    <dataValidation type="list" sqref="V841" allowBlank="true" errorStyle="stop" showErrorMessage="true" showInputMessage="true">
      <formula1>"Mercado Envios por conta do comprador,Envios por conta própria"</formula1>
    </dataValidation>
    <dataValidation type="list" sqref="W841" allowBlank="true" errorStyle="stop" showErrorMessage="true" showInputMessage="true">
      <formula1>"Clássico,Premium"</formula1>
    </dataValidation>
    <dataValidation type="list" sqref="J842" allowBlank="true" errorStyle="stop" showErrorMessage="true" showInputMessage="true">
      <formula1>"R$"</formula1>
    </dataValidation>
    <dataValidation type="list" sqref="K842" allowBlank="true" errorStyle="stop" showErrorMessage="true" showInputMessage="true">
      <formula1>"Com impostos,Sem impostos"</formula1>
    </dataValidation>
    <dataValidation type="list" sqref="V842" allowBlank="true" errorStyle="stop" showErrorMessage="true" showInputMessage="true">
      <formula1>"Mercado Envios por conta do comprador,Mercado Envios grátis"</formula1>
    </dataValidation>
    <dataValidation type="list" sqref="W842" allowBlank="true" errorStyle="stop" showErrorMessage="true" showInputMessage="true">
      <formula1>"Clássico,Premium"</formula1>
    </dataValidation>
    <dataValidation type="list" sqref="J843" allowBlank="true" errorStyle="stop" showErrorMessage="true" showInputMessage="true">
      <formula1>"R$"</formula1>
    </dataValidation>
    <dataValidation type="list" sqref="K843" allowBlank="true" errorStyle="stop" showErrorMessage="true" showInputMessage="true">
      <formula1>"Com impostos,Sem impostos"</formula1>
    </dataValidation>
    <dataValidation type="list" sqref="V843" allowBlank="true" errorStyle="stop" showErrorMessage="true" showInputMessage="true">
      <formula1>"Mercado Envios por conta do comprador,Mercado Envios grátis"</formula1>
    </dataValidation>
    <dataValidation type="list" sqref="W843" allowBlank="true" errorStyle="stop" showErrorMessage="true" showInputMessage="true">
      <formula1>"Clássico,Premium"</formula1>
    </dataValidation>
    <dataValidation type="list" sqref="J844" allowBlank="true" errorStyle="stop" showErrorMessage="true" showInputMessage="true">
      <formula1>"R$"</formula1>
    </dataValidation>
    <dataValidation type="list" sqref="K844" allowBlank="true" errorStyle="stop" showErrorMessage="true" showInputMessage="true">
      <formula1>"Com impostos,Sem impostos"</formula1>
    </dataValidation>
    <dataValidation type="list" sqref="V844" allowBlank="true" errorStyle="stop" showErrorMessage="true" showInputMessage="true">
      <formula1>"Mercado Envios por conta do comprador,Mercado Envios grátis"</formula1>
    </dataValidation>
    <dataValidation type="list" sqref="W844" allowBlank="true" errorStyle="stop" showErrorMessage="true" showInputMessage="true">
      <formula1>"Clássico,Premium"</formula1>
    </dataValidation>
    <dataValidation type="list" sqref="J845" allowBlank="true" errorStyle="stop" showErrorMessage="true" showInputMessage="true">
      <formula1>"R$"</formula1>
    </dataValidation>
    <dataValidation type="list" sqref="V845" allowBlank="true" errorStyle="stop" showErrorMessage="true" showInputMessage="true">
      <formula1>"Mercado Envios por conta do comprador,Mercado Envios grátis"</formula1>
    </dataValidation>
    <dataValidation type="list" sqref="W845" allowBlank="true" errorStyle="stop" showErrorMessage="true" showInputMessage="true">
      <formula1>"Clássico,Premium"</formula1>
    </dataValidation>
    <dataValidation type="list" sqref="J846" allowBlank="true" errorStyle="stop" showErrorMessage="true" showInputMessage="true">
      <formula1>"R$"</formula1>
    </dataValidation>
    <dataValidation type="list" sqref="V846" allowBlank="true" errorStyle="stop" showErrorMessage="true" showInputMessage="true">
      <formula1>"Mercado Envios por conta do comprador,Mercado Envios grátis"</formula1>
    </dataValidation>
    <dataValidation type="list" sqref="W846" allowBlank="true" errorStyle="stop" showErrorMessage="true" showInputMessage="true">
      <formula1>"Clássico,Premium"</formula1>
    </dataValidation>
    <dataValidation type="list" sqref="J847" allowBlank="true" errorStyle="stop" showErrorMessage="true" showInputMessage="true">
      <formula1>"R$"</formula1>
    </dataValidation>
    <dataValidation type="list" sqref="V847" allowBlank="true" errorStyle="stop" showErrorMessage="true" showInputMessage="true">
      <formula1>"Mercado Envios por conta do comprador,Mercado Envios grátis"</formula1>
    </dataValidation>
    <dataValidation type="list" sqref="W847" allowBlank="true" errorStyle="stop" showErrorMessage="true" showInputMessage="true">
      <formula1>"Clássico,Premium"</formula1>
    </dataValidation>
    <dataValidation type="list" sqref="J848" allowBlank="true" errorStyle="stop" showErrorMessage="true" showInputMessage="true">
      <formula1>"R$"</formula1>
    </dataValidation>
    <dataValidation type="list" sqref="V848" allowBlank="true" errorStyle="stop" showErrorMessage="true" showInputMessage="true">
      <formula1>"Mercado Envios por conta do comprador,Mercado Envios grátis"</formula1>
    </dataValidation>
    <dataValidation type="list" sqref="W848" allowBlank="true" errorStyle="stop" showErrorMessage="true" showInputMessage="true">
      <formula1>"Clássico"</formula1>
    </dataValidation>
    <dataValidation type="list" sqref="J853" allowBlank="true" errorStyle="stop" showErrorMessage="true" showInputMessage="true">
      <formula1>"R$"</formula1>
    </dataValidation>
    <dataValidation type="list" sqref="V853" allowBlank="true" errorStyle="stop" showErrorMessage="true" showInputMessage="true">
      <formula1>"Mercado Envios por conta do comprador,Mercado Envios grátis"</formula1>
    </dataValidation>
    <dataValidation type="list" sqref="W853" allowBlank="true" errorStyle="stop" showErrorMessage="true" showInputMessage="true">
      <formula1>"Clássico"</formula1>
    </dataValidation>
    <dataValidation type="list" sqref="J859" allowBlank="true" errorStyle="stop" showErrorMessage="true" showInputMessage="true">
      <formula1>"R$"</formula1>
    </dataValidation>
    <dataValidation type="list" sqref="V859" allowBlank="true" errorStyle="stop" showErrorMessage="true" showInputMessage="true">
      <formula1>"Mercado Envios por conta do comprador,Mercado Envios grátis"</formula1>
    </dataValidation>
    <dataValidation type="list" sqref="W859" allowBlank="true" errorStyle="stop" showErrorMessage="true" showInputMessage="true">
      <formula1>"Premium"</formula1>
    </dataValidation>
    <dataValidation type="list" sqref="J864" allowBlank="true" errorStyle="stop" showErrorMessage="true" showInputMessage="true">
      <formula1>"R$"</formula1>
    </dataValidation>
    <dataValidation type="list" sqref="V864" allowBlank="true" errorStyle="stop" showErrorMessage="true" showInputMessage="true">
      <formula1>"Mercado Envios por conta do comprador,Mercado Envios grátis"</formula1>
    </dataValidation>
    <dataValidation type="list" sqref="W864" allowBlank="true" errorStyle="stop" showErrorMessage="true" showInputMessage="true">
      <formula1>"Clássico"</formula1>
    </dataValidation>
    <dataValidation type="list" sqref="J870" allowBlank="true" errorStyle="stop" showErrorMessage="true" showInputMessage="true">
      <formula1>"R$"</formula1>
    </dataValidation>
    <dataValidation type="list" sqref="V870" allowBlank="true" errorStyle="stop" showErrorMessage="true" showInputMessage="true">
      <formula1>"Mercado Envios por conta do comprador,Mercado Envios grátis"</formula1>
    </dataValidation>
    <dataValidation type="list" sqref="W870" allowBlank="true" errorStyle="stop" showErrorMessage="true" showInputMessage="true">
      <formula1>"Clássico"</formula1>
    </dataValidation>
    <dataValidation type="list" sqref="J876" allowBlank="true" errorStyle="stop" showErrorMessage="true" showInputMessage="true">
      <formula1>"R$"</formula1>
    </dataValidation>
    <dataValidation type="list" sqref="V876" allowBlank="true" errorStyle="stop" showErrorMessage="true" showInputMessage="true">
      <formula1>"Mercado Envios por conta do comprador,Mercado Envios grátis"</formula1>
    </dataValidation>
    <dataValidation type="list" sqref="W876" allowBlank="true" errorStyle="stop" showErrorMessage="true" showInputMessage="true">
      <formula1>"Clássico"</formula1>
    </dataValidation>
    <dataValidation type="list" sqref="J882" allowBlank="true" errorStyle="stop" showErrorMessage="true" showInputMessage="true">
      <formula1>"R$"</formula1>
    </dataValidation>
    <dataValidation type="list" sqref="V882" allowBlank="true" errorStyle="stop" showErrorMessage="true" showInputMessage="true">
      <formula1>"Mercado Envios por conta do comprador,Mercado Envios grátis"</formula1>
    </dataValidation>
    <dataValidation type="list" sqref="W882" allowBlank="true" errorStyle="stop" showErrorMessage="true" showInputMessage="true">
      <formula1>"Clássico"</formula1>
    </dataValidation>
    <dataValidation type="list" sqref="J887" allowBlank="true" errorStyle="stop" showErrorMessage="true" showInputMessage="true">
      <formula1>"R$"</formula1>
    </dataValidation>
    <dataValidation type="list" sqref="V887" allowBlank="true" errorStyle="stop" showErrorMessage="true" showInputMessage="true">
      <formula1>"Mercado Envios por conta do comprador,Mercado Envios grátis"</formula1>
    </dataValidation>
    <dataValidation type="list" sqref="W887" allowBlank="true" errorStyle="stop" showErrorMessage="true" showInputMessage="true">
      <formula1>"Clássico"</formula1>
    </dataValidation>
    <dataValidation type="list" sqref="J893" allowBlank="true" errorStyle="stop" showErrorMessage="true" showInputMessage="true">
      <formula1>"R$"</formula1>
    </dataValidation>
    <dataValidation type="list" sqref="V893" allowBlank="true" errorStyle="stop" showErrorMessage="true" showInputMessage="true">
      <formula1>"Mercado Envios por conta do comprador,Mercado Envios grátis"</formula1>
    </dataValidation>
    <dataValidation type="list" sqref="W893" allowBlank="true" errorStyle="stop" showErrorMessage="true" showInputMessage="true">
      <formula1>"Clássico"</formula1>
    </dataValidation>
    <dataValidation type="list" sqref="J899" allowBlank="true" errorStyle="stop" showErrorMessage="true" showInputMessage="true">
      <formula1>"R$"</formula1>
    </dataValidation>
    <dataValidation type="list" sqref="V899" allowBlank="true" errorStyle="stop" showErrorMessage="true" showInputMessage="true">
      <formula1>"Mercado Envios por conta do comprador,Mercado Envios grátis"</formula1>
    </dataValidation>
    <dataValidation type="list" sqref="W899" allowBlank="true" errorStyle="stop" showErrorMessage="true" showInputMessage="true">
      <formula1>"Clássico"</formula1>
    </dataValidation>
    <dataValidation type="list" sqref="J904" allowBlank="true" errorStyle="stop" showErrorMessage="true" showInputMessage="true">
      <formula1>"R$"</formula1>
    </dataValidation>
    <dataValidation type="list" sqref="V904" allowBlank="true" errorStyle="stop" showErrorMessage="true" showInputMessage="true">
      <formula1>"Mercado Envios por conta do comprador,Mercado Envios grátis"</formula1>
    </dataValidation>
    <dataValidation type="list" sqref="W904" allowBlank="true" errorStyle="stop" showErrorMessage="true" showInputMessage="true">
      <formula1>"Clássico"</formula1>
    </dataValidation>
    <dataValidation type="list" sqref="J909" allowBlank="true" errorStyle="stop" showErrorMessage="true" showInputMessage="true">
      <formula1>"R$"</formula1>
    </dataValidation>
    <dataValidation type="list" sqref="V909" allowBlank="true" errorStyle="stop" showErrorMessage="true" showInputMessage="true">
      <formula1>"Mercado Envios por conta do comprador,Mercado Envios grátis"</formula1>
    </dataValidation>
    <dataValidation type="list" sqref="W909" allowBlank="true" errorStyle="stop" showErrorMessage="true" showInputMessage="true">
      <formula1>"Clássico"</formula1>
    </dataValidation>
    <dataValidation type="list" sqref="J915" allowBlank="true" errorStyle="stop" showErrorMessage="true" showInputMessage="true">
      <formula1>"R$"</formula1>
    </dataValidation>
    <dataValidation type="list" sqref="V915" allowBlank="true" errorStyle="stop" showErrorMessage="true" showInputMessage="true">
      <formula1>"Mercado Envios por conta do comprador,Mercado Envios grátis"</formula1>
    </dataValidation>
    <dataValidation type="list" sqref="W915" allowBlank="true" errorStyle="stop" showErrorMessage="true" showInputMessage="true">
      <formula1>"Clássico"</formula1>
    </dataValidation>
    <dataValidation type="list" sqref="J921" allowBlank="true" errorStyle="stop" showErrorMessage="true" showInputMessage="true">
      <formula1>"R$"</formula1>
    </dataValidation>
    <dataValidation type="list" sqref="K921" allowBlank="true" errorStyle="stop" showErrorMessage="true" showInputMessage="true">
      <formula1>"Com impostos,Sem impostos"</formula1>
    </dataValidation>
    <dataValidation type="list" sqref="V921" allowBlank="true" errorStyle="stop" showErrorMessage="true" showInputMessage="true">
      <formula1>"Mercado Envios por conta do comprador,Mercado Envios grátis"</formula1>
    </dataValidation>
    <dataValidation type="list" sqref="W921" allowBlank="true" errorStyle="stop" showErrorMessage="true" showInputMessage="true">
      <formula1>"Clássico,Premium"</formula1>
    </dataValidation>
    <dataValidation type="list" sqref="J922" allowBlank="true" errorStyle="stop" showErrorMessage="true" showInputMessage="true">
      <formula1>"R$"</formula1>
    </dataValidation>
    <dataValidation type="list" sqref="K922" allowBlank="true" errorStyle="stop" showErrorMessage="true" showInputMessage="true">
      <formula1>"Com impostos,Sem impostos"</formula1>
    </dataValidation>
    <dataValidation type="list" sqref="V922" allowBlank="true" errorStyle="stop" showErrorMessage="true" showInputMessage="true">
      <formula1>"Mercado Envios por conta do comprador,Mercado Envios grátis"</formula1>
    </dataValidation>
    <dataValidation type="list" sqref="W922" allowBlank="true" errorStyle="stop" showErrorMessage="true" showInputMessage="true">
      <formula1>"Clássico,Premium"</formula1>
    </dataValidation>
    <dataValidation type="list" sqref="J923" allowBlank="true" errorStyle="stop" showErrorMessage="true" showInputMessage="true">
      <formula1>"R$"</formula1>
    </dataValidation>
    <dataValidation type="list" sqref="K923" allowBlank="true" errorStyle="stop" showErrorMessage="true" showInputMessage="true">
      <formula1>"Com impostos,Sem impostos"</formula1>
    </dataValidation>
    <dataValidation type="list" sqref="V923" allowBlank="true" errorStyle="stop" showErrorMessage="true" showInputMessage="true">
      <formula1>"Mercado Envios por conta do comprador,Mercado Envios grátis"</formula1>
    </dataValidation>
    <dataValidation type="list" sqref="W923" allowBlank="true" errorStyle="stop" showErrorMessage="true" showInputMessage="true">
      <formula1>"Clássico,Premium"</formula1>
    </dataValidation>
    <dataValidation type="list" sqref="J924" allowBlank="true" errorStyle="stop" showErrorMessage="true" showInputMessage="true">
      <formula1>"R$"</formula1>
    </dataValidation>
    <dataValidation type="list" sqref="K924" allowBlank="true" errorStyle="stop" showErrorMessage="true" showInputMessage="true">
      <formula1>"Com impostos,Sem impostos"</formula1>
    </dataValidation>
    <dataValidation type="list" sqref="V924" allowBlank="true" errorStyle="stop" showErrorMessage="true" showInputMessage="true">
      <formula1>"Mercado Envios por conta do comprador,Mercado Envios grátis"</formula1>
    </dataValidation>
    <dataValidation type="list" sqref="W924" allowBlank="true" errorStyle="stop" showErrorMessage="true" showInputMessage="true">
      <formula1>"Clássico,Premium"</formula1>
    </dataValidation>
    <dataValidation type="list" sqref="J925" allowBlank="true" errorStyle="stop" showErrorMessage="true" showInputMessage="true">
      <formula1>"R$"</formula1>
    </dataValidation>
    <dataValidation type="list" sqref="K925" allowBlank="true" errorStyle="stop" showErrorMessage="true" showInputMessage="true">
      <formula1>"Com impostos,Sem impostos"</formula1>
    </dataValidation>
    <dataValidation type="list" sqref="V925" allowBlank="true" errorStyle="stop" showErrorMessage="true" showInputMessage="true">
      <formula1>"Mercado Envios por conta do comprador,Mercado Envios grátis"</formula1>
    </dataValidation>
    <dataValidation type="list" sqref="W925" allowBlank="true" errorStyle="stop" showErrorMessage="true" showInputMessage="true">
      <formula1>"Clássico,Premium"</formula1>
    </dataValidation>
    <dataValidation type="list" sqref="J926" allowBlank="true" errorStyle="stop" showErrorMessage="true" showInputMessage="true">
      <formula1>"R$"</formula1>
    </dataValidation>
    <dataValidation type="list" sqref="K926" allowBlank="true" errorStyle="stop" showErrorMessage="true" showInputMessage="true">
      <formula1>"Com impostos,Sem impostos"</formula1>
    </dataValidation>
    <dataValidation type="list" sqref="V926" allowBlank="true" errorStyle="stop" showErrorMessage="true" showInputMessage="true">
      <formula1>"Mercado Envios por conta do comprador,Mercado Envios grátis"</formula1>
    </dataValidation>
    <dataValidation type="list" sqref="W926" allowBlank="true" errorStyle="stop" showErrorMessage="true" showInputMessage="true">
      <formula1>"Clássico,Premium"</formula1>
    </dataValidation>
    <dataValidation type="list" sqref="J927" allowBlank="true" errorStyle="stop" showErrorMessage="true" showInputMessage="true">
      <formula1>"R$"</formula1>
    </dataValidation>
    <dataValidation type="list" sqref="K927" allowBlank="true" errorStyle="stop" showErrorMessage="true" showInputMessage="true">
      <formula1>"Com impostos,Sem impostos"</formula1>
    </dataValidation>
    <dataValidation type="list" sqref="V927" allowBlank="true" errorStyle="stop" showErrorMessage="true" showInputMessage="true">
      <formula1>"Mercado Envios por conta do comprador,Mercado Envios grátis"</formula1>
    </dataValidation>
    <dataValidation type="list" sqref="W927" allowBlank="true" errorStyle="stop" showErrorMessage="true" showInputMessage="true">
      <formula1>"Clássico,Premium"</formula1>
    </dataValidation>
    <dataValidation type="list" sqref="J928" allowBlank="true" errorStyle="stop" showErrorMessage="true" showInputMessage="true">
      <formula1>"R$"</formula1>
    </dataValidation>
    <dataValidation type="list" sqref="K928" allowBlank="true" errorStyle="stop" showErrorMessage="true" showInputMessage="true">
      <formula1>"Com impostos,Sem impostos"</formula1>
    </dataValidation>
    <dataValidation type="list" sqref="V928" allowBlank="true" errorStyle="stop" showErrorMessage="true" showInputMessage="true">
      <formula1>"Mercado Envios por conta do comprador,Mercado Envios grátis"</formula1>
    </dataValidation>
    <dataValidation type="list" sqref="W928" allowBlank="true" errorStyle="stop" showErrorMessage="true" showInputMessage="true">
      <formula1>"Clássico,Premium"</formula1>
    </dataValidation>
    <dataValidation type="list" sqref="J929" allowBlank="true" errorStyle="stop" showErrorMessage="true" showInputMessage="true">
      <formula1>"R$"</formula1>
    </dataValidation>
    <dataValidation type="list" sqref="K929" allowBlank="true" errorStyle="stop" showErrorMessage="true" showInputMessage="true">
      <formula1>"Com impostos,Sem impostos"</formula1>
    </dataValidation>
    <dataValidation type="list" sqref="V929" allowBlank="true" errorStyle="stop" showErrorMessage="true" showInputMessage="true">
      <formula1>"Mercado Envios por conta do comprador,Mercado Envios grátis"</formula1>
    </dataValidation>
    <dataValidation type="list" sqref="W929" allowBlank="true" errorStyle="stop" showErrorMessage="true" showInputMessage="true">
      <formula1>"Clássico,Premium"</formula1>
    </dataValidation>
    <dataValidation type="list" sqref="J930" allowBlank="true" errorStyle="stop" showErrorMessage="true" showInputMessage="true">
      <formula1>"R$"</formula1>
    </dataValidation>
    <dataValidation type="list" sqref="K930" allowBlank="true" errorStyle="stop" showErrorMessage="true" showInputMessage="true">
      <formula1>"Com impostos,Sem impostos"</formula1>
    </dataValidation>
    <dataValidation type="list" sqref="V930" allowBlank="true" errorStyle="stop" showErrorMessage="true" showInputMessage="true">
      <formula1>"Mercado Envios por conta do comprador,Mercado Envios grátis"</formula1>
    </dataValidation>
    <dataValidation type="list" sqref="W930" allowBlank="true" errorStyle="stop" showErrorMessage="true" showInputMessage="true">
      <formula1>"Clássico,Premium"</formula1>
    </dataValidation>
    <dataValidation type="list" sqref="J931" allowBlank="true" errorStyle="stop" showErrorMessage="true" showInputMessage="true">
      <formula1>"R$"</formula1>
    </dataValidation>
    <dataValidation type="list" sqref="K931" allowBlank="true" errorStyle="stop" showErrorMessage="true" showInputMessage="true">
      <formula1>"Com impostos,Sem impostos"</formula1>
    </dataValidation>
    <dataValidation type="list" sqref="V931" allowBlank="true" errorStyle="stop" showErrorMessage="true" showInputMessage="true">
      <formula1>"Mercado Envios por conta do comprador,Mercado Envios grátis"</formula1>
    </dataValidation>
    <dataValidation type="list" sqref="W931" allowBlank="true" errorStyle="stop" showErrorMessage="true" showInputMessage="true">
      <formula1>"Clássico,Premium"</formula1>
    </dataValidation>
    <dataValidation type="list" sqref="J932" allowBlank="true" errorStyle="stop" showErrorMessage="true" showInputMessage="true">
      <formula1>"R$"</formula1>
    </dataValidation>
    <dataValidation type="list" sqref="K932" allowBlank="true" errorStyle="stop" showErrorMessage="true" showInputMessage="true">
      <formula1>"Com impostos,Sem impostos"</formula1>
    </dataValidation>
    <dataValidation type="list" sqref="V932" allowBlank="true" errorStyle="stop" showErrorMessage="true" showInputMessage="true">
      <formula1>"Mercado Envios por conta do comprador,Mercado Envios grátis"</formula1>
    </dataValidation>
    <dataValidation type="list" sqref="W932" allowBlank="true" errorStyle="stop" showErrorMessage="true" showInputMessage="true">
      <formula1>"Clássico,Premium"</formula1>
    </dataValidation>
    <dataValidation type="list" sqref="J933" allowBlank="true" errorStyle="stop" showErrorMessage="true" showInputMessage="true">
      <formula1>"R$"</formula1>
    </dataValidation>
    <dataValidation type="list" sqref="K933" allowBlank="true" errorStyle="stop" showErrorMessage="true" showInputMessage="true">
      <formula1>"Com impostos,Sem impostos"</formula1>
    </dataValidation>
    <dataValidation type="list" sqref="V933" allowBlank="true" errorStyle="stop" showErrorMessage="true" showInputMessage="true">
      <formula1>"Mercado Envios por conta do comprador,Mercado Envios grátis"</formula1>
    </dataValidation>
    <dataValidation type="list" sqref="W933" allowBlank="true" errorStyle="stop" showErrorMessage="true" showInputMessage="true">
      <formula1>"Clássico,Premium"</formula1>
    </dataValidation>
    <dataValidation type="list" sqref="J934" allowBlank="true" errorStyle="stop" showErrorMessage="true" showInputMessage="true">
      <formula1>"R$"</formula1>
    </dataValidation>
    <dataValidation type="list" sqref="K934" allowBlank="true" errorStyle="stop" showErrorMessage="true" showInputMessage="true">
      <formula1>"Com impostos,Sem impostos"</formula1>
    </dataValidation>
    <dataValidation type="list" sqref="V934" allowBlank="true" errorStyle="stop" showErrorMessage="true" showInputMessage="true">
      <formula1>"Mercado Envios por conta do comprador,Mercado Envios grátis"</formula1>
    </dataValidation>
    <dataValidation type="list" sqref="W934" allowBlank="true" errorStyle="stop" showErrorMessage="true" showInputMessage="true">
      <formula1>"Clássico,Premium"</formula1>
    </dataValidation>
    <dataValidation type="list" sqref="J935" allowBlank="true" errorStyle="stop" showErrorMessage="true" showInputMessage="true">
      <formula1>"R$"</formula1>
    </dataValidation>
    <dataValidation type="list" sqref="K935" allowBlank="true" errorStyle="stop" showErrorMessage="true" showInputMessage="true">
      <formula1>"Com impostos,Sem impostos"</formula1>
    </dataValidation>
    <dataValidation type="list" sqref="V935" allowBlank="true" errorStyle="stop" showErrorMessage="true" showInputMessage="true">
      <formula1>"Mercado Envios por conta do comprador,Mercado Envios grátis"</formula1>
    </dataValidation>
    <dataValidation type="list" sqref="W935" allowBlank="true" errorStyle="stop" showErrorMessage="true" showInputMessage="true">
      <formula1>"Clássico,Premium"</formula1>
    </dataValidation>
    <dataValidation type="list" sqref="J936" allowBlank="true" errorStyle="stop" showErrorMessage="true" showInputMessage="true">
      <formula1>"R$"</formula1>
    </dataValidation>
    <dataValidation type="list" sqref="K936" allowBlank="true" errorStyle="stop" showErrorMessage="true" showInputMessage="true">
      <formula1>"Com impostos,Sem impostos"</formula1>
    </dataValidation>
    <dataValidation type="list" sqref="V936" allowBlank="true" errorStyle="stop" showErrorMessage="true" showInputMessage="true">
      <formula1>"Mercado Envios por conta do comprador,Mercado Envios grátis"</formula1>
    </dataValidation>
    <dataValidation type="list" sqref="W936" allowBlank="true" errorStyle="stop" showErrorMessage="true" showInputMessage="true">
      <formula1>"Clássico,Premium"</formula1>
    </dataValidation>
    <dataValidation type="list" sqref="J937" allowBlank="true" errorStyle="stop" showErrorMessage="true" showInputMessage="true">
      <formula1>"R$"</formula1>
    </dataValidation>
    <dataValidation type="list" sqref="K937" allowBlank="true" errorStyle="stop" showErrorMessage="true" showInputMessage="true">
      <formula1>"Com impostos,Sem impostos"</formula1>
    </dataValidation>
    <dataValidation type="list" sqref="V937" allowBlank="true" errorStyle="stop" showErrorMessage="true" showInputMessage="true">
      <formula1>"Mercado Envios por conta do comprador,Mercado Envios grátis"</formula1>
    </dataValidation>
    <dataValidation type="list" sqref="W937" allowBlank="true" errorStyle="stop" showErrorMessage="true" showInputMessage="true">
      <formula1>"Clássico,Premium"</formula1>
    </dataValidation>
    <dataValidation type="list" sqref="J938" allowBlank="true" errorStyle="stop" showErrorMessage="true" showInputMessage="true">
      <formula1>"R$"</formula1>
    </dataValidation>
    <dataValidation type="list" sqref="K938" allowBlank="true" errorStyle="stop" showErrorMessage="true" showInputMessage="true">
      <formula1>"Com impostos,Sem impostos"</formula1>
    </dataValidation>
    <dataValidation type="list" sqref="V938" allowBlank="true" errorStyle="stop" showErrorMessage="true" showInputMessage="true">
      <formula1>"Mercado Envios por conta do comprador,Mercado Envios grátis"</formula1>
    </dataValidation>
    <dataValidation type="list" sqref="W938" allowBlank="true" errorStyle="stop" showErrorMessage="true" showInputMessage="true">
      <formula1>"Clássico,Premium"</formula1>
    </dataValidation>
    <dataValidation type="list" sqref="J939" allowBlank="true" errorStyle="stop" showErrorMessage="true" showInputMessage="true">
      <formula1>"R$"</formula1>
    </dataValidation>
    <dataValidation type="list" sqref="K939" allowBlank="true" errorStyle="stop" showErrorMessage="true" showInputMessage="true">
      <formula1>"Com impostos,Sem impostos"</formula1>
    </dataValidation>
    <dataValidation type="list" sqref="V939" allowBlank="true" errorStyle="stop" showErrorMessage="true" showInputMessage="true">
      <formula1>"Mercado Envios por conta do comprador,Mercado Envios grátis"</formula1>
    </dataValidation>
    <dataValidation type="list" sqref="W939" allowBlank="true" errorStyle="stop" showErrorMessage="true" showInputMessage="true">
      <formula1>"Clássico,Premium"</formula1>
    </dataValidation>
    <dataValidation type="list" sqref="J940" allowBlank="true" errorStyle="stop" showErrorMessage="true" showInputMessage="true">
      <formula1>"R$"</formula1>
    </dataValidation>
    <dataValidation type="list" sqref="K940" allowBlank="true" errorStyle="stop" showErrorMessage="true" showInputMessage="true">
      <formula1>"Com impostos,Sem impostos"</formula1>
    </dataValidation>
    <dataValidation type="list" sqref="V940" allowBlank="true" errorStyle="stop" showErrorMessage="true" showInputMessage="true">
      <formula1>"Mercado Envios por conta do comprador,Mercado Envios grátis"</formula1>
    </dataValidation>
    <dataValidation type="list" sqref="W940" allowBlank="true" errorStyle="stop" showErrorMessage="true" showInputMessage="true">
      <formula1>"Clássico,Premium"</formula1>
    </dataValidation>
    <dataValidation type="list" sqref="J941" allowBlank="true" errorStyle="stop" showErrorMessage="true" showInputMessage="true">
      <formula1>"R$"</formula1>
    </dataValidation>
    <dataValidation type="list" sqref="K941" allowBlank="true" errorStyle="stop" showErrorMessage="true" showInputMessage="true">
      <formula1>"Com impostos,Sem impostos"</formula1>
    </dataValidation>
    <dataValidation type="list" sqref="V941" allowBlank="true" errorStyle="stop" showErrorMessage="true" showInputMessage="true">
      <formula1>"Mercado Envios por conta do comprador,Mercado Envios grátis"</formula1>
    </dataValidation>
    <dataValidation type="list" sqref="W941" allowBlank="true" errorStyle="stop" showErrorMessage="true" showInputMessage="true">
      <formula1>"Clássico,Premium"</formula1>
    </dataValidation>
    <dataValidation type="list" sqref="J942" allowBlank="true" errorStyle="stop" showErrorMessage="true" showInputMessage="true">
      <formula1>"R$"</formula1>
    </dataValidation>
    <dataValidation type="list" sqref="K942" allowBlank="true" errorStyle="stop" showErrorMessage="true" showInputMessage="true">
      <formula1>"Com impostos,Sem impostos"</formula1>
    </dataValidation>
    <dataValidation type="list" sqref="V942" allowBlank="true" errorStyle="stop" showErrorMessage="true" showInputMessage="true">
      <formula1>"Mercado Envios por conta do comprador,Mercado Envios grátis"</formula1>
    </dataValidation>
    <dataValidation type="list" sqref="W942" allowBlank="true" errorStyle="stop" showErrorMessage="true" showInputMessage="true">
      <formula1>"Clássico,Premium"</formula1>
    </dataValidation>
    <dataValidation type="list" sqref="J943" allowBlank="true" errorStyle="stop" showErrorMessage="true" showInputMessage="true">
      <formula1>"R$"</formula1>
    </dataValidation>
    <dataValidation type="list" sqref="K943" allowBlank="true" errorStyle="stop" showErrorMessage="true" showInputMessage="true">
      <formula1>"Com impostos,Sem impostos"</formula1>
    </dataValidation>
    <dataValidation type="list" sqref="V943" allowBlank="true" errorStyle="stop" showErrorMessage="true" showInputMessage="true">
      <formula1>"Mercado Envios por conta do comprador,Mercado Envios grátis"</formula1>
    </dataValidation>
    <dataValidation type="list" sqref="W943" allowBlank="true" errorStyle="stop" showErrorMessage="true" showInputMessage="true">
      <formula1>"Clássico,Premium"</formula1>
    </dataValidation>
    <dataValidation type="list" sqref="J944" allowBlank="true" errorStyle="stop" showErrorMessage="true" showInputMessage="true">
      <formula1>"R$"</formula1>
    </dataValidation>
    <dataValidation type="list" sqref="K944" allowBlank="true" errorStyle="stop" showErrorMessage="true" showInputMessage="true">
      <formula1>"Com impostos,Sem impostos"</formula1>
    </dataValidation>
    <dataValidation type="list" sqref="V944" allowBlank="true" errorStyle="stop" showErrorMessage="true" showInputMessage="true">
      <formula1>"Mercado Envios por conta do comprador,Mercado Envios grátis"</formula1>
    </dataValidation>
    <dataValidation type="list" sqref="W944" allowBlank="true" errorStyle="stop" showErrorMessage="true" showInputMessage="true">
      <formula1>"Clássico,Premium"</formula1>
    </dataValidation>
    <dataValidation type="list" sqref="J945" allowBlank="true" errorStyle="stop" showErrorMessage="true" showInputMessage="true">
      <formula1>"R$"</formula1>
    </dataValidation>
    <dataValidation type="list" sqref="K945" allowBlank="true" errorStyle="stop" showErrorMessage="true" showInputMessage="true">
      <formula1>"Com impostos,Sem impostos"</formula1>
    </dataValidation>
    <dataValidation type="list" sqref="V945" allowBlank="true" errorStyle="stop" showErrorMessage="true" showInputMessage="true">
      <formula1>"Mercado Envios por conta do comprador,Mercado Envios grátis"</formula1>
    </dataValidation>
    <dataValidation type="list" sqref="W945" allowBlank="true" errorStyle="stop" showErrorMessage="true" showInputMessage="true">
      <formula1>"Clássico,Premium"</formula1>
    </dataValidation>
    <dataValidation type="list" sqref="J946" allowBlank="true" errorStyle="stop" showErrorMessage="true" showInputMessage="true">
      <formula1>"R$"</formula1>
    </dataValidation>
    <dataValidation type="list" sqref="K946" allowBlank="true" errorStyle="stop" showErrorMessage="true" showInputMessage="true">
      <formula1>"Com impostos,Sem impostos"</formula1>
    </dataValidation>
    <dataValidation type="list" sqref="V946" allowBlank="true" errorStyle="stop" showErrorMessage="true" showInputMessage="true">
      <formula1>"Mercado Envios por conta do comprador,Mercado Envios grátis"</formula1>
    </dataValidation>
    <dataValidation type="list" sqref="W946" allowBlank="true" errorStyle="stop" showErrorMessage="true" showInputMessage="true">
      <formula1>"Clássico,Premium"</formula1>
    </dataValidation>
    <dataValidation type="list" sqref="J947" allowBlank="true" errorStyle="stop" showErrorMessage="true" showInputMessage="true">
      <formula1>"R$"</formula1>
    </dataValidation>
    <dataValidation type="list" sqref="K947" allowBlank="true" errorStyle="stop" showErrorMessage="true" showInputMessage="true">
      <formula1>"Com impostos,Sem impostos"</formula1>
    </dataValidation>
    <dataValidation type="list" sqref="V947" allowBlank="true" errorStyle="stop" showErrorMessage="true" showInputMessage="true">
      <formula1>"Mercado Envios por conta do comprador,Mercado Envios grátis"</formula1>
    </dataValidation>
    <dataValidation type="list" sqref="W947" allowBlank="true" errorStyle="stop" showErrorMessage="true" showInputMessage="true">
      <formula1>"Clássico,Premium"</formula1>
    </dataValidation>
    <dataValidation type="list" sqref="J948" allowBlank="true" errorStyle="stop" showErrorMessage="true" showInputMessage="true">
      <formula1>"R$"</formula1>
    </dataValidation>
    <dataValidation type="list" sqref="K948" allowBlank="true" errorStyle="stop" showErrorMessage="true" showInputMessage="true">
      <formula1>"Com impostos,Sem impostos"</formula1>
    </dataValidation>
    <dataValidation type="list" sqref="V948" allowBlank="true" errorStyle="stop" showErrorMessage="true" showInputMessage="true">
      <formula1>"Mercado Envios por conta do comprador,Mercado Envios grátis"</formula1>
    </dataValidation>
    <dataValidation type="list" sqref="W948" allowBlank="true" errorStyle="stop" showErrorMessage="true" showInputMessage="true">
      <formula1>"Clássico,Premium"</formula1>
    </dataValidation>
    <dataValidation type="list" sqref="J949" allowBlank="true" errorStyle="stop" showErrorMessage="true" showInputMessage="true">
      <formula1>"R$"</formula1>
    </dataValidation>
    <dataValidation type="list" sqref="K949" allowBlank="true" errorStyle="stop" showErrorMessage="true" showInputMessage="true">
      <formula1>"Com impostos,Sem impostos"</formula1>
    </dataValidation>
    <dataValidation type="list" sqref="V949" allowBlank="true" errorStyle="stop" showErrorMessage="true" showInputMessage="true">
      <formula1>"Mercado Envios por conta do comprador,Mercado Envios grátis"</formula1>
    </dataValidation>
    <dataValidation type="list" sqref="W949" allowBlank="true" errorStyle="stop" showErrorMessage="true" showInputMessage="true">
      <formula1>"Clássico,Premium"</formula1>
    </dataValidation>
    <dataValidation type="list" sqref="J950" allowBlank="true" errorStyle="stop" showErrorMessage="true" showInputMessage="true">
      <formula1>"R$"</formula1>
    </dataValidation>
    <dataValidation type="list" sqref="K950" allowBlank="true" errorStyle="stop" showErrorMessage="true" showInputMessage="true">
      <formula1>"Com impostos,Sem impostos"</formula1>
    </dataValidation>
    <dataValidation type="list" sqref="V950" allowBlank="true" errorStyle="stop" showErrorMessage="true" showInputMessage="true">
      <formula1>"Mercado Envios por conta do comprador,Mercado Envios grátis"</formula1>
    </dataValidation>
    <dataValidation type="list" sqref="W950" allowBlank="true" errorStyle="stop" showErrorMessage="true" showInputMessage="true">
      <formula1>"Clássico,Premium"</formula1>
    </dataValidation>
    <dataValidation type="list" sqref="J951" allowBlank="true" errorStyle="stop" showErrorMessage="true" showInputMessage="true">
      <formula1>"R$"</formula1>
    </dataValidation>
    <dataValidation type="list" sqref="K951" allowBlank="true" errorStyle="stop" showErrorMessage="true" showInputMessage="true">
      <formula1>"Com impostos,Sem impostos"</formula1>
    </dataValidation>
    <dataValidation type="list" sqref="V951" allowBlank="true" errorStyle="stop" showErrorMessage="true" showInputMessage="true">
      <formula1>"Mercado Envios por conta do comprador,Mercado Envios grátis"</formula1>
    </dataValidation>
    <dataValidation type="list" sqref="W951" allowBlank="true" errorStyle="stop" showErrorMessage="true" showInputMessage="true">
      <formula1>"Clássico,Premium"</formula1>
    </dataValidation>
    <dataValidation type="list" sqref="J952" allowBlank="true" errorStyle="stop" showErrorMessage="true" showInputMessage="true">
      <formula1>"R$"</formula1>
    </dataValidation>
    <dataValidation type="list" sqref="K952" allowBlank="true" errorStyle="stop" showErrorMessage="true" showInputMessage="true">
      <formula1>"Com impostos,Sem impostos"</formula1>
    </dataValidation>
    <dataValidation type="list" sqref="V952" allowBlank="true" errorStyle="stop" showErrorMessage="true" showInputMessage="true">
      <formula1>"Mercado Envios por conta do comprador,Mercado Envios grátis"</formula1>
    </dataValidation>
    <dataValidation type="list" sqref="W952" allowBlank="true" errorStyle="stop" showErrorMessage="true" showInputMessage="true">
      <formula1>"Clássico,Premium"</formula1>
    </dataValidation>
    <dataValidation type="list" sqref="J953" allowBlank="true" errorStyle="stop" showErrorMessage="true" showInputMessage="true">
      <formula1>"R$"</formula1>
    </dataValidation>
    <dataValidation type="list" sqref="K953" allowBlank="true" errorStyle="stop" showErrorMessage="true" showInputMessage="true">
      <formula1>"Com impostos,Sem impostos"</formula1>
    </dataValidation>
    <dataValidation type="list" sqref="V953" allowBlank="true" errorStyle="stop" showErrorMessage="true" showInputMessage="true">
      <formula1>"Mercado Envios por conta do comprador,Mercado Envios grátis"</formula1>
    </dataValidation>
    <dataValidation type="list" sqref="W953" allowBlank="true" errorStyle="stop" showErrorMessage="true" showInputMessage="true">
      <formula1>"Clássico,Premium"</formula1>
    </dataValidation>
    <dataValidation type="list" sqref="J954" allowBlank="true" errorStyle="stop" showErrorMessage="true" showInputMessage="true">
      <formula1>"R$"</formula1>
    </dataValidation>
    <dataValidation type="list" sqref="K954" allowBlank="true" errorStyle="stop" showErrorMessage="true" showInputMessage="true">
      <formula1>"Com impostos,Sem impostos"</formula1>
    </dataValidation>
    <dataValidation type="list" sqref="V954" allowBlank="true" errorStyle="stop" showErrorMessage="true" showInputMessage="true">
      <formula1>"Mercado Envios por conta do comprador,Mercado Envios grátis"</formula1>
    </dataValidation>
    <dataValidation type="list" sqref="W954" allowBlank="true" errorStyle="stop" showErrorMessage="true" showInputMessage="true">
      <formula1>"Clássico,Premium"</formula1>
    </dataValidation>
    <dataValidation type="list" sqref="J955" allowBlank="true" errorStyle="stop" showErrorMessage="true" showInputMessage="true">
      <formula1>"R$"</formula1>
    </dataValidation>
    <dataValidation type="list" sqref="K955" allowBlank="true" errorStyle="stop" showErrorMessage="true" showInputMessage="true">
      <formula1>"Com impostos,Sem impostos"</formula1>
    </dataValidation>
    <dataValidation type="list" sqref="V955" allowBlank="true" errorStyle="stop" showErrorMessage="true" showInputMessage="true">
      <formula1>"Mercado Envios por conta do comprador,Mercado Envios grátis"</formula1>
    </dataValidation>
    <dataValidation type="list" sqref="W955" allowBlank="true" errorStyle="stop" showErrorMessage="true" showInputMessage="true">
      <formula1>"Clássico,Premium"</formula1>
    </dataValidation>
    <dataValidation type="list" sqref="J956" allowBlank="true" errorStyle="stop" showErrorMessage="true" showInputMessage="true">
      <formula1>"R$"</formula1>
    </dataValidation>
    <dataValidation type="list" sqref="V956" allowBlank="true" errorStyle="stop" showErrorMessage="true" showInputMessage="true">
      <formula1>"Mercado Envios por conta do comprador,Mercado Envios grátis"</formula1>
    </dataValidation>
    <dataValidation type="list" sqref="W956" allowBlank="true" errorStyle="stop" showErrorMessage="true" showInputMessage="true">
      <formula1>"Clássico,Premium"</formula1>
    </dataValidation>
    <dataValidation type="list" sqref="J959" allowBlank="true" errorStyle="stop" showErrorMessage="true" showInputMessage="true">
      <formula1>"R$"</formula1>
    </dataValidation>
    <dataValidation type="list" sqref="K959" allowBlank="true" errorStyle="stop" showErrorMessage="true" showInputMessage="true">
      <formula1>"Com impostos,Sem impostos"</formula1>
    </dataValidation>
    <dataValidation type="list" sqref="V959" allowBlank="true" errorStyle="stop" showErrorMessage="true" showInputMessage="true">
      <formula1>"Mercado Envios por conta do comprador,Mercado Envios grátis"</formula1>
    </dataValidation>
    <dataValidation type="list" sqref="W959" allowBlank="true" errorStyle="stop" showErrorMessage="true" showInputMessage="true">
      <formula1>"Clássico,Premium"</formula1>
    </dataValidation>
    <dataValidation type="list" sqref="J960" allowBlank="true" errorStyle="stop" showErrorMessage="true" showInputMessage="true">
      <formula1>"R$"</formula1>
    </dataValidation>
    <dataValidation type="list" sqref="K960" allowBlank="true" errorStyle="stop" showErrorMessage="true" showInputMessage="true">
      <formula1>"Com impostos,Sem impostos"</formula1>
    </dataValidation>
    <dataValidation type="list" sqref="V960" allowBlank="true" errorStyle="stop" showErrorMessage="true" showInputMessage="true">
      <formula1>"Mercado Envios por conta do comprador,Mercado Envios grátis"</formula1>
    </dataValidation>
    <dataValidation type="list" sqref="W960" allowBlank="true" errorStyle="stop" showErrorMessage="true" showInputMessage="true">
      <formula1>"Clássico,Premium"</formula1>
    </dataValidation>
    <dataValidation type="list" sqref="J961" allowBlank="true" errorStyle="stop" showErrorMessage="true" showInputMessage="true">
      <formula1>"R$"</formula1>
    </dataValidation>
    <dataValidation type="list" sqref="K961" allowBlank="true" errorStyle="stop" showErrorMessage="true" showInputMessage="true">
      <formula1>"Com impostos,Sem impostos"</formula1>
    </dataValidation>
    <dataValidation type="list" sqref="V961" allowBlank="true" errorStyle="stop" showErrorMessage="true" showInputMessage="true">
      <formula1>"Mercado Envios por conta do comprador,Mercado Envios grátis"</formula1>
    </dataValidation>
    <dataValidation type="list" sqref="W961" allowBlank="true" errorStyle="stop" showErrorMessage="true" showInputMessage="true">
      <formula1>"Clássico,Premium"</formula1>
    </dataValidation>
    <dataValidation type="list" sqref="J962" allowBlank="true" errorStyle="stop" showErrorMessage="true" showInputMessage="true">
      <formula1>"R$"</formula1>
    </dataValidation>
    <dataValidation type="list" sqref="K962" allowBlank="true" errorStyle="stop" showErrorMessage="true" showInputMessage="true">
      <formula1>"Com impostos,Sem impostos"</formula1>
    </dataValidation>
    <dataValidation type="list" sqref="V962" allowBlank="true" errorStyle="stop" showErrorMessage="true" showInputMessage="true">
      <formula1>"Mercado Envios por conta do comprador,Mercado Envios grátis"</formula1>
    </dataValidation>
    <dataValidation type="list" sqref="W962" allowBlank="true" errorStyle="stop" showErrorMessage="true" showInputMessage="true">
      <formula1>"Clássico,Premium"</formula1>
    </dataValidation>
    <dataValidation type="list" sqref="J963" allowBlank="true" errorStyle="stop" showErrorMessage="true" showInputMessage="true">
      <formula1>"R$"</formula1>
    </dataValidation>
    <dataValidation type="list" sqref="K963" allowBlank="true" errorStyle="stop" showErrorMessage="true" showInputMessage="true">
      <formula1>"Com impostos,Sem impostos"</formula1>
    </dataValidation>
    <dataValidation type="list" sqref="V963" allowBlank="true" errorStyle="stop" showErrorMessage="true" showInputMessage="true">
      <formula1>"Mercado Envios por conta do comprador,Mercado Envios grátis"</formula1>
    </dataValidation>
    <dataValidation type="list" sqref="W963" allowBlank="true" errorStyle="stop" showErrorMessage="true" showInputMessage="true">
      <formula1>"Clássico,Premium"</formula1>
    </dataValidation>
    <dataValidation type="list" sqref="J964" allowBlank="true" errorStyle="stop" showErrorMessage="true" showInputMessage="true">
      <formula1>"R$"</formula1>
    </dataValidation>
    <dataValidation type="list" sqref="K964" allowBlank="true" errorStyle="stop" showErrorMessage="true" showInputMessage="true">
      <formula1>"Com impostos,Sem impostos"</formula1>
    </dataValidation>
    <dataValidation type="list" sqref="V964" allowBlank="true" errorStyle="stop" showErrorMessage="true" showInputMessage="true">
      <formula1>"Mercado Envios por conta do comprador,Mercado Envios grátis"</formula1>
    </dataValidation>
    <dataValidation type="list" sqref="W964" allowBlank="true" errorStyle="stop" showErrorMessage="true" showInputMessage="true">
      <formula1>"Clássico,Premium"</formula1>
    </dataValidation>
    <dataValidation type="list" sqref="J965" allowBlank="true" errorStyle="stop" showErrorMessage="true" showInputMessage="true">
      <formula1>"R$"</formula1>
    </dataValidation>
    <dataValidation type="list" sqref="K965" allowBlank="true" errorStyle="stop" showErrorMessage="true" showInputMessage="true">
      <formula1>"Com impostos,Sem impostos"</formula1>
    </dataValidation>
    <dataValidation type="list" sqref="V965" allowBlank="true" errorStyle="stop" showErrorMessage="true" showInputMessage="true">
      <formula1>"Mercado Envios por conta do comprador,Mercado Envios grátis"</formula1>
    </dataValidation>
    <dataValidation type="list" sqref="W965" allowBlank="true" errorStyle="stop" showErrorMessage="true" showInputMessage="true">
      <formula1>"Clássico,Premium"</formula1>
    </dataValidation>
    <dataValidation type="list" sqref="J966" allowBlank="true" errorStyle="stop" showErrorMessage="true" showInputMessage="true">
      <formula1>"R$"</formula1>
    </dataValidation>
    <dataValidation type="list" sqref="K966" allowBlank="true" errorStyle="stop" showErrorMessage="true" showInputMessage="true">
      <formula1>"Com impostos,Sem impostos"</formula1>
    </dataValidation>
    <dataValidation type="list" sqref="V966" allowBlank="true" errorStyle="stop" showErrorMessage="true" showInputMessage="true">
      <formula1>"Mercado Envios por conta do comprador,Mercado Envios grátis"</formula1>
    </dataValidation>
    <dataValidation type="list" sqref="W966" allowBlank="true" errorStyle="stop" showErrorMessage="true" showInputMessage="true">
      <formula1>"Clássico,Premium"</formula1>
    </dataValidation>
    <dataValidation type="list" sqref="J967" allowBlank="true" errorStyle="stop" showErrorMessage="true" showInputMessage="true">
      <formula1>"R$"</formula1>
    </dataValidation>
    <dataValidation type="list" sqref="K967" allowBlank="true" errorStyle="stop" showErrorMessage="true" showInputMessage="true">
      <formula1>"Com impostos,Sem impostos"</formula1>
    </dataValidation>
    <dataValidation type="list" sqref="V967" allowBlank="true" errorStyle="stop" showErrorMessage="true" showInputMessage="true">
      <formula1>"Mercado Envios por conta do comprador,Mercado Envios grátis"</formula1>
    </dataValidation>
    <dataValidation type="list" sqref="W967" allowBlank="true" errorStyle="stop" showErrorMessage="true" showInputMessage="true">
      <formula1>"Clássico,Premium"</formula1>
    </dataValidation>
    <dataValidation type="list" sqref="J968" allowBlank="true" errorStyle="stop" showErrorMessage="true" showInputMessage="true">
      <formula1>"R$"</formula1>
    </dataValidation>
    <dataValidation type="list" sqref="V968" allowBlank="true" errorStyle="stop" showErrorMessage="true" showInputMessage="true">
      <formula1>"Mercado Envios por conta do comprador,Mercado Envios grátis"</formula1>
    </dataValidation>
    <dataValidation type="list" sqref="W968" allowBlank="true" errorStyle="stop" showErrorMessage="true" showInputMessage="true">
      <formula1>"Clássico,Premium"</formula1>
    </dataValidation>
    <dataValidation type="list" sqref="J971" allowBlank="true" errorStyle="stop" showErrorMessage="true" showInputMessage="true">
      <formula1>"R$"</formula1>
    </dataValidation>
    <dataValidation type="list" sqref="K971" allowBlank="true" errorStyle="stop" showErrorMessage="true" showInputMessage="true">
      <formula1>"Com impostos,Sem impostos"</formula1>
    </dataValidation>
    <dataValidation type="list" sqref="V971" allowBlank="true" errorStyle="stop" showErrorMessage="true" showInputMessage="true">
      <formula1>"Mercado Envios por conta do comprador,Mercado Envios grátis"</formula1>
    </dataValidation>
    <dataValidation type="list" sqref="W971" allowBlank="true" errorStyle="stop" showErrorMessage="true" showInputMessage="true">
      <formula1>"Clássico,Premium"</formula1>
    </dataValidation>
    <dataValidation type="list" sqref="J972" allowBlank="true" errorStyle="stop" showErrorMessage="true" showInputMessage="true">
      <formula1>"R$"</formula1>
    </dataValidation>
    <dataValidation type="list" sqref="V972" allowBlank="true" errorStyle="stop" showErrorMessage="true" showInputMessage="true">
      <formula1>"Mercado Envios por conta do comprador,Mercado Envios grátis"</formula1>
    </dataValidation>
    <dataValidation type="list" sqref="W972" allowBlank="true" errorStyle="stop" showErrorMessage="true" showInputMessage="true">
      <formula1>"Clássico,Premium"</formula1>
    </dataValidation>
    <dataValidation type="list" sqref="J975" allowBlank="true" errorStyle="stop" showErrorMessage="true" showInputMessage="true">
      <formula1>"R$"</formula1>
    </dataValidation>
    <dataValidation type="list" sqref="K975" allowBlank="true" errorStyle="stop" showErrorMessage="true" showInputMessage="true">
      <formula1>"Com impostos,Sem impostos"</formula1>
    </dataValidation>
    <dataValidation type="list" sqref="V975" allowBlank="true" errorStyle="stop" showErrorMessage="true" showInputMessage="true">
      <formula1>"Mercado Envios por conta do comprador,Mercado Envios grátis"</formula1>
    </dataValidation>
    <dataValidation type="list" sqref="W975" allowBlank="true" errorStyle="stop" showErrorMessage="true" showInputMessage="true">
      <formula1>"Clássico,Premium"</formula1>
    </dataValidation>
    <dataValidation type="list" sqref="J976" allowBlank="true" errorStyle="stop" showErrorMessage="true" showInputMessage="true">
      <formula1>"R$"</formula1>
    </dataValidation>
    <dataValidation type="list" sqref="K976" allowBlank="true" errorStyle="stop" showErrorMessage="true" showInputMessage="true">
      <formula1>"Com impostos,Sem impostos"</formula1>
    </dataValidation>
    <dataValidation type="list" sqref="V976" allowBlank="true" errorStyle="stop" showErrorMessage="true" showInputMessage="true">
      <formula1>"Mercado Envios por conta do comprador,Mercado Envios grátis"</formula1>
    </dataValidation>
    <dataValidation type="list" sqref="W976" allowBlank="true" errorStyle="stop" showErrorMessage="true" showInputMessage="true">
      <formula1>"Clássico,Premium"</formula1>
    </dataValidation>
    <dataValidation type="list" sqref="J977" allowBlank="true" errorStyle="stop" showErrorMessage="true" showInputMessage="true">
      <formula1>"R$"</formula1>
    </dataValidation>
    <dataValidation type="list" sqref="K977" allowBlank="true" errorStyle="stop" showErrorMessage="true" showInputMessage="true">
      <formula1>"Com impostos,Sem impostos"</formula1>
    </dataValidation>
    <dataValidation type="list" sqref="V977" allowBlank="true" errorStyle="stop" showErrorMessage="true" showInputMessage="true">
      <formula1>"Mercado Envios por conta do comprador,Mercado Envios grátis"</formula1>
    </dataValidation>
    <dataValidation type="list" sqref="W977" allowBlank="true" errorStyle="stop" showErrorMessage="true" showInputMessage="true">
      <formula1>"Clássico,Premium"</formula1>
    </dataValidation>
    <dataValidation type="list" sqref="J978" allowBlank="true" errorStyle="stop" showErrorMessage="true" showInputMessage="true">
      <formula1>"R$"</formula1>
    </dataValidation>
    <dataValidation type="list" sqref="K978" allowBlank="true" errorStyle="stop" showErrorMessage="true" showInputMessage="true">
      <formula1>"Com impostos,Sem impostos"</formula1>
    </dataValidation>
    <dataValidation type="list" sqref="V978" allowBlank="true" errorStyle="stop" showErrorMessage="true" showInputMessage="true">
      <formula1>"Mercado Envios por conta do comprador,Mercado Envios grátis"</formula1>
    </dataValidation>
    <dataValidation type="list" sqref="W978" allowBlank="true" errorStyle="stop" showErrorMessage="true" showInputMessage="true">
      <formula1>"Clássico,Premium"</formula1>
    </dataValidation>
    <dataValidation type="list" sqref="J979" allowBlank="true" errorStyle="stop" showErrorMessage="true" showInputMessage="true">
      <formula1>"R$"</formula1>
    </dataValidation>
    <dataValidation type="list" sqref="K979" allowBlank="true" errorStyle="stop" showErrorMessage="true" showInputMessage="true">
      <formula1>"Com impostos,Sem impostos"</formula1>
    </dataValidation>
    <dataValidation type="list" sqref="V979" allowBlank="true" errorStyle="stop" showErrorMessage="true" showInputMessage="true">
      <formula1>"Mercado Envios por conta do comprador,Mercado Envios grátis"</formula1>
    </dataValidation>
    <dataValidation type="list" sqref="W979" allowBlank="true" errorStyle="stop" showErrorMessage="true" showInputMessage="true">
      <formula1>"Clássico,Premium"</formula1>
    </dataValidation>
    <dataValidation type="list" sqref="J980" allowBlank="true" errorStyle="stop" showErrorMessage="true" showInputMessage="true">
      <formula1>"R$"</formula1>
    </dataValidation>
    <dataValidation type="list" sqref="K980" allowBlank="true" errorStyle="stop" showErrorMessage="true" showInputMessage="true">
      <formula1>"Com impostos,Sem impostos"</formula1>
    </dataValidation>
    <dataValidation type="list" sqref="V980" allowBlank="true" errorStyle="stop" showErrorMessage="true" showInputMessage="true">
      <formula1>"Mercado Envios por conta do comprador,Mercado Envios grátis"</formula1>
    </dataValidation>
    <dataValidation type="list" sqref="W980" allowBlank="true" errorStyle="stop" showErrorMessage="true" showInputMessage="true">
      <formula1>"Clássico,Premium"</formula1>
    </dataValidation>
    <dataValidation type="list" sqref="J981" allowBlank="true" errorStyle="stop" showErrorMessage="true" showInputMessage="true">
      <formula1>"R$"</formula1>
    </dataValidation>
    <dataValidation type="list" sqref="K981" allowBlank="true" errorStyle="stop" showErrorMessage="true" showInputMessage="true">
      <formula1>"Com impostos,Sem impostos"</formula1>
    </dataValidation>
    <dataValidation type="list" sqref="V981" allowBlank="true" errorStyle="stop" showErrorMessage="true" showInputMessage="true">
      <formula1>"Mercado Envios por conta do comprador,Mercado Envios grátis"</formula1>
    </dataValidation>
    <dataValidation type="list" sqref="W981" allowBlank="true" errorStyle="stop" showErrorMessage="true" showInputMessage="true">
      <formula1>"Clássico,Premium"</formula1>
    </dataValidation>
    <dataValidation type="list" sqref="J982" allowBlank="true" errorStyle="stop" showErrorMessage="true" showInputMessage="true">
      <formula1>"R$"</formula1>
    </dataValidation>
    <dataValidation type="list" sqref="K982" allowBlank="true" errorStyle="stop" showErrorMessage="true" showInputMessage="true">
      <formula1>"Com impostos,Sem impostos"</formula1>
    </dataValidation>
    <dataValidation type="list" sqref="V982" allowBlank="true" errorStyle="stop" showErrorMessage="true" showInputMessage="true">
      <formula1>"Mercado Envios por conta do comprador,Mercado Envios grátis"</formula1>
    </dataValidation>
    <dataValidation type="list" sqref="W982" allowBlank="true" errorStyle="stop" showErrorMessage="true" showInputMessage="true">
      <formula1>"Clássico,Premium"</formula1>
    </dataValidation>
    <dataValidation type="list" sqref="J983" allowBlank="true" errorStyle="stop" showErrorMessage="true" showInputMessage="true">
      <formula1>"R$"</formula1>
    </dataValidation>
    <dataValidation type="list" sqref="K983" allowBlank="true" errorStyle="stop" showErrorMessage="true" showInputMessage="true">
      <formula1>"Com impostos,Sem impostos"</formula1>
    </dataValidation>
    <dataValidation type="list" sqref="V983" allowBlank="true" errorStyle="stop" showErrorMessage="true" showInputMessage="true">
      <formula1>"Mercado Envios por conta do comprador,Mercado Envios grátis"</formula1>
    </dataValidation>
    <dataValidation type="list" sqref="W983" allowBlank="true" errorStyle="stop" showErrorMessage="true" showInputMessage="true">
      <formula1>"Clássico,Premium"</formula1>
    </dataValidation>
    <dataValidation type="list" sqref="J984" allowBlank="true" errorStyle="stop" showErrorMessage="true" showInputMessage="true">
      <formula1>"R$"</formula1>
    </dataValidation>
    <dataValidation type="list" sqref="K984" allowBlank="true" errorStyle="stop" showErrorMessage="true" showInputMessage="true">
      <formula1>"Com impostos,Sem impostos"</formula1>
    </dataValidation>
    <dataValidation type="list" sqref="V984" allowBlank="true" errorStyle="stop" showErrorMessage="true" showInputMessage="true">
      <formula1>"Mercado Envios por conta do comprador,Mercado Envios grátis"</formula1>
    </dataValidation>
    <dataValidation type="list" sqref="W984" allowBlank="true" errorStyle="stop" showErrorMessage="true" showInputMessage="true">
      <formula1>"Clássico,Premium"</formula1>
    </dataValidation>
    <dataValidation type="list" sqref="J985" allowBlank="true" errorStyle="stop" showErrorMessage="true" showInputMessage="true">
      <formula1>"R$"</formula1>
    </dataValidation>
    <dataValidation type="list" sqref="K985" allowBlank="true" errorStyle="stop" showErrorMessage="true" showInputMessage="true">
      <formula1>"Com impostos,Sem impostos"</formula1>
    </dataValidation>
    <dataValidation type="list" sqref="V985" allowBlank="true" errorStyle="stop" showErrorMessage="true" showInputMessage="true">
      <formula1>"Mercado Envios por conta do comprador,Mercado Envios grátis"</formula1>
    </dataValidation>
    <dataValidation type="list" sqref="W985" allowBlank="true" errorStyle="stop" showErrorMessage="true" showInputMessage="true">
      <formula1>"Clássico,Premium"</formula1>
    </dataValidation>
    <dataValidation type="list" sqref="J986" allowBlank="true" errorStyle="stop" showErrorMessage="true" showInputMessage="true">
      <formula1>"R$"</formula1>
    </dataValidation>
    <dataValidation type="list" sqref="K986" allowBlank="true" errorStyle="stop" showErrorMessage="true" showInputMessage="true">
      <formula1>"Com impostos,Sem impostos"</formula1>
    </dataValidation>
    <dataValidation type="list" sqref="V986" allowBlank="true" errorStyle="stop" showErrorMessage="true" showInputMessage="true">
      <formula1>"Mercado Envios por conta do comprador,Mercado Envios grátis"</formula1>
    </dataValidation>
    <dataValidation type="list" sqref="W986" allowBlank="true" errorStyle="stop" showErrorMessage="true" showInputMessage="true">
      <formula1>"Clássico,Premium"</formula1>
    </dataValidation>
    <dataValidation type="list" sqref="J987" allowBlank="true" errorStyle="stop" showErrorMessage="true" showInputMessage="true">
      <formula1>"R$"</formula1>
    </dataValidation>
    <dataValidation type="list" sqref="K987" allowBlank="true" errorStyle="stop" showErrorMessage="true" showInputMessage="true">
      <formula1>"Com impostos,Sem impostos"</formula1>
    </dataValidation>
    <dataValidation type="list" sqref="V987" allowBlank="true" errorStyle="stop" showErrorMessage="true" showInputMessage="true">
      <formula1>"Mercado Envios por conta do comprador,Mercado Envios grátis"</formula1>
    </dataValidation>
    <dataValidation type="list" sqref="W987" allowBlank="true" errorStyle="stop" showErrorMessage="true" showInputMessage="true">
      <formula1>"Clássico,Premium"</formula1>
    </dataValidation>
    <dataValidation type="list" sqref="J988" allowBlank="true" errorStyle="stop" showErrorMessage="true" showInputMessage="true">
      <formula1>"R$"</formula1>
    </dataValidation>
    <dataValidation type="list" sqref="V988" allowBlank="true" errorStyle="stop" showErrorMessage="true" showInputMessage="true">
      <formula1>"Mercado Envios por conta do comprador,Mercado Envios grátis"</formula1>
    </dataValidation>
    <dataValidation type="list" sqref="W988" allowBlank="true" errorStyle="stop" showErrorMessage="true" showInputMessage="true">
      <formula1>"Clássico,Premium"</formula1>
    </dataValidation>
    <dataValidation type="list" sqref="J991" allowBlank="true" errorStyle="stop" showErrorMessage="true" showInputMessage="true">
      <formula1>"R$"</formula1>
    </dataValidation>
    <dataValidation type="list" sqref="K991" allowBlank="true" errorStyle="stop" showErrorMessage="true" showInputMessage="true">
      <formula1>"Com impostos,Sem impostos"</formula1>
    </dataValidation>
    <dataValidation type="list" sqref="V991" allowBlank="true" errorStyle="stop" showErrorMessage="true" showInputMessage="true">
      <formula1>"Mercado Envios por conta do comprador,Mercado Envios grátis"</formula1>
    </dataValidation>
    <dataValidation type="list" sqref="W991" allowBlank="true" errorStyle="stop" showErrorMessage="true" showInputMessage="true">
      <formula1>"Clássico,Premium"</formula1>
    </dataValidation>
    <dataValidation type="list" sqref="J992" allowBlank="true" errorStyle="stop" showErrorMessage="true" showInputMessage="true">
      <formula1>"R$"</formula1>
    </dataValidation>
    <dataValidation type="list" sqref="K992" allowBlank="true" errorStyle="stop" showErrorMessage="true" showInputMessage="true">
      <formula1>"Com impostos,Sem impostos"</formula1>
    </dataValidation>
    <dataValidation type="list" sqref="V992" allowBlank="true" errorStyle="stop" showErrorMessage="true" showInputMessage="true">
      <formula1>"Mercado Envios por conta do comprador,Mercado Envios grátis"</formula1>
    </dataValidation>
    <dataValidation type="list" sqref="W992" allowBlank="true" errorStyle="stop" showErrorMessage="true" showInputMessage="true">
      <formula1>"Clássico,Premium"</formula1>
    </dataValidation>
    <dataValidation type="list" sqref="J993" allowBlank="true" errorStyle="stop" showErrorMessage="true" showInputMessage="true">
      <formula1>"R$"</formula1>
    </dataValidation>
    <dataValidation type="list" sqref="V993" allowBlank="true" errorStyle="stop" showErrorMessage="true" showInputMessage="true">
      <formula1>"Mercado Envios por conta do comprador,Mercado Envios grátis"</formula1>
    </dataValidation>
    <dataValidation type="list" sqref="W993" allowBlank="true" errorStyle="stop" showErrorMessage="true" showInputMessage="true">
      <formula1>"Clássico,Premium"</formula1>
    </dataValidation>
    <dataValidation type="list" sqref="J996" allowBlank="true" errorStyle="stop" showErrorMessage="true" showInputMessage="true">
      <formula1>"R$"</formula1>
    </dataValidation>
    <dataValidation type="list" sqref="K996" allowBlank="true" errorStyle="stop" showErrorMessage="true" showInputMessage="true">
      <formula1>"Com impostos,Sem impostos"</formula1>
    </dataValidation>
    <dataValidation type="list" sqref="V996" allowBlank="true" errorStyle="stop" showErrorMessage="true" showInputMessage="true">
      <formula1>"Mercado Envios por conta do comprador,Mercado Envios grátis"</formula1>
    </dataValidation>
    <dataValidation type="list" sqref="W996" allowBlank="true" errorStyle="stop" showErrorMessage="true" showInputMessage="true">
      <formula1>"Clássico,Premium"</formula1>
    </dataValidation>
    <dataValidation type="list" sqref="J997" allowBlank="true" errorStyle="stop" showErrorMessage="true" showInputMessage="true">
      <formula1>"R$"</formula1>
    </dataValidation>
    <dataValidation type="list" sqref="K997" allowBlank="true" errorStyle="stop" showErrorMessage="true" showInputMessage="true">
      <formula1>"Com impostos,Sem impostos"</formula1>
    </dataValidation>
    <dataValidation type="list" sqref="V997" allowBlank="true" errorStyle="stop" showErrorMessage="true" showInputMessage="true">
      <formula1>"Mercado Envios por conta do comprador,Mercado Envios grátis"</formula1>
    </dataValidation>
    <dataValidation type="list" sqref="W997" allowBlank="true" errorStyle="stop" showErrorMessage="true" showInputMessage="true">
      <formula1>"Clássico,Premium"</formula1>
    </dataValidation>
    <dataValidation type="list" sqref="J998" allowBlank="true" errorStyle="stop" showErrorMessage="true" showInputMessage="true">
      <formula1>"R$"</formula1>
    </dataValidation>
    <dataValidation type="list" sqref="K998" allowBlank="true" errorStyle="stop" showErrorMessage="true" showInputMessage="true">
      <formula1>"Com impostos,Sem impostos"</formula1>
    </dataValidation>
    <dataValidation type="list" sqref="V998" allowBlank="true" errorStyle="stop" showErrorMessage="true" showInputMessage="true">
      <formula1>"Mercado Envios por conta do comprador,Mercado Envios grátis"</formula1>
    </dataValidation>
    <dataValidation type="list" sqref="W998" allowBlank="true" errorStyle="stop" showErrorMessage="true" showInputMessage="true">
      <formula1>"Clássico,Premium"</formula1>
    </dataValidation>
    <dataValidation type="list" sqref="J999" allowBlank="true" errorStyle="stop" showErrorMessage="true" showInputMessage="true">
      <formula1>"R$"</formula1>
    </dataValidation>
    <dataValidation type="list" sqref="K999" allowBlank="true" errorStyle="stop" showErrorMessage="true" showInputMessage="true">
      <formula1>"Com impostos,Sem impostos"</formula1>
    </dataValidation>
    <dataValidation type="list" sqref="V999" allowBlank="true" errorStyle="stop" showErrorMessage="true" showInputMessage="true">
      <formula1>"Mercado Envios por conta do comprador,Mercado Envios grátis"</formula1>
    </dataValidation>
    <dataValidation type="list" sqref="W999" allowBlank="true" errorStyle="stop" showErrorMessage="true" showInputMessage="true">
      <formula1>"Clássico,Premium"</formula1>
    </dataValidation>
    <dataValidation type="list" sqref="J1000" allowBlank="true" errorStyle="stop" showErrorMessage="true" showInputMessage="true">
      <formula1>"R$"</formula1>
    </dataValidation>
    <dataValidation type="list" sqref="K1000" allowBlank="true" errorStyle="stop" showErrorMessage="true" showInputMessage="true">
      <formula1>"Com impostos,Sem impostos"</formula1>
    </dataValidation>
    <dataValidation type="list" sqref="V1000" allowBlank="true" errorStyle="stop" showErrorMessage="true" showInputMessage="true">
      <formula1>"Mercado Envios por conta do comprador,Mercado Envios grátis"</formula1>
    </dataValidation>
    <dataValidation type="list" sqref="W1000" allowBlank="true" errorStyle="stop" showErrorMessage="true" showInputMessage="true">
      <formula1>"Clássico,Premium"</formula1>
    </dataValidation>
    <dataValidation type="list" sqref="J1001" allowBlank="true" errorStyle="stop" showErrorMessage="true" showInputMessage="true">
      <formula1>"R$"</formula1>
    </dataValidation>
    <dataValidation type="list" sqref="K1001" allowBlank="true" errorStyle="stop" showErrorMessage="true" showInputMessage="true">
      <formula1>"Com impostos,Sem impostos"</formula1>
    </dataValidation>
    <dataValidation type="list" sqref="V1001" allowBlank="true" errorStyle="stop" showErrorMessage="true" showInputMessage="true">
      <formula1>"Mercado Envios por conta do comprador,Mercado Envios grátis"</formula1>
    </dataValidation>
    <dataValidation type="list" sqref="W1001" allowBlank="true" errorStyle="stop" showErrorMessage="true" showInputMessage="true">
      <formula1>"Clássico,Premium"</formula1>
    </dataValidation>
    <dataValidation type="list" sqref="J1002" allowBlank="true" errorStyle="stop" showErrorMessage="true" showInputMessage="true">
      <formula1>"R$"</formula1>
    </dataValidation>
    <dataValidation type="list" sqref="K1002" allowBlank="true" errorStyle="stop" showErrorMessage="true" showInputMessage="true">
      <formula1>"Com impostos,Sem impostos"</formula1>
    </dataValidation>
    <dataValidation type="list" sqref="V1002" allowBlank="true" errorStyle="stop" showErrorMessage="true" showInputMessage="true">
      <formula1>"Mercado Envios por conta do comprador,Mercado Envios grátis"</formula1>
    </dataValidation>
    <dataValidation type="list" sqref="W1002" allowBlank="true" errorStyle="stop" showErrorMessage="true" showInputMessage="true">
      <formula1>"Clássico,Premium"</formula1>
    </dataValidation>
    <dataValidation type="list" sqref="J1003" allowBlank="true" errorStyle="stop" showErrorMessage="true" showInputMessage="true">
      <formula1>"R$"</formula1>
    </dataValidation>
    <dataValidation type="list" sqref="K1003" allowBlank="true" errorStyle="stop" showErrorMessage="true" showInputMessage="true">
      <formula1>"Com impostos,Sem impostos"</formula1>
    </dataValidation>
    <dataValidation type="list" sqref="V1003" allowBlank="true" errorStyle="stop" showErrorMessage="true" showInputMessage="true">
      <formula1>"Mercado Envios por conta do comprador,Mercado Envios grátis"</formula1>
    </dataValidation>
    <dataValidation type="list" sqref="W1003" allowBlank="true" errorStyle="stop" showErrorMessage="true" showInputMessage="true">
      <formula1>"Clássico,Premium"</formula1>
    </dataValidation>
    <dataValidation type="list" sqref="J1004" allowBlank="true" errorStyle="stop" showErrorMessage="true" showInputMessage="true">
      <formula1>"R$"</formula1>
    </dataValidation>
    <dataValidation type="list" sqref="K1004" allowBlank="true" errorStyle="stop" showErrorMessage="true" showInputMessage="true">
      <formula1>"Com impostos,Sem impostos"</formula1>
    </dataValidation>
    <dataValidation type="list" sqref="V1004" allowBlank="true" errorStyle="stop" showErrorMessage="true" showInputMessage="true">
      <formula1>"Mercado Envios por conta do comprador,Mercado Envios grátis"</formula1>
    </dataValidation>
    <dataValidation type="list" sqref="W1004" allowBlank="true" errorStyle="stop" showErrorMessage="true" showInputMessage="true">
      <formula1>"Clássico,Premium"</formula1>
    </dataValidation>
    <dataValidation type="list" sqref="J1005" allowBlank="true" errorStyle="stop" showErrorMessage="true" showInputMessage="true">
      <formula1>"R$"</formula1>
    </dataValidation>
    <dataValidation type="list" sqref="K1005" allowBlank="true" errorStyle="stop" showErrorMessage="true" showInputMessage="true">
      <formula1>"Com impostos,Sem impostos"</formula1>
    </dataValidation>
    <dataValidation type="list" sqref="V1005" allowBlank="true" errorStyle="stop" showErrorMessage="true" showInputMessage="true">
      <formula1>"Mercado Envios por conta do comprador,Mercado Envios grátis"</formula1>
    </dataValidation>
    <dataValidation type="list" sqref="W1005" allowBlank="true" errorStyle="stop" showErrorMessage="true" showInputMessage="true">
      <formula1>"Clássico,Premium"</formula1>
    </dataValidation>
    <dataValidation type="list" sqref="J1006" allowBlank="true" errorStyle="stop" showErrorMessage="true" showInputMessage="true">
      <formula1>"R$"</formula1>
    </dataValidation>
    <dataValidation type="list" sqref="K1006" allowBlank="true" errorStyle="stop" showErrorMessage="true" showInputMessage="true">
      <formula1>"Com impostos,Sem impostos"</formula1>
    </dataValidation>
    <dataValidation type="list" sqref="V1006" allowBlank="true" errorStyle="stop" showErrorMessage="true" showInputMessage="true">
      <formula1>"Mercado Envios por conta do comprador,Mercado Envios grátis"</formula1>
    </dataValidation>
    <dataValidation type="list" sqref="W1006" allowBlank="true" errorStyle="stop" showErrorMessage="true" showInputMessage="true">
      <formula1>"Clássico,Premium"</formula1>
    </dataValidation>
    <dataValidation type="list" sqref="J1007" allowBlank="true" errorStyle="stop" showErrorMessage="true" showInputMessage="true">
      <formula1>"R$"</formula1>
    </dataValidation>
    <dataValidation type="list" sqref="K1007" allowBlank="true" errorStyle="stop" showErrorMessage="true" showInputMessage="true">
      <formula1>"Com impostos,Sem impostos"</formula1>
    </dataValidation>
    <dataValidation type="list" sqref="V1007" allowBlank="true" errorStyle="stop" showErrorMessage="true" showInputMessage="true">
      <formula1>"Mercado Envios por conta do comprador,Mercado Envios grátis"</formula1>
    </dataValidation>
    <dataValidation type="list" sqref="W1007" allowBlank="true" errorStyle="stop" showErrorMessage="true" showInputMessage="true">
      <formula1>"Clássico,Premium"</formula1>
    </dataValidation>
    <dataValidation type="list" sqref="J1008" allowBlank="true" errorStyle="stop" showErrorMessage="true" showInputMessage="true">
      <formula1>"R$"</formula1>
    </dataValidation>
    <dataValidation type="list" sqref="K1008" allowBlank="true" errorStyle="stop" showErrorMessage="true" showInputMessage="true">
      <formula1>"Com impostos,Sem impostos"</formula1>
    </dataValidation>
    <dataValidation type="list" sqref="V1008" allowBlank="true" errorStyle="stop" showErrorMessage="true" showInputMessage="true">
      <formula1>"Mercado Envios por conta do comprador,Mercado Envios grátis"</formula1>
    </dataValidation>
    <dataValidation type="list" sqref="W1008" allowBlank="true" errorStyle="stop" showErrorMessage="true" showInputMessage="true">
      <formula1>"Clássico,Premium"</formula1>
    </dataValidation>
    <dataValidation type="list" sqref="J1009" allowBlank="true" errorStyle="stop" showErrorMessage="true" showInputMessage="true">
      <formula1>"R$"</formula1>
    </dataValidation>
    <dataValidation type="list" sqref="K1009" allowBlank="true" errorStyle="stop" showErrorMessage="true" showInputMessage="true">
      <formula1>"Com impostos,Sem impostos"</formula1>
    </dataValidation>
    <dataValidation type="list" sqref="V1009" allowBlank="true" errorStyle="stop" showErrorMessage="true" showInputMessage="true">
      <formula1>"Mercado Envios por conta do comprador,Mercado Envios grátis"</formula1>
    </dataValidation>
    <dataValidation type="list" sqref="W1009" allowBlank="true" errorStyle="stop" showErrorMessage="true" showInputMessage="true">
      <formula1>"Clássico,Premium"</formula1>
    </dataValidation>
    <dataValidation type="list" sqref="J1010" allowBlank="true" errorStyle="stop" showErrorMessage="true" showInputMessage="true">
      <formula1>"R$"</formula1>
    </dataValidation>
    <dataValidation type="list" sqref="K1010" allowBlank="true" errorStyle="stop" showErrorMessage="true" showInputMessage="true">
      <formula1>"Com impostos,Sem impostos"</formula1>
    </dataValidation>
    <dataValidation type="list" sqref="V1010" allowBlank="true" errorStyle="stop" showErrorMessage="true" showInputMessage="true">
      <formula1>"Mercado Envios por conta do comprador,Mercado Envios grátis"</formula1>
    </dataValidation>
    <dataValidation type="list" sqref="W1010" allowBlank="true" errorStyle="stop" showErrorMessage="true" showInputMessage="true">
      <formula1>"Clássico,Premium"</formula1>
    </dataValidation>
    <dataValidation type="list" sqref="J1011" allowBlank="true" errorStyle="stop" showErrorMessage="true" showInputMessage="true">
      <formula1>"R$"</formula1>
    </dataValidation>
    <dataValidation type="list" sqref="V1011" allowBlank="true" errorStyle="stop" showErrorMessage="true" showInputMessage="true">
      <formula1>"Mercado Envios por conta do comprador,Mercado Envios grátis"</formula1>
    </dataValidation>
    <dataValidation type="list" sqref="W1011" allowBlank="true" errorStyle="stop" showErrorMessage="true" showInputMessage="true">
      <formula1>"Clássico,Premium"</formula1>
    </dataValidation>
    <dataValidation type="list" sqref="J1014" allowBlank="true" errorStyle="stop" showErrorMessage="true" showInputMessage="true">
      <formula1>"R$"</formula1>
    </dataValidation>
    <dataValidation type="list" sqref="K1014" allowBlank="true" errorStyle="stop" showErrorMessage="true" showInputMessage="true">
      <formula1>"Com impostos,Sem impostos"</formula1>
    </dataValidation>
    <dataValidation type="list" sqref="V1014" allowBlank="true" errorStyle="stop" showErrorMessage="true" showInputMessage="true">
      <formula1>"Mercado Envios por conta do comprador,Mercado Envios grátis"</formula1>
    </dataValidation>
    <dataValidation type="list" sqref="W1014" allowBlank="true" errorStyle="stop" showErrorMessage="true" showInputMessage="true">
      <formula1>"Clássico,Premium"</formula1>
    </dataValidation>
    <dataValidation type="list" sqref="J1015" allowBlank="true" errorStyle="stop" showErrorMessage="true" showInputMessage="true">
      <formula1>"R$"</formula1>
    </dataValidation>
    <dataValidation type="list" sqref="K1015" allowBlank="true" errorStyle="stop" showErrorMessage="true" showInputMessage="true">
      <formula1>"Com impostos,Sem impostos"</formula1>
    </dataValidation>
    <dataValidation type="list" sqref="V1015" allowBlank="true" errorStyle="stop" showErrorMessage="true" showInputMessage="true">
      <formula1>"Mercado Envios por conta do comprador,Mercado Envios grátis"</formula1>
    </dataValidation>
    <dataValidation type="list" sqref="W1015" allowBlank="true" errorStyle="stop" showErrorMessage="true" showInputMessage="true">
      <formula1>"Clássico,Premium"</formula1>
    </dataValidation>
    <dataValidation type="list" sqref="J1016" allowBlank="true" errorStyle="stop" showErrorMessage="true" showInputMessage="true">
      <formula1>"R$"</formula1>
    </dataValidation>
    <dataValidation type="list" sqref="K1016" allowBlank="true" errorStyle="stop" showErrorMessage="true" showInputMessage="true">
      <formula1>"Com impostos,Sem impostos"</formula1>
    </dataValidation>
    <dataValidation type="list" sqref="V1016" allowBlank="true" errorStyle="stop" showErrorMessage="true" showInputMessage="true">
      <formula1>"Mercado Envios por conta do comprador,Mercado Envios grátis"</formula1>
    </dataValidation>
    <dataValidation type="list" sqref="W1016" allowBlank="true" errorStyle="stop" showErrorMessage="true" showInputMessage="true">
      <formula1>"Clássico,Premium"</formula1>
    </dataValidation>
    <dataValidation type="list" sqref="J1017" allowBlank="true" errorStyle="stop" showErrorMessage="true" showInputMessage="true">
      <formula1>"R$"</formula1>
    </dataValidation>
    <dataValidation type="list" sqref="K1017" allowBlank="true" errorStyle="stop" showErrorMessage="true" showInputMessage="true">
      <formula1>"Com impostos,Sem impostos"</formula1>
    </dataValidation>
    <dataValidation type="list" sqref="V1017" allowBlank="true" errorStyle="stop" showErrorMessage="true" showInputMessage="true">
      <formula1>"Mercado Envios por conta do comprador,Mercado Envios grátis"</formula1>
    </dataValidation>
    <dataValidation type="list" sqref="W1017" allowBlank="true" errorStyle="stop" showErrorMessage="true" showInputMessage="true">
      <formula1>"Clássico,Premium"</formula1>
    </dataValidation>
    <dataValidation type="list" sqref="J1018" allowBlank="true" errorStyle="stop" showErrorMessage="true" showInputMessage="true">
      <formula1>"R$"</formula1>
    </dataValidation>
    <dataValidation type="list" sqref="K1018" allowBlank="true" errorStyle="stop" showErrorMessage="true" showInputMessage="true">
      <formula1>"Com impostos,Sem impostos"</formula1>
    </dataValidation>
    <dataValidation type="list" sqref="V1018" allowBlank="true" errorStyle="stop" showErrorMessage="true" showInputMessage="true">
      <formula1>"Mercado Envios por conta do comprador,Mercado Envios grátis"</formula1>
    </dataValidation>
    <dataValidation type="list" sqref="W1018" allowBlank="true" errorStyle="stop" showErrorMessage="true" showInputMessage="true">
      <formula1>"Clássico,Premium"</formula1>
    </dataValidation>
    <dataValidation type="list" sqref="J1019" allowBlank="true" errorStyle="stop" showErrorMessage="true" showInputMessage="true">
      <formula1>"R$"</formula1>
    </dataValidation>
    <dataValidation type="list" sqref="V1019" allowBlank="true" errorStyle="stop" showErrorMessage="true" showInputMessage="true">
      <formula1>"Mercado Envios por conta do comprador,Mercado Envios grátis"</formula1>
    </dataValidation>
    <dataValidation type="list" sqref="W1019" allowBlank="true" errorStyle="stop" showErrorMessage="true" showInputMessage="true">
      <formula1>"Clássico,Premium"</formula1>
    </dataValidation>
    <dataValidation type="list" sqref="J1022" allowBlank="true" errorStyle="stop" showErrorMessage="true" showInputMessage="true">
      <formula1>"R$"</formula1>
    </dataValidation>
    <dataValidation type="list" sqref="K1022" allowBlank="true" errorStyle="stop" showErrorMessage="true" showInputMessage="true">
      <formula1>"Com impostos,Sem impostos"</formula1>
    </dataValidation>
    <dataValidation type="list" sqref="V1022" allowBlank="true" errorStyle="stop" showErrorMessage="true" showInputMessage="true">
      <formula1>"Mercado Envios por conta do comprador,Mercado Envios grátis"</formula1>
    </dataValidation>
    <dataValidation type="list" sqref="W1022" allowBlank="true" errorStyle="stop" showErrorMessage="true" showInputMessage="true">
      <formula1>"Clássico,Premium"</formula1>
    </dataValidation>
    <dataValidation type="list" sqref="J1023" allowBlank="true" errorStyle="stop" showErrorMessage="true" showInputMessage="true">
      <formula1>"R$"</formula1>
    </dataValidation>
    <dataValidation type="list" sqref="K1023" allowBlank="true" errorStyle="stop" showErrorMessage="true" showInputMessage="true">
      <formula1>"Com impostos,Sem impostos"</formula1>
    </dataValidation>
    <dataValidation type="list" sqref="V1023" allowBlank="true" errorStyle="stop" showErrorMessage="true" showInputMessage="true">
      <formula1>"Mercado Envios por conta do comprador,Mercado Envios grátis"</formula1>
    </dataValidation>
    <dataValidation type="list" sqref="W1023" allowBlank="true" errorStyle="stop" showErrorMessage="true" showInputMessage="true">
      <formula1>"Clássico,Premium"</formula1>
    </dataValidation>
    <dataValidation type="list" sqref="J1024" allowBlank="true" errorStyle="stop" showErrorMessage="true" showInputMessage="true">
      <formula1>"R$"</formula1>
    </dataValidation>
    <dataValidation type="list" sqref="K1024" allowBlank="true" errorStyle="stop" showErrorMessage="true" showInputMessage="true">
      <formula1>"Com impostos,Sem impostos"</formula1>
    </dataValidation>
    <dataValidation type="list" sqref="V1024" allowBlank="true" errorStyle="stop" showErrorMessage="true" showInputMessage="true">
      <formula1>"Mercado Envios por conta do comprador,Mercado Envios grátis"</formula1>
    </dataValidation>
    <dataValidation type="list" sqref="W1024" allowBlank="true" errorStyle="stop" showErrorMessage="true" showInputMessage="true">
      <formula1>"Clássico,Premium"</formula1>
    </dataValidation>
    <dataValidation type="list" sqref="J1025" allowBlank="true" errorStyle="stop" showErrorMessage="true" showInputMessage="true">
      <formula1>"R$"</formula1>
    </dataValidation>
    <dataValidation type="list" sqref="K1025" allowBlank="true" errorStyle="stop" showErrorMessage="true" showInputMessage="true">
      <formula1>"Com impostos,Sem impostos"</formula1>
    </dataValidation>
    <dataValidation type="list" sqref="V1025" allowBlank="true" errorStyle="stop" showErrorMessage="true" showInputMessage="true">
      <formula1>"Mercado Envios por conta do comprador,Mercado Envios grátis"</formula1>
    </dataValidation>
    <dataValidation type="list" sqref="W1025" allowBlank="true" errorStyle="stop" showErrorMessage="true" showInputMessage="true">
      <formula1>"Clássico,Premium"</formula1>
    </dataValidation>
    <dataValidation type="list" sqref="J1026" allowBlank="true" errorStyle="stop" showErrorMessage="true" showInputMessage="true">
      <formula1>"R$"</formula1>
    </dataValidation>
    <dataValidation type="list" sqref="K1026" allowBlank="true" errorStyle="stop" showErrorMessage="true" showInputMessage="true">
      <formula1>"Com impostos,Sem impostos"</formula1>
    </dataValidation>
    <dataValidation type="list" sqref="V1026" allowBlank="true" errorStyle="stop" showErrorMessage="true" showInputMessage="true">
      <formula1>"Mercado Envios por conta do comprador,Mercado Envios grátis"</formula1>
    </dataValidation>
    <dataValidation type="list" sqref="W1026" allowBlank="true" errorStyle="stop" showErrorMessage="true" showInputMessage="true">
      <formula1>"Clássico,Premium"</formula1>
    </dataValidation>
    <dataValidation type="list" sqref="J1027" allowBlank="true" errorStyle="stop" showErrorMessage="true" showInputMessage="true">
      <formula1>"R$"</formula1>
    </dataValidation>
    <dataValidation type="list" sqref="K1027" allowBlank="true" errorStyle="stop" showErrorMessage="true" showInputMessage="true">
      <formula1>"Com impostos,Sem impostos"</formula1>
    </dataValidation>
    <dataValidation type="list" sqref="V1027" allowBlank="true" errorStyle="stop" showErrorMessage="true" showInputMessage="true">
      <formula1>"Mercado Envios por conta do comprador,Mercado Envios grátis"</formula1>
    </dataValidation>
    <dataValidation type="list" sqref="W1027" allowBlank="true" errorStyle="stop" showErrorMessage="true" showInputMessage="true">
      <formula1>"Clássico,Premium"</formula1>
    </dataValidation>
    <dataValidation type="list" sqref="J1028" allowBlank="true" errorStyle="stop" showErrorMessage="true" showInputMessage="true">
      <formula1>"R$"</formula1>
    </dataValidation>
    <dataValidation type="list" sqref="K1028" allowBlank="true" errorStyle="stop" showErrorMessage="true" showInputMessage="true">
      <formula1>"Com impostos,Sem impostos"</formula1>
    </dataValidation>
    <dataValidation type="list" sqref="V1028" allowBlank="true" errorStyle="stop" showErrorMessage="true" showInputMessage="true">
      <formula1>"Mercado Envios por conta do comprador,Mercado Envios grátis"</formula1>
    </dataValidation>
    <dataValidation type="list" sqref="W1028" allowBlank="true" errorStyle="stop" showErrorMessage="true" showInputMessage="true">
      <formula1>"Clássico,Premium"</formula1>
    </dataValidation>
    <dataValidation type="list" sqref="J1029" allowBlank="true" errorStyle="stop" showErrorMessage="true" showInputMessage="true">
      <formula1>"R$"</formula1>
    </dataValidation>
    <dataValidation type="list" sqref="K1029" allowBlank="true" errorStyle="stop" showErrorMessage="true" showInputMessage="true">
      <formula1>"Com impostos,Sem impostos"</formula1>
    </dataValidation>
    <dataValidation type="list" sqref="V1029" allowBlank="true" errorStyle="stop" showErrorMessage="true" showInputMessage="true">
      <formula1>"Mercado Envios por conta do comprador,Mercado Envios grátis"</formula1>
    </dataValidation>
    <dataValidation type="list" sqref="W1029" allowBlank="true" errorStyle="stop" showErrorMessage="true" showInputMessage="true">
      <formula1>"Clássico,Premium"</formula1>
    </dataValidation>
    <dataValidation type="list" sqref="J1030" allowBlank="true" errorStyle="stop" showErrorMessage="true" showInputMessage="true">
      <formula1>"R$"</formula1>
    </dataValidation>
    <dataValidation type="list" sqref="K1030" allowBlank="true" errorStyle="stop" showErrorMessage="true" showInputMessage="true">
      <formula1>"Com impostos,Sem impostos"</formula1>
    </dataValidation>
    <dataValidation type="list" sqref="V1030" allowBlank="true" errorStyle="stop" showErrorMessage="true" showInputMessage="true">
      <formula1>"Mercado Envios por conta do comprador,Mercado Envios grátis"</formula1>
    </dataValidation>
    <dataValidation type="list" sqref="W1030" allowBlank="true" errorStyle="stop" showErrorMessage="true" showInputMessage="true">
      <formula1>"Clássico,Premium"</formula1>
    </dataValidation>
    <dataValidation type="list" sqref="J1031" allowBlank="true" errorStyle="stop" showErrorMessage="true" showInputMessage="true">
      <formula1>"R$"</formula1>
    </dataValidation>
    <dataValidation type="list" sqref="K1031" allowBlank="true" errorStyle="stop" showErrorMessage="true" showInputMessage="true">
      <formula1>"Com impostos,Sem impostos"</formula1>
    </dataValidation>
    <dataValidation type="list" sqref="V1031" allowBlank="true" errorStyle="stop" showErrorMessage="true" showInputMessage="true">
      <formula1>"Mercado Envios por conta do comprador,Mercado Envios grátis"</formula1>
    </dataValidation>
    <dataValidation type="list" sqref="W1031" allowBlank="true" errorStyle="stop" showErrorMessage="true" showInputMessage="true">
      <formula1>"Clássico,Premium"</formula1>
    </dataValidation>
    <dataValidation type="list" sqref="J1032" allowBlank="true" errorStyle="stop" showErrorMessage="true" showInputMessage="true">
      <formula1>"R$"</formula1>
    </dataValidation>
    <dataValidation type="list" sqref="K1032" allowBlank="true" errorStyle="stop" showErrorMessage="true" showInputMessage="true">
      <formula1>"Com impostos,Sem impostos"</formula1>
    </dataValidation>
    <dataValidation type="list" sqref="V1032" allowBlank="true" errorStyle="stop" showErrorMessage="true" showInputMessage="true">
      <formula1>"Mercado Envios por conta do comprador,Mercado Envios grátis"</formula1>
    </dataValidation>
    <dataValidation type="list" sqref="W1032" allowBlank="true" errorStyle="stop" showErrorMessage="true" showInputMessage="true">
      <formula1>"Clássico,Premium"</formula1>
    </dataValidation>
    <dataValidation type="list" sqref="J1033" allowBlank="true" errorStyle="stop" showErrorMessage="true" showInputMessage="true">
      <formula1>"R$"</formula1>
    </dataValidation>
    <dataValidation type="list" sqref="V1033" allowBlank="true" errorStyle="stop" showErrorMessage="true" showInputMessage="true">
      <formula1>"Mercado Envios por conta do comprador,Mercado Envios grátis"</formula1>
    </dataValidation>
    <dataValidation type="list" sqref="W1033" allowBlank="true" errorStyle="stop" showErrorMessage="true" showInputMessage="true">
      <formula1>"Clássico,Premium"</formula1>
    </dataValidation>
    <dataValidation type="list" sqref="J1036" allowBlank="true" errorStyle="stop" showErrorMessage="true" showInputMessage="true">
      <formula1>"R$"</formula1>
    </dataValidation>
    <dataValidation type="list" sqref="K1036" allowBlank="true" errorStyle="stop" showErrorMessage="true" showInputMessage="true">
      <formula1>"Com impostos,Sem impostos"</formula1>
    </dataValidation>
    <dataValidation type="list" sqref="V1036" allowBlank="true" errorStyle="stop" showErrorMessage="true" showInputMessage="true">
      <formula1>"Mercado Envios por conta do comprador,Mercado Envios grátis"</formula1>
    </dataValidation>
    <dataValidation type="list" sqref="W1036" allowBlank="true" errorStyle="stop" showErrorMessage="true" showInputMessage="true">
      <formula1>"Clássico,Premium"</formula1>
    </dataValidation>
    <dataValidation type="list" sqref="J1037" allowBlank="true" errorStyle="stop" showErrorMessage="true" showInputMessage="true">
      <formula1>"R$"</formula1>
    </dataValidation>
    <dataValidation type="list" sqref="K1037" allowBlank="true" errorStyle="stop" showErrorMessage="true" showInputMessage="true">
      <formula1>"Com impostos,Sem impostos"</formula1>
    </dataValidation>
    <dataValidation type="list" sqref="V1037" allowBlank="true" errorStyle="stop" showErrorMessage="true" showInputMessage="true">
      <formula1>"Mercado Envios por conta do comprador,Mercado Envios grátis"</formula1>
    </dataValidation>
    <dataValidation type="list" sqref="W1037" allowBlank="true" errorStyle="stop" showErrorMessage="true" showInputMessage="true">
      <formula1>"Clássico,Premium"</formula1>
    </dataValidation>
    <dataValidation type="list" sqref="J1038" allowBlank="true" errorStyle="stop" showErrorMessage="true" showInputMessage="true">
      <formula1>"R$"</formula1>
    </dataValidation>
    <dataValidation type="list" sqref="K1038" allowBlank="true" errorStyle="stop" showErrorMessage="true" showInputMessage="true">
      <formula1>"Com impostos,Sem impostos"</formula1>
    </dataValidation>
    <dataValidation type="list" sqref="V1038" allowBlank="true" errorStyle="stop" showErrorMessage="true" showInputMessage="true">
      <formula1>"Mercado Envios por conta do comprador,Mercado Envios grátis"</formula1>
    </dataValidation>
    <dataValidation type="list" sqref="W1038" allowBlank="true" errorStyle="stop" showErrorMessage="true" showInputMessage="true">
      <formula1>"Clássico,Premium"</formula1>
    </dataValidation>
    <dataValidation type="list" sqref="J1039" allowBlank="true" errorStyle="stop" showErrorMessage="true" showInputMessage="true">
      <formula1>"R$"</formula1>
    </dataValidation>
    <dataValidation type="list" sqref="K1039" allowBlank="true" errorStyle="stop" showErrorMessage="true" showInputMessage="true">
      <formula1>"Com impostos,Sem impostos"</formula1>
    </dataValidation>
    <dataValidation type="list" sqref="V1039" allowBlank="true" errorStyle="stop" showErrorMessage="true" showInputMessage="true">
      <formula1>"Mercado Envios por conta do comprador,Mercado Envios grátis"</formula1>
    </dataValidation>
    <dataValidation type="list" sqref="W1039" allowBlank="true" errorStyle="stop" showErrorMessage="true" showInputMessage="true">
      <formula1>"Clássico,Premium"</formula1>
    </dataValidation>
    <dataValidation type="list" sqref="J1040" allowBlank="true" errorStyle="stop" showErrorMessage="true" showInputMessage="true">
      <formula1>"R$"</formula1>
    </dataValidation>
    <dataValidation type="list" sqref="K1040" allowBlank="true" errorStyle="stop" showErrorMessage="true" showInputMessage="true">
      <formula1>"Com impostos,Sem impostos"</formula1>
    </dataValidation>
    <dataValidation type="list" sqref="V1040" allowBlank="true" errorStyle="stop" showErrorMessage="true" showInputMessage="true">
      <formula1>"Mercado Envios por conta do comprador,Mercado Envios grátis"</formula1>
    </dataValidation>
    <dataValidation type="list" sqref="W1040" allowBlank="true" errorStyle="stop" showErrorMessage="true" showInputMessage="true">
      <formula1>"Clássico,Premium"</formula1>
    </dataValidation>
    <dataValidation type="list" sqref="J1041" allowBlank="true" errorStyle="stop" showErrorMessage="true" showInputMessage="true">
      <formula1>"R$"</formula1>
    </dataValidation>
    <dataValidation type="list" sqref="K1041" allowBlank="true" errorStyle="stop" showErrorMessage="true" showInputMessage="true">
      <formula1>"Com impostos,Sem impostos"</formula1>
    </dataValidation>
    <dataValidation type="list" sqref="V1041" allowBlank="true" errorStyle="stop" showErrorMessage="true" showInputMessage="true">
      <formula1>"Mercado Envios por conta do comprador,Mercado Envios grátis"</formula1>
    </dataValidation>
    <dataValidation type="list" sqref="W1041" allowBlank="true" errorStyle="stop" showErrorMessage="true" showInputMessage="true">
      <formula1>"Clássico,Premium"</formula1>
    </dataValidation>
    <dataValidation type="list" sqref="J1042" allowBlank="true" errorStyle="stop" showErrorMessage="true" showInputMessage="true">
      <formula1>"R$"</formula1>
    </dataValidation>
    <dataValidation type="list" sqref="K1042" allowBlank="true" errorStyle="stop" showErrorMessage="true" showInputMessage="true">
      <formula1>"Com impostos,Sem impostos"</formula1>
    </dataValidation>
    <dataValidation type="list" sqref="V1042" allowBlank="true" errorStyle="stop" showErrorMessage="true" showInputMessage="true">
      <formula1>"Mercado Envios por conta do comprador,Mercado Envios grátis"</formula1>
    </dataValidation>
    <dataValidation type="list" sqref="W1042" allowBlank="true" errorStyle="stop" showErrorMessage="true" showInputMessage="true">
      <formula1>"Clássico,Premium"</formula1>
    </dataValidation>
    <dataValidation type="list" sqref="J1043" allowBlank="true" errorStyle="stop" showErrorMessage="true" showInputMessage="true">
      <formula1>"R$"</formula1>
    </dataValidation>
    <dataValidation type="list" sqref="K1043" allowBlank="true" errorStyle="stop" showErrorMessage="true" showInputMessage="true">
      <formula1>"Com impostos,Sem impostos"</formula1>
    </dataValidation>
    <dataValidation type="list" sqref="V1043" allowBlank="true" errorStyle="stop" showErrorMessage="true" showInputMessage="true">
      <formula1>"Mercado Envios por conta do comprador,Mercado Envios grátis"</formula1>
    </dataValidation>
    <dataValidation type="list" sqref="W1043" allowBlank="true" errorStyle="stop" showErrorMessage="true" showInputMessage="true">
      <formula1>"Clássico,Premium"</formula1>
    </dataValidation>
    <dataValidation type="list" sqref="J1044" allowBlank="true" errorStyle="stop" showErrorMessage="true" showInputMessage="true">
      <formula1>"R$"</formula1>
    </dataValidation>
    <dataValidation type="list" sqref="K1044" allowBlank="true" errorStyle="stop" showErrorMessage="true" showInputMessage="true">
      <formula1>"Com impostos,Sem impostos"</formula1>
    </dataValidation>
    <dataValidation type="list" sqref="V1044" allowBlank="true" errorStyle="stop" showErrorMessage="true" showInputMessage="true">
      <formula1>"Mercado Envios por conta do comprador,Mercado Envios grátis"</formula1>
    </dataValidation>
    <dataValidation type="list" sqref="W1044" allowBlank="true" errorStyle="stop" showErrorMessage="true" showInputMessage="true">
      <formula1>"Clássico,Premium"</formula1>
    </dataValidation>
    <dataValidation type="list" sqref="J1045" allowBlank="true" errorStyle="stop" showErrorMessage="true" showInputMessage="true">
      <formula1>"R$"</formula1>
    </dataValidation>
    <dataValidation type="list" sqref="K1045" allowBlank="true" errorStyle="stop" showErrorMessage="true" showInputMessage="true">
      <formula1>"Com impostos,Sem impostos"</formula1>
    </dataValidation>
    <dataValidation type="list" sqref="V1045" allowBlank="true" errorStyle="stop" showErrorMessage="true" showInputMessage="true">
      <formula1>"Mercado Envios por conta do comprador,Mercado Envios grátis"</formula1>
    </dataValidation>
    <dataValidation type="list" sqref="W1045" allowBlank="true" errorStyle="stop" showErrorMessage="true" showInputMessage="true">
      <formula1>"Clássico,Premium"</formula1>
    </dataValidation>
    <dataValidation type="list" sqref="J1046" allowBlank="true" errorStyle="stop" showErrorMessage="true" showInputMessage="true">
      <formula1>"R$"</formula1>
    </dataValidation>
    <dataValidation type="list" sqref="K1046" allowBlank="true" errorStyle="stop" showErrorMessage="true" showInputMessage="true">
      <formula1>"Com impostos,Sem impostos"</formula1>
    </dataValidation>
    <dataValidation type="list" sqref="V1046" allowBlank="true" errorStyle="stop" showErrorMessage="true" showInputMessage="true">
      <formula1>"Mercado Envios por conta do comprador,Mercado Envios grátis"</formula1>
    </dataValidation>
    <dataValidation type="list" sqref="W1046" allowBlank="true" errorStyle="stop" showErrorMessage="true" showInputMessage="true">
      <formula1>"Clássico,Premium"</formula1>
    </dataValidation>
    <dataValidation type="list" sqref="J1047" allowBlank="true" errorStyle="stop" showErrorMessage="true" showInputMessage="true">
      <formula1>"R$"</formula1>
    </dataValidation>
    <dataValidation type="list" sqref="K1047" allowBlank="true" errorStyle="stop" showErrorMessage="true" showInputMessage="true">
      <formula1>"Com impostos,Sem impostos"</formula1>
    </dataValidation>
    <dataValidation type="list" sqref="V1047" allowBlank="true" errorStyle="stop" showErrorMessage="true" showInputMessage="true">
      <formula1>"Mercado Envios por conta do comprador,Mercado Envios grátis"</formula1>
    </dataValidation>
    <dataValidation type="list" sqref="W1047" allowBlank="true" errorStyle="stop" showErrorMessage="true" showInputMessage="true">
      <formula1>"Clássico,Premium"</formula1>
    </dataValidation>
    <dataValidation type="list" sqref="J1048" allowBlank="true" errorStyle="stop" showErrorMessage="true" showInputMessage="true">
      <formula1>"R$"</formula1>
    </dataValidation>
    <dataValidation type="list" sqref="K1048" allowBlank="true" errorStyle="stop" showErrorMessage="true" showInputMessage="true">
      <formula1>"Com impostos,Sem impostos"</formula1>
    </dataValidation>
    <dataValidation type="list" sqref="V1048" allowBlank="true" errorStyle="stop" showErrorMessage="true" showInputMessage="true">
      <formula1>"Mercado Envios por conta do comprador,Mercado Envios grátis"</formula1>
    </dataValidation>
    <dataValidation type="list" sqref="W1048" allowBlank="true" errorStyle="stop" showErrorMessage="true" showInputMessage="true">
      <formula1>"Clássico,Premium"</formula1>
    </dataValidation>
    <dataValidation type="list" sqref="J1049" allowBlank="true" errorStyle="stop" showErrorMessage="true" showInputMessage="true">
      <formula1>"R$"</formula1>
    </dataValidation>
    <dataValidation type="list" sqref="K1049" allowBlank="true" errorStyle="stop" showErrorMessage="true" showInputMessage="true">
      <formula1>"Com impostos,Sem impostos"</formula1>
    </dataValidation>
    <dataValidation type="list" sqref="V1049" allowBlank="true" errorStyle="stop" showErrorMessage="true" showInputMessage="true">
      <formula1>"Mercado Envios por conta do comprador,Mercado Envios grátis"</formula1>
    </dataValidation>
    <dataValidation type="list" sqref="W1049" allowBlank="true" errorStyle="stop" showErrorMessage="true" showInputMessage="true">
      <formula1>"Clássico,Premium"</formula1>
    </dataValidation>
    <dataValidation type="list" sqref="J1050" allowBlank="true" errorStyle="stop" showErrorMessage="true" showInputMessage="true">
      <formula1>"R$"</formula1>
    </dataValidation>
    <dataValidation type="list" sqref="K1050" allowBlank="true" errorStyle="stop" showErrorMessage="true" showInputMessage="true">
      <formula1>"Com impostos,Sem impostos"</formula1>
    </dataValidation>
    <dataValidation type="list" sqref="V1050" allowBlank="true" errorStyle="stop" showErrorMessage="true" showInputMessage="true">
      <formula1>"Mercado Envios por conta do comprador,Mercado Envios grátis"</formula1>
    </dataValidation>
    <dataValidation type="list" sqref="W1050" allowBlank="true" errorStyle="stop" showErrorMessage="true" showInputMessage="true">
      <formula1>"Clássico,Premium"</formula1>
    </dataValidation>
    <dataValidation type="list" sqref="J1051" allowBlank="true" errorStyle="stop" showErrorMessage="true" showInputMessage="true">
      <formula1>"R$"</formula1>
    </dataValidation>
    <dataValidation type="list" sqref="K1051" allowBlank="true" errorStyle="stop" showErrorMessage="true" showInputMessage="true">
      <formula1>"Com impostos,Sem impostos"</formula1>
    </dataValidation>
    <dataValidation type="list" sqref="V1051" allowBlank="true" errorStyle="stop" showErrorMessage="true" showInputMessage="true">
      <formula1>"Mercado Envios por conta do comprador,Mercado Envios grátis"</formula1>
    </dataValidation>
    <dataValidation type="list" sqref="W1051" allowBlank="true" errorStyle="stop" showErrorMessage="true" showInputMessage="true">
      <formula1>"Clássico,Premium"</formula1>
    </dataValidation>
    <dataValidation type="list" sqref="J1052" allowBlank="true" errorStyle="stop" showErrorMessage="true" showInputMessage="true">
      <formula1>"R$"</formula1>
    </dataValidation>
    <dataValidation type="list" sqref="K1052" allowBlank="true" errorStyle="stop" showErrorMessage="true" showInputMessage="true">
      <formula1>"Com impostos,Sem impostos"</formula1>
    </dataValidation>
    <dataValidation type="list" sqref="V1052" allowBlank="true" errorStyle="stop" showErrorMessage="true" showInputMessage="true">
      <formula1>"Mercado Envios por conta do comprador,Mercado Envios grátis"</formula1>
    </dataValidation>
    <dataValidation type="list" sqref="W1052" allowBlank="true" errorStyle="stop" showErrorMessage="true" showInputMessage="true">
      <formula1>"Clássico,Premium"</formula1>
    </dataValidation>
    <dataValidation type="list" sqref="J1053" allowBlank="true" errorStyle="stop" showErrorMessage="true" showInputMessage="true">
      <formula1>"R$"</formula1>
    </dataValidation>
    <dataValidation type="list" sqref="V1053" allowBlank="true" errorStyle="stop" showErrorMessage="true" showInputMessage="true">
      <formula1>"Mercado Envios por conta do comprador,Mercado Envios grátis"</formula1>
    </dataValidation>
    <dataValidation type="list" sqref="W1053" allowBlank="true" errorStyle="stop" showErrorMessage="true" showInputMessage="true">
      <formula1>"Clássico,Premium"</formula1>
    </dataValidation>
    <dataValidation type="list" sqref="J1056" allowBlank="true" errorStyle="stop" showErrorMessage="true" showInputMessage="true">
      <formula1>"R$"</formula1>
    </dataValidation>
    <dataValidation type="list" sqref="K1056" allowBlank="true" errorStyle="stop" showErrorMessage="true" showInputMessage="true">
      <formula1>"Com impostos,Sem impostos"</formula1>
    </dataValidation>
    <dataValidation type="list" sqref="V1056" allowBlank="true" errorStyle="stop" showErrorMessage="true" showInputMessage="true">
      <formula1>"Mercado Envios por conta do comprador,Mercado Envios grátis"</formula1>
    </dataValidation>
    <dataValidation type="list" sqref="W1056" allowBlank="true" errorStyle="stop" showErrorMessage="true" showInputMessage="true">
      <formula1>"Clássico,Premium"</formula1>
    </dataValidation>
    <dataValidation type="list" sqref="J1057" allowBlank="true" errorStyle="stop" showErrorMessage="true" showInputMessage="true">
      <formula1>"R$"</formula1>
    </dataValidation>
    <dataValidation type="list" sqref="K1057" allowBlank="true" errorStyle="stop" showErrorMessage="true" showInputMessage="true">
      <formula1>"Com impostos,Sem impostos"</formula1>
    </dataValidation>
    <dataValidation type="list" sqref="V1057" allowBlank="true" errorStyle="stop" showErrorMessage="true" showInputMessage="true">
      <formula1>"Mercado Envios por conta do comprador,Mercado Envios grátis"</formula1>
    </dataValidation>
    <dataValidation type="list" sqref="W1057" allowBlank="true" errorStyle="stop" showErrorMessage="true" showInputMessage="true">
      <formula1>"Clássico,Premium"</formula1>
    </dataValidation>
    <dataValidation type="list" sqref="J1058" allowBlank="true" errorStyle="stop" showErrorMessage="true" showInputMessage="true">
      <formula1>"R$"</formula1>
    </dataValidation>
    <dataValidation type="list" sqref="K1058" allowBlank="true" errorStyle="stop" showErrorMessage="true" showInputMessage="true">
      <formula1>"Com impostos,Sem impostos"</formula1>
    </dataValidation>
    <dataValidation type="list" sqref="V1058" allowBlank="true" errorStyle="stop" showErrorMessage="true" showInputMessage="true">
      <formula1>"Mercado Envios por conta do comprador,Mercado Envios grátis"</formula1>
    </dataValidation>
    <dataValidation type="list" sqref="W1058" allowBlank="true" errorStyle="stop" showErrorMessage="true" showInputMessage="true">
      <formula1>"Clássico,Premium"</formula1>
    </dataValidation>
    <dataValidation type="list" sqref="J1059" allowBlank="true" errorStyle="stop" showErrorMessage="true" showInputMessage="true">
      <formula1>"R$"</formula1>
    </dataValidation>
    <dataValidation type="list" sqref="K1059" allowBlank="true" errorStyle="stop" showErrorMessage="true" showInputMessage="true">
      <formula1>"Com impostos,Sem impostos"</formula1>
    </dataValidation>
    <dataValidation type="list" sqref="V1059" allowBlank="true" errorStyle="stop" showErrorMessage="true" showInputMessage="true">
      <formula1>"Mercado Envios por conta do comprador,Mercado Envios grátis"</formula1>
    </dataValidation>
    <dataValidation type="list" sqref="W1059" allowBlank="true" errorStyle="stop" showErrorMessage="true" showInputMessage="true">
      <formula1>"Clássico,Premium"</formula1>
    </dataValidation>
    <dataValidation type="list" sqref="J1060" allowBlank="true" errorStyle="stop" showErrorMessage="true" showInputMessage="true">
      <formula1>"R$"</formula1>
    </dataValidation>
    <dataValidation type="list" sqref="K1060" allowBlank="true" errorStyle="stop" showErrorMessage="true" showInputMessage="true">
      <formula1>"Com impostos,Sem impostos"</formula1>
    </dataValidation>
    <dataValidation type="list" sqref="V1060" allowBlank="true" errorStyle="stop" showErrorMessage="true" showInputMessage="true">
      <formula1>"Mercado Envios por conta do comprador,Mercado Envios grátis"</formula1>
    </dataValidation>
    <dataValidation type="list" sqref="W1060" allowBlank="true" errorStyle="stop" showErrorMessage="true" showInputMessage="true">
      <formula1>"Clássico,Premium"</formula1>
    </dataValidation>
    <dataValidation type="list" sqref="J1061" allowBlank="true" errorStyle="stop" showErrorMessage="true" showInputMessage="true">
      <formula1>"R$"</formula1>
    </dataValidation>
    <dataValidation type="list" sqref="K1061" allowBlank="true" errorStyle="stop" showErrorMessage="true" showInputMessage="true">
      <formula1>"Com impostos,Sem impostos"</formula1>
    </dataValidation>
    <dataValidation type="list" sqref="V1061" allowBlank="true" errorStyle="stop" showErrorMessage="true" showInputMessage="true">
      <formula1>"Mercado Envios por conta do comprador,Mercado Envios grátis"</formula1>
    </dataValidation>
    <dataValidation type="list" sqref="W1061" allowBlank="true" errorStyle="stop" showErrorMessage="true" showInputMessage="true">
      <formula1>"Clássico,Premium"</formula1>
    </dataValidation>
    <dataValidation type="list" sqref="J1062" allowBlank="true" errorStyle="stop" showErrorMessage="true" showInputMessage="true">
      <formula1>"R$"</formula1>
    </dataValidation>
    <dataValidation type="list" sqref="K1062" allowBlank="true" errorStyle="stop" showErrorMessage="true" showInputMessage="true">
      <formula1>"Com impostos,Sem impostos"</formula1>
    </dataValidation>
    <dataValidation type="list" sqref="V1062" allowBlank="true" errorStyle="stop" showErrorMessage="true" showInputMessage="true">
      <formula1>"Mercado Envios por conta do comprador,Mercado Envios grátis"</formula1>
    </dataValidation>
    <dataValidation type="list" sqref="W1062" allowBlank="true" errorStyle="stop" showErrorMessage="true" showInputMessage="true">
      <formula1>"Clássico,Premium"</formula1>
    </dataValidation>
    <dataValidation type="list" sqref="J1063" allowBlank="true" errorStyle="stop" showErrorMessage="true" showInputMessage="true">
      <formula1>"R$"</formula1>
    </dataValidation>
    <dataValidation type="list" sqref="K1063" allowBlank="true" errorStyle="stop" showErrorMessage="true" showInputMessage="true">
      <formula1>"Com impostos,Sem impostos"</formula1>
    </dataValidation>
    <dataValidation type="list" sqref="V1063" allowBlank="true" errorStyle="stop" showErrorMessage="true" showInputMessage="true">
      <formula1>"Mercado Envios por conta do comprador,Mercado Envios grátis"</formula1>
    </dataValidation>
    <dataValidation type="list" sqref="W1063" allowBlank="true" errorStyle="stop" showErrorMessage="true" showInputMessage="true">
      <formula1>"Clássico,Premium"</formula1>
    </dataValidation>
    <dataValidation type="list" sqref="J1064" allowBlank="true" errorStyle="stop" showErrorMessage="true" showInputMessage="true">
      <formula1>"R$"</formula1>
    </dataValidation>
    <dataValidation type="list" sqref="K1064" allowBlank="true" errorStyle="stop" showErrorMessage="true" showInputMessage="true">
      <formula1>"Com impostos,Sem impostos"</formula1>
    </dataValidation>
    <dataValidation type="list" sqref="V1064" allowBlank="true" errorStyle="stop" showErrorMessage="true" showInputMessage="true">
      <formula1>"Mercado Envios por conta do comprador,Mercado Envios grátis"</formula1>
    </dataValidation>
    <dataValidation type="list" sqref="W1064" allowBlank="true" errorStyle="stop" showErrorMessage="true" showInputMessage="true">
      <formula1>"Clássico,Premium"</formula1>
    </dataValidation>
    <dataValidation type="list" sqref="J1065" allowBlank="true" errorStyle="stop" showErrorMessage="true" showInputMessage="true">
      <formula1>"R$"</formula1>
    </dataValidation>
    <dataValidation type="list" sqref="K1065" allowBlank="true" errorStyle="stop" showErrorMessage="true" showInputMessage="true">
      <formula1>"Com impostos,Sem impostos"</formula1>
    </dataValidation>
    <dataValidation type="list" sqref="V1065" allowBlank="true" errorStyle="stop" showErrorMessage="true" showInputMessage="true">
      <formula1>"Mercado Envios por conta do comprador,Mercado Envios grátis"</formula1>
    </dataValidation>
    <dataValidation type="list" sqref="W1065" allowBlank="true" errorStyle="stop" showErrorMessage="true" showInputMessage="true">
      <formula1>"Clássico,Premium"</formula1>
    </dataValidation>
    <dataValidation type="list" sqref="J1066" allowBlank="true" errorStyle="stop" showErrorMessage="true" showInputMessage="true">
      <formula1>"R$"</formula1>
    </dataValidation>
    <dataValidation type="list" sqref="K1066" allowBlank="true" errorStyle="stop" showErrorMessage="true" showInputMessage="true">
      <formula1>"Com impostos,Sem impostos"</formula1>
    </dataValidation>
    <dataValidation type="list" sqref="V1066" allowBlank="true" errorStyle="stop" showErrorMessage="true" showInputMessage="true">
      <formula1>"Mercado Envios por conta do comprador,Mercado Envios grátis"</formula1>
    </dataValidation>
    <dataValidation type="list" sqref="W1066" allowBlank="true" errorStyle="stop" showErrorMessage="true" showInputMessage="true">
      <formula1>"Clássico,Premium"</formula1>
    </dataValidation>
    <dataValidation type="list" sqref="J1067" allowBlank="true" errorStyle="stop" showErrorMessage="true" showInputMessage="true">
      <formula1>"R$"</formula1>
    </dataValidation>
    <dataValidation type="list" sqref="K1067" allowBlank="true" errorStyle="stop" showErrorMessage="true" showInputMessage="true">
      <formula1>"Com impostos,Sem impostos"</formula1>
    </dataValidation>
    <dataValidation type="list" sqref="V1067" allowBlank="true" errorStyle="stop" showErrorMessage="true" showInputMessage="true">
      <formula1>"Mercado Envios por conta do comprador,Mercado Envios grátis"</formula1>
    </dataValidation>
    <dataValidation type="list" sqref="W1067" allowBlank="true" errorStyle="stop" showErrorMessage="true" showInputMessage="true">
      <formula1>"Clássico,Premium"</formula1>
    </dataValidation>
    <dataValidation type="list" sqref="J1068" allowBlank="true" errorStyle="stop" showErrorMessage="true" showInputMessage="true">
      <formula1>"R$"</formula1>
    </dataValidation>
    <dataValidation type="list" sqref="K1068" allowBlank="true" errorStyle="stop" showErrorMessage="true" showInputMessage="true">
      <formula1>"Com impostos,Sem impostos"</formula1>
    </dataValidation>
    <dataValidation type="list" sqref="V1068" allowBlank="true" errorStyle="stop" showErrorMessage="true" showInputMessage="true">
      <formula1>"Mercado Envios por conta do comprador,Mercado Envios grátis"</formula1>
    </dataValidation>
    <dataValidation type="list" sqref="W1068" allowBlank="true" errorStyle="stop" showErrorMessage="true" showInputMessage="true">
      <formula1>"Clássico,Premium"</formula1>
    </dataValidation>
    <dataValidation type="list" sqref="J1069" allowBlank="true" errorStyle="stop" showErrorMessage="true" showInputMessage="true">
      <formula1>"R$"</formula1>
    </dataValidation>
    <dataValidation type="list" sqref="K1069" allowBlank="true" errorStyle="stop" showErrorMessage="true" showInputMessage="true">
      <formula1>"Com impostos,Sem impostos"</formula1>
    </dataValidation>
    <dataValidation type="list" sqref="V1069" allowBlank="true" errorStyle="stop" showErrorMessage="true" showInputMessage="true">
      <formula1>"Mercado Envios por conta do comprador,Mercado Envios grátis"</formula1>
    </dataValidation>
    <dataValidation type="list" sqref="W1069" allowBlank="true" errorStyle="stop" showErrorMessage="true" showInputMessage="true">
      <formula1>"Clássico,Premium"</formula1>
    </dataValidation>
    <dataValidation type="list" sqref="J1070" allowBlank="true" errorStyle="stop" showErrorMessage="true" showInputMessage="true">
      <formula1>"R$"</formula1>
    </dataValidation>
    <dataValidation type="list" sqref="K1070" allowBlank="true" errorStyle="stop" showErrorMessage="true" showInputMessage="true">
      <formula1>"Com impostos,Sem impostos"</formula1>
    </dataValidation>
    <dataValidation type="list" sqref="V1070" allowBlank="true" errorStyle="stop" showErrorMessage="true" showInputMessage="true">
      <formula1>"Mercado Envios por conta do comprador,Mercado Envios grátis"</formula1>
    </dataValidation>
    <dataValidation type="list" sqref="W1070" allowBlank="true" errorStyle="stop" showErrorMessage="true" showInputMessage="true">
      <formula1>"Clássico,Premium"</formula1>
    </dataValidation>
    <dataValidation type="list" sqref="J1071" allowBlank="true" errorStyle="stop" showErrorMessage="true" showInputMessage="true">
      <formula1>"R$"</formula1>
    </dataValidation>
    <dataValidation type="list" sqref="K1071" allowBlank="true" errorStyle="stop" showErrorMessage="true" showInputMessage="true">
      <formula1>"Com impostos,Sem impostos"</formula1>
    </dataValidation>
    <dataValidation type="list" sqref="V1071" allowBlank="true" errorStyle="stop" showErrorMessage="true" showInputMessage="true">
      <formula1>"Mercado Envios por conta do comprador,Mercado Envios grátis"</formula1>
    </dataValidation>
    <dataValidation type="list" sqref="W1071" allowBlank="true" errorStyle="stop" showErrorMessage="true" showInputMessage="true">
      <formula1>"Clássico,Premium"</formula1>
    </dataValidation>
    <dataValidation type="list" sqref="J1072" allowBlank="true" errorStyle="stop" showErrorMessage="true" showInputMessage="true">
      <formula1>"R$"</formula1>
    </dataValidation>
    <dataValidation type="list" sqref="K1072" allowBlank="true" errorStyle="stop" showErrorMessage="true" showInputMessage="true">
      <formula1>"Com impostos,Sem impostos"</formula1>
    </dataValidation>
    <dataValidation type="list" sqref="V1072" allowBlank="true" errorStyle="stop" showErrorMessage="true" showInputMessage="true">
      <formula1>"Mercado Envios por conta do comprador,Mercado Envios grátis"</formula1>
    </dataValidation>
    <dataValidation type="list" sqref="W1072" allowBlank="true" errorStyle="stop" showErrorMessage="true" showInputMessage="true">
      <formula1>"Clássico,Premium"</formula1>
    </dataValidation>
    <dataValidation type="list" sqref="J1073" allowBlank="true" errorStyle="stop" showErrorMessage="true" showInputMessage="true">
      <formula1>"R$"</formula1>
    </dataValidation>
    <dataValidation type="list" sqref="K1073" allowBlank="true" errorStyle="stop" showErrorMessage="true" showInputMessage="true">
      <formula1>"Com impostos,Sem impostos"</formula1>
    </dataValidation>
    <dataValidation type="list" sqref="V1073" allowBlank="true" errorStyle="stop" showErrorMessage="true" showInputMessage="true">
      <formula1>"Mercado Envios por conta do comprador,Mercado Envios grátis"</formula1>
    </dataValidation>
    <dataValidation type="list" sqref="W1073" allowBlank="true" errorStyle="stop" showErrorMessage="true" showInputMessage="true">
      <formula1>"Clássico,Premium"</formula1>
    </dataValidation>
    <dataValidation type="list" sqref="J1074" allowBlank="true" errorStyle="stop" showErrorMessage="true" showInputMessage="true">
      <formula1>"R$"</formula1>
    </dataValidation>
    <dataValidation type="list" sqref="K1074" allowBlank="true" errorStyle="stop" showErrorMessage="true" showInputMessage="true">
      <formula1>"Com impostos,Sem impostos"</formula1>
    </dataValidation>
    <dataValidation type="list" sqref="V1074" allowBlank="true" errorStyle="stop" showErrorMessage="true" showInputMessage="true">
      <formula1>"Mercado Envios por conta do comprador,Mercado Envios grátis"</formula1>
    </dataValidation>
    <dataValidation type="list" sqref="W1074" allowBlank="true" errorStyle="stop" showErrorMessage="true" showInputMessage="true">
      <formula1>"Clássico,Premium"</formula1>
    </dataValidation>
    <dataValidation type="list" sqref="J1075" allowBlank="true" errorStyle="stop" showErrorMessage="true" showInputMessage="true">
      <formula1>"R$"</formula1>
    </dataValidation>
    <dataValidation type="list" sqref="K1075" allowBlank="true" errorStyle="stop" showErrorMessage="true" showInputMessage="true">
      <formula1>"Com impostos,Sem impostos"</formula1>
    </dataValidation>
    <dataValidation type="list" sqref="V1075" allowBlank="true" errorStyle="stop" showErrorMessage="true" showInputMessage="true">
      <formula1>"Mercado Envios por conta do comprador,Mercado Envios grátis"</formula1>
    </dataValidation>
    <dataValidation type="list" sqref="W1075" allowBlank="true" errorStyle="stop" showErrorMessage="true" showInputMessage="true">
      <formula1>"Clássico,Premium"</formula1>
    </dataValidation>
    <dataValidation type="list" sqref="J1076" allowBlank="true" errorStyle="stop" showErrorMessage="true" showInputMessage="true">
      <formula1>"R$"</formula1>
    </dataValidation>
    <dataValidation type="list" sqref="K1076" allowBlank="true" errorStyle="stop" showErrorMessage="true" showInputMessage="true">
      <formula1>"Com impostos,Sem impostos"</formula1>
    </dataValidation>
    <dataValidation type="list" sqref="V1076" allowBlank="true" errorStyle="stop" showErrorMessage="true" showInputMessage="true">
      <formula1>"Mercado Envios por conta do comprador,Mercado Envios grátis"</formula1>
    </dataValidation>
    <dataValidation type="list" sqref="W1076" allowBlank="true" errorStyle="stop" showErrorMessage="true" showInputMessage="true">
      <formula1>"Clássico,Premium"</formula1>
    </dataValidation>
    <dataValidation type="list" sqref="J1077" allowBlank="true" errorStyle="stop" showErrorMessage="true" showInputMessage="true">
      <formula1>"R$"</formula1>
    </dataValidation>
    <dataValidation type="list" sqref="K1077" allowBlank="true" errorStyle="stop" showErrorMessage="true" showInputMessage="true">
      <formula1>"Com impostos,Sem impostos"</formula1>
    </dataValidation>
    <dataValidation type="list" sqref="V1077" allowBlank="true" errorStyle="stop" showErrorMessage="true" showInputMessage="true">
      <formula1>"Mercado Envios por conta do comprador,Mercado Envios grátis"</formula1>
    </dataValidation>
    <dataValidation type="list" sqref="W1077" allowBlank="true" errorStyle="stop" showErrorMessage="true" showInputMessage="true">
      <formula1>"Clássico,Premium"</formula1>
    </dataValidation>
    <dataValidation type="list" sqref="J1078" allowBlank="true" errorStyle="stop" showErrorMessage="true" showInputMessage="true">
      <formula1>"R$"</formula1>
    </dataValidation>
    <dataValidation type="list" sqref="K1078" allowBlank="true" errorStyle="stop" showErrorMessage="true" showInputMessage="true">
      <formula1>"Com impostos,Sem impostos"</formula1>
    </dataValidation>
    <dataValidation type="list" sqref="V1078" allowBlank="true" errorStyle="stop" showErrorMessage="true" showInputMessage="true">
      <formula1>"Mercado Envios por conta do comprador,Mercado Envios grátis"</formula1>
    </dataValidation>
    <dataValidation type="list" sqref="W1078" allowBlank="true" errorStyle="stop" showErrorMessage="true" showInputMessage="true">
      <formula1>"Clássico,Premium"</formula1>
    </dataValidation>
    <dataValidation type="list" sqref="J1079" allowBlank="true" errorStyle="stop" showErrorMessage="true" showInputMessage="true">
      <formula1>"R$"</formula1>
    </dataValidation>
    <dataValidation type="list" sqref="K1079" allowBlank="true" errorStyle="stop" showErrorMessage="true" showInputMessage="true">
      <formula1>"Com impostos,Sem impostos"</formula1>
    </dataValidation>
    <dataValidation type="list" sqref="V1079" allowBlank="true" errorStyle="stop" showErrorMessage="true" showInputMessage="true">
      <formula1>"Mercado Envios por conta do comprador,Mercado Envios grátis"</formula1>
    </dataValidation>
    <dataValidation type="list" sqref="W1079" allowBlank="true" errorStyle="stop" showErrorMessage="true" showInputMessage="true">
      <formula1>"Clássico,Premium"</formula1>
    </dataValidation>
    <dataValidation type="list" sqref="J1080" allowBlank="true" errorStyle="stop" showErrorMessage="true" showInputMessage="true">
      <formula1>"R$"</formula1>
    </dataValidation>
    <dataValidation type="list" sqref="K1080" allowBlank="true" errorStyle="stop" showErrorMessage="true" showInputMessage="true">
      <formula1>"Com impostos,Sem impostos"</formula1>
    </dataValidation>
    <dataValidation type="list" sqref="V1080" allowBlank="true" errorStyle="stop" showErrorMessage="true" showInputMessage="true">
      <formula1>"Mercado Envios por conta do comprador,Mercado Envios grátis"</formula1>
    </dataValidation>
    <dataValidation type="list" sqref="W1080" allowBlank="true" errorStyle="stop" showErrorMessage="true" showInputMessage="true">
      <formula1>"Clássico,Premium"</formula1>
    </dataValidation>
    <dataValidation type="list" sqref="J1081" allowBlank="true" errorStyle="stop" showErrorMessage="true" showInputMessage="true">
      <formula1>"R$"</formula1>
    </dataValidation>
    <dataValidation type="list" sqref="K1081" allowBlank="true" errorStyle="stop" showErrorMessage="true" showInputMessage="true">
      <formula1>"Com impostos,Sem impostos"</formula1>
    </dataValidation>
    <dataValidation type="list" sqref="V1081" allowBlank="true" errorStyle="stop" showErrorMessage="true" showInputMessage="true">
      <formula1>"Mercado Envios por conta do comprador,Mercado Envios grátis"</formula1>
    </dataValidation>
    <dataValidation type="list" sqref="W1081" allowBlank="true" errorStyle="stop" showErrorMessage="true" showInputMessage="true">
      <formula1>"Clássico,Premium"</formula1>
    </dataValidation>
    <dataValidation type="list" sqref="J1082" allowBlank="true" errorStyle="stop" showErrorMessage="true" showInputMessage="true">
      <formula1>"R$"</formula1>
    </dataValidation>
    <dataValidation type="list" sqref="K1082" allowBlank="true" errorStyle="stop" showErrorMessage="true" showInputMessage="true">
      <formula1>"Com impostos,Sem impostos"</formula1>
    </dataValidation>
    <dataValidation type="list" sqref="V1082" allowBlank="true" errorStyle="stop" showErrorMessage="true" showInputMessage="true">
      <formula1>"Mercado Envios por conta do comprador,Mercado Envios grátis"</formula1>
    </dataValidation>
    <dataValidation type="list" sqref="W1082" allowBlank="true" errorStyle="stop" showErrorMessage="true" showInputMessage="true">
      <formula1>"Clássico,Premium"</formula1>
    </dataValidation>
    <dataValidation type="list" sqref="J1083" allowBlank="true" errorStyle="stop" showErrorMessage="true" showInputMessage="true">
      <formula1>"R$"</formula1>
    </dataValidation>
    <dataValidation type="list" sqref="K1083" allowBlank="true" errorStyle="stop" showErrorMessage="true" showInputMessage="true">
      <formula1>"Com impostos,Sem impostos"</formula1>
    </dataValidation>
    <dataValidation type="list" sqref="V1083" allowBlank="true" errorStyle="stop" showErrorMessage="true" showInputMessage="true">
      <formula1>"Mercado Envios por conta do comprador,Mercado Envios grátis"</formula1>
    </dataValidation>
    <dataValidation type="list" sqref="W1083" allowBlank="true" errorStyle="stop" showErrorMessage="true" showInputMessage="true">
      <formula1>"Clássico,Premium"</formula1>
    </dataValidation>
    <dataValidation type="list" sqref="J1084" allowBlank="true" errorStyle="stop" showErrorMessage="true" showInputMessage="true">
      <formula1>"R$"</formula1>
    </dataValidation>
    <dataValidation type="list" sqref="K1084" allowBlank="true" errorStyle="stop" showErrorMessage="true" showInputMessage="true">
      <formula1>"Com impostos,Sem impostos"</formula1>
    </dataValidation>
    <dataValidation type="list" sqref="V1084" allowBlank="true" errorStyle="stop" showErrorMessage="true" showInputMessage="true">
      <formula1>"Mercado Envios por conta do comprador,Mercado Envios grátis"</formula1>
    </dataValidation>
    <dataValidation type="list" sqref="W1084" allowBlank="true" errorStyle="stop" showErrorMessage="true" showInputMessage="true">
      <formula1>"Clássico,Premium"</formula1>
    </dataValidation>
    <dataValidation type="list" sqref="J1085" allowBlank="true" errorStyle="stop" showErrorMessage="true" showInputMessage="true">
      <formula1>"R$"</formula1>
    </dataValidation>
    <dataValidation type="list" sqref="K1085" allowBlank="true" errorStyle="stop" showErrorMessage="true" showInputMessage="true">
      <formula1>"Com impostos,Sem impostos"</formula1>
    </dataValidation>
    <dataValidation type="list" sqref="V1085" allowBlank="true" errorStyle="stop" showErrorMessage="true" showInputMessage="true">
      <formula1>"Mercado Envios por conta do comprador,Mercado Envios grátis"</formula1>
    </dataValidation>
    <dataValidation type="list" sqref="W1085" allowBlank="true" errorStyle="stop" showErrorMessage="true" showInputMessage="true">
      <formula1>"Clássico,Premium"</formula1>
    </dataValidation>
    <dataValidation type="list" sqref="J1086" allowBlank="true" errorStyle="stop" showErrorMessage="true" showInputMessage="true">
      <formula1>"R$"</formula1>
    </dataValidation>
    <dataValidation type="list" sqref="K1086" allowBlank="true" errorStyle="stop" showErrorMessage="true" showInputMessage="true">
      <formula1>"Com impostos,Sem impostos"</formula1>
    </dataValidation>
    <dataValidation type="list" sqref="V1086" allowBlank="true" errorStyle="stop" showErrorMessage="true" showInputMessage="true">
      <formula1>"Mercado Envios por conta do comprador,Mercado Envios grátis"</formula1>
    </dataValidation>
    <dataValidation type="list" sqref="W1086" allowBlank="true" errorStyle="stop" showErrorMessage="true" showInputMessage="true">
      <formula1>"Clássico,Premium"</formula1>
    </dataValidation>
    <dataValidation type="list" sqref="J1087" allowBlank="true" errorStyle="stop" showErrorMessage="true" showInputMessage="true">
      <formula1>"R$"</formula1>
    </dataValidation>
    <dataValidation type="list" sqref="K1087" allowBlank="true" errorStyle="stop" showErrorMessage="true" showInputMessage="true">
      <formula1>"Com impostos,Sem impostos"</formula1>
    </dataValidation>
    <dataValidation type="list" sqref="V1087" allowBlank="true" errorStyle="stop" showErrorMessage="true" showInputMessage="true">
      <formula1>"Mercado Envios por conta do comprador,Mercado Envios grátis"</formula1>
    </dataValidation>
    <dataValidation type="list" sqref="W1087" allowBlank="true" errorStyle="stop" showErrorMessage="true" showInputMessage="true">
      <formula1>"Clássico,Premium"</formula1>
    </dataValidation>
    <dataValidation type="list" sqref="J1088" allowBlank="true" errorStyle="stop" showErrorMessage="true" showInputMessage="true">
      <formula1>"R$"</formula1>
    </dataValidation>
    <dataValidation type="list" sqref="K1088" allowBlank="true" errorStyle="stop" showErrorMessage="true" showInputMessage="true">
      <formula1>"Com impostos,Sem impostos"</formula1>
    </dataValidation>
    <dataValidation type="list" sqref="V1088" allowBlank="true" errorStyle="stop" showErrorMessage="true" showInputMessage="true">
      <formula1>"Mercado Envios por conta do comprador,Mercado Envios grátis"</formula1>
    </dataValidation>
    <dataValidation type="list" sqref="W1088" allowBlank="true" errorStyle="stop" showErrorMessage="true" showInputMessage="true">
      <formula1>"Clássico,Premium"</formula1>
    </dataValidation>
    <dataValidation type="list" sqref="J1089" allowBlank="true" errorStyle="stop" showErrorMessage="true" showInputMessage="true">
      <formula1>"R$"</formula1>
    </dataValidation>
    <dataValidation type="list" sqref="K1089" allowBlank="true" errorStyle="stop" showErrorMessage="true" showInputMessage="true">
      <formula1>"Com impostos,Sem impostos"</formula1>
    </dataValidation>
    <dataValidation type="list" sqref="V1089" allowBlank="true" errorStyle="stop" showErrorMessage="true" showInputMessage="true">
      <formula1>"Mercado Envios por conta do comprador,Mercado Envios grátis"</formula1>
    </dataValidation>
    <dataValidation type="list" sqref="W1089" allowBlank="true" errorStyle="stop" showErrorMessage="true" showInputMessage="true">
      <formula1>"Clássico,Premium"</formula1>
    </dataValidation>
    <dataValidation type="list" sqref="J1090" allowBlank="true" errorStyle="stop" showErrorMessage="true" showInputMessage="true">
      <formula1>"R$"</formula1>
    </dataValidation>
    <dataValidation type="list" sqref="K1090" allowBlank="true" errorStyle="stop" showErrorMessage="true" showInputMessage="true">
      <formula1>"Com impostos,Sem impostos"</formula1>
    </dataValidation>
    <dataValidation type="list" sqref="V1090" allowBlank="true" errorStyle="stop" showErrorMessage="true" showInputMessage="true">
      <formula1>"Mercado Envios por conta do comprador,Mercado Envios grátis"</formula1>
    </dataValidation>
    <dataValidation type="list" sqref="W1090" allowBlank="true" errorStyle="stop" showErrorMessage="true" showInputMessage="true">
      <formula1>"Clássico,Premium"</formula1>
    </dataValidation>
    <dataValidation type="list" sqref="J1091" allowBlank="true" errorStyle="stop" showErrorMessage="true" showInputMessage="true">
      <formula1>"R$"</formula1>
    </dataValidation>
    <dataValidation type="list" sqref="K1091" allowBlank="true" errorStyle="stop" showErrorMessage="true" showInputMessage="true">
      <formula1>"Com impostos,Sem impostos"</formula1>
    </dataValidation>
    <dataValidation type="list" sqref="V1091" allowBlank="true" errorStyle="stop" showErrorMessage="true" showInputMessage="true">
      <formula1>"Mercado Envios por conta do comprador,Mercado Envios grátis"</formula1>
    </dataValidation>
    <dataValidation type="list" sqref="W1091" allowBlank="true" errorStyle="stop" showErrorMessage="true" showInputMessage="true">
      <formula1>"Clássico,Premium"</formula1>
    </dataValidation>
    <dataValidation type="list" sqref="J1092" allowBlank="true" errorStyle="stop" showErrorMessage="true" showInputMessage="true">
      <formula1>"R$"</formula1>
    </dataValidation>
    <dataValidation type="list" sqref="K1092" allowBlank="true" errorStyle="stop" showErrorMessage="true" showInputMessage="true">
      <formula1>"Com impostos,Sem impostos"</formula1>
    </dataValidation>
    <dataValidation type="list" sqref="V1092" allowBlank="true" errorStyle="stop" showErrorMessage="true" showInputMessage="true">
      <formula1>"Mercado Envios por conta do comprador,Mercado Envios grátis"</formula1>
    </dataValidation>
    <dataValidation type="list" sqref="W1092" allowBlank="true" errorStyle="stop" showErrorMessage="true" showInputMessage="true">
      <formula1>"Clássico,Premium"</formula1>
    </dataValidation>
    <dataValidation type="list" sqref="J1093" allowBlank="true" errorStyle="stop" showErrorMessage="true" showInputMessage="true">
      <formula1>"R$"</formula1>
    </dataValidation>
    <dataValidation type="list" sqref="K1093" allowBlank="true" errorStyle="stop" showErrorMessage="true" showInputMessage="true">
      <formula1>"Com impostos,Sem impostos"</formula1>
    </dataValidation>
    <dataValidation type="list" sqref="V1093" allowBlank="true" errorStyle="stop" showErrorMessage="true" showInputMessage="true">
      <formula1>"Mercado Envios por conta do comprador,Mercado Envios grátis"</formula1>
    </dataValidation>
    <dataValidation type="list" sqref="W1093" allowBlank="true" errorStyle="stop" showErrorMessage="true" showInputMessage="true">
      <formula1>"Clássico,Premium"</formula1>
    </dataValidation>
    <dataValidation type="list" sqref="J1094" allowBlank="true" errorStyle="stop" showErrorMessage="true" showInputMessage="true">
      <formula1>"R$"</formula1>
    </dataValidation>
    <dataValidation type="list" sqref="K1094" allowBlank="true" errorStyle="stop" showErrorMessage="true" showInputMessage="true">
      <formula1>"Com impostos,Sem impostos"</formula1>
    </dataValidation>
    <dataValidation type="list" sqref="V1094" allowBlank="true" errorStyle="stop" showErrorMessage="true" showInputMessage="true">
      <formula1>"Mercado Envios por conta do comprador,Mercado Envios grátis"</formula1>
    </dataValidation>
    <dataValidation type="list" sqref="W1094" allowBlank="true" errorStyle="stop" showErrorMessage="true" showInputMessage="true">
      <formula1>"Clássico,Premium"</formula1>
    </dataValidation>
    <dataValidation type="list" sqref="J1095" allowBlank="true" errorStyle="stop" showErrorMessage="true" showInputMessage="true">
      <formula1>"R$"</formula1>
    </dataValidation>
    <dataValidation type="list" sqref="K1095" allowBlank="true" errorStyle="stop" showErrorMessage="true" showInputMessage="true">
      <formula1>"Com impostos,Sem impostos"</formula1>
    </dataValidation>
    <dataValidation type="list" sqref="V1095" allowBlank="true" errorStyle="stop" showErrorMessage="true" showInputMessage="true">
      <formula1>"Mercado Envios por conta do comprador,Mercado Envios grátis"</formula1>
    </dataValidation>
    <dataValidation type="list" sqref="W1095" allowBlank="true" errorStyle="stop" showErrorMessage="true" showInputMessage="true">
      <formula1>"Clássico,Premium"</formula1>
    </dataValidation>
    <dataValidation type="list" sqref="J1096" allowBlank="true" errorStyle="stop" showErrorMessage="true" showInputMessage="true">
      <formula1>"R$"</formula1>
    </dataValidation>
    <dataValidation type="list" sqref="K1096" allowBlank="true" errorStyle="stop" showErrorMessage="true" showInputMessage="true">
      <formula1>"Com impostos,Sem impostos"</formula1>
    </dataValidation>
    <dataValidation type="list" sqref="V1096" allowBlank="true" errorStyle="stop" showErrorMessage="true" showInputMessage="true">
      <formula1>"Mercado Envios por conta do comprador,Mercado Envios grátis"</formula1>
    </dataValidation>
    <dataValidation type="list" sqref="W1096" allowBlank="true" errorStyle="stop" showErrorMessage="true" showInputMessage="true">
      <formula1>"Clássico,Premium"</formula1>
    </dataValidation>
    <dataValidation type="list" sqref="J1097" allowBlank="true" errorStyle="stop" showErrorMessage="true" showInputMessage="true">
      <formula1>"R$"</formula1>
    </dataValidation>
    <dataValidation type="list" sqref="K1097" allowBlank="true" errorStyle="stop" showErrorMessage="true" showInputMessage="true">
      <formula1>"Com impostos,Sem impostos"</formula1>
    </dataValidation>
    <dataValidation type="list" sqref="V1097" allowBlank="true" errorStyle="stop" showErrorMessage="true" showInputMessage="true">
      <formula1>"Mercado Envios por conta do comprador,Mercado Envios grátis"</formula1>
    </dataValidation>
    <dataValidation type="list" sqref="W1097" allowBlank="true" errorStyle="stop" showErrorMessage="true" showInputMessage="true">
      <formula1>"Clássico,Premium"</formula1>
    </dataValidation>
    <dataValidation type="list" sqref="J1098" allowBlank="true" errorStyle="stop" showErrorMessage="true" showInputMessage="true">
      <formula1>"R$"</formula1>
    </dataValidation>
    <dataValidation type="list" sqref="K1098" allowBlank="true" errorStyle="stop" showErrorMessage="true" showInputMessage="true">
      <formula1>"Com impostos,Sem impostos"</formula1>
    </dataValidation>
    <dataValidation type="list" sqref="V1098" allowBlank="true" errorStyle="stop" showErrorMessage="true" showInputMessage="true">
      <formula1>"Mercado Envios por conta do comprador,Mercado Envios grátis"</formula1>
    </dataValidation>
    <dataValidation type="list" sqref="W1098" allowBlank="true" errorStyle="stop" showErrorMessage="true" showInputMessage="true">
      <formula1>"Clássico,Premium"</formula1>
    </dataValidation>
    <dataValidation type="list" sqref="J1099" allowBlank="true" errorStyle="stop" showErrorMessage="true" showInputMessage="true">
      <formula1>"R$"</formula1>
    </dataValidation>
    <dataValidation type="list" sqref="K1099" allowBlank="true" errorStyle="stop" showErrorMessage="true" showInputMessage="true">
      <formula1>"Com impostos,Sem impostos"</formula1>
    </dataValidation>
    <dataValidation type="list" sqref="V1099" allowBlank="true" errorStyle="stop" showErrorMessage="true" showInputMessage="true">
      <formula1>"Mercado Envios por conta do comprador,Mercado Envios grátis"</formula1>
    </dataValidation>
    <dataValidation type="list" sqref="W1099" allowBlank="true" errorStyle="stop" showErrorMessage="true" showInputMessage="true">
      <formula1>"Clássico,Premium"</formula1>
    </dataValidation>
    <dataValidation type="list" sqref="J1100" allowBlank="true" errorStyle="stop" showErrorMessage="true" showInputMessage="true">
      <formula1>"R$"</formula1>
    </dataValidation>
    <dataValidation type="list" sqref="K1100" allowBlank="true" errorStyle="stop" showErrorMessage="true" showInputMessage="true">
      <formula1>"Com impostos,Sem impostos"</formula1>
    </dataValidation>
    <dataValidation type="list" sqref="V1100" allowBlank="true" errorStyle="stop" showErrorMessage="true" showInputMessage="true">
      <formula1>"Mercado Envios por conta do comprador,Mercado Envios grátis"</formula1>
    </dataValidation>
    <dataValidation type="list" sqref="W1100" allowBlank="true" errorStyle="stop" showErrorMessage="true" showInputMessage="true">
      <formula1>"Clássico,Premium"</formula1>
    </dataValidation>
    <dataValidation type="list" sqref="J1101" allowBlank="true" errorStyle="stop" showErrorMessage="true" showInputMessage="true">
      <formula1>"R$"</formula1>
    </dataValidation>
    <dataValidation type="list" sqref="K1101" allowBlank="true" errorStyle="stop" showErrorMessage="true" showInputMessage="true">
      <formula1>"Com impostos,Sem impostos"</formula1>
    </dataValidation>
    <dataValidation type="list" sqref="V1101" allowBlank="true" errorStyle="stop" showErrorMessage="true" showInputMessage="true">
      <formula1>"Mercado Envios por conta do comprador,Mercado Envios grátis"</formula1>
    </dataValidation>
    <dataValidation type="list" sqref="W1101" allowBlank="true" errorStyle="stop" showErrorMessage="true" showInputMessage="true">
      <formula1>"Clássico,Premium"</formula1>
    </dataValidation>
    <dataValidation type="list" sqref="J1102" allowBlank="true" errorStyle="stop" showErrorMessage="true" showInputMessage="true">
      <formula1>"R$"</formula1>
    </dataValidation>
    <dataValidation type="list" sqref="K1102" allowBlank="true" errorStyle="stop" showErrorMessage="true" showInputMessage="true">
      <formula1>"Com impostos,Sem impostos"</formula1>
    </dataValidation>
    <dataValidation type="list" sqref="V1102" allowBlank="true" errorStyle="stop" showErrorMessage="true" showInputMessage="true">
      <formula1>"Mercado Envios por conta do comprador,Mercado Envios grátis"</formula1>
    </dataValidation>
    <dataValidation type="list" sqref="W1102" allowBlank="true" errorStyle="stop" showErrorMessage="true" showInputMessage="true">
      <formula1>"Clássico,Premium"</formula1>
    </dataValidation>
    <dataValidation type="list" sqref="J1103" allowBlank="true" errorStyle="stop" showErrorMessage="true" showInputMessage="true">
      <formula1>"R$"</formula1>
    </dataValidation>
    <dataValidation type="list" sqref="K1103" allowBlank="true" errorStyle="stop" showErrorMessage="true" showInputMessage="true">
      <formula1>"Com impostos,Sem impostos"</formula1>
    </dataValidation>
    <dataValidation type="list" sqref="V1103" allowBlank="true" errorStyle="stop" showErrorMessage="true" showInputMessage="true">
      <formula1>"Mercado Envios por conta do comprador,Mercado Envios grátis"</formula1>
    </dataValidation>
    <dataValidation type="list" sqref="W1103" allowBlank="true" errorStyle="stop" showErrorMessage="true" showInputMessage="true">
      <formula1>"Clássico,Premium"</formula1>
    </dataValidation>
    <dataValidation type="list" sqref="J1104" allowBlank="true" errorStyle="stop" showErrorMessage="true" showInputMessage="true">
      <formula1>"R$"</formula1>
    </dataValidation>
    <dataValidation type="list" sqref="K1104" allowBlank="true" errorStyle="stop" showErrorMessage="true" showInputMessage="true">
      <formula1>"Com impostos,Sem impostos"</formula1>
    </dataValidation>
    <dataValidation type="list" sqref="V1104" allowBlank="true" errorStyle="stop" showErrorMessage="true" showInputMessage="true">
      <formula1>"Mercado Envios por conta do comprador,Mercado Envios grátis"</formula1>
    </dataValidation>
    <dataValidation type="list" sqref="W1104" allowBlank="true" errorStyle="stop" showErrorMessage="true" showInputMessage="true">
      <formula1>"Clássico,Premium"</formula1>
    </dataValidation>
    <dataValidation type="list" sqref="J1105" allowBlank="true" errorStyle="stop" showErrorMessage="true" showInputMessage="true">
      <formula1>"R$"</formula1>
    </dataValidation>
    <dataValidation type="list" sqref="K1105" allowBlank="true" errorStyle="stop" showErrorMessage="true" showInputMessage="true">
      <formula1>"Com impostos,Sem impostos"</formula1>
    </dataValidation>
    <dataValidation type="list" sqref="V1105" allowBlank="true" errorStyle="stop" showErrorMessage="true" showInputMessage="true">
      <formula1>"Mercado Envios por conta do comprador,Mercado Envios grátis"</formula1>
    </dataValidation>
    <dataValidation type="list" sqref="W1105" allowBlank="true" errorStyle="stop" showErrorMessage="true" showInputMessage="true">
      <formula1>"Clássico,Premium"</formula1>
    </dataValidation>
    <dataValidation type="list" sqref="J1106" allowBlank="true" errorStyle="stop" showErrorMessage="true" showInputMessage="true">
      <formula1>"R$"</formula1>
    </dataValidation>
    <dataValidation type="list" sqref="V1106" allowBlank="true" errorStyle="stop" showErrorMessage="true" showInputMessage="true">
      <formula1>"Mercado Envios por conta do comprador,Mercado Envios grátis"</formula1>
    </dataValidation>
    <dataValidation type="list" sqref="W1106" allowBlank="true" errorStyle="stop" showErrorMessage="true" showInputMessage="true">
      <formula1>"Clássico,Premium"</formula1>
    </dataValidation>
    <dataValidation type="list" sqref="J1109" allowBlank="true" errorStyle="stop" showErrorMessage="true" showInputMessage="true">
      <formula1>"R$"</formula1>
    </dataValidation>
    <dataValidation type="list" sqref="K1109" allowBlank="true" errorStyle="stop" showErrorMessage="true" showInputMessage="true">
      <formula1>"Com impostos,Sem impostos"</formula1>
    </dataValidation>
    <dataValidation type="list" sqref="V1109" allowBlank="true" errorStyle="stop" showErrorMessage="true" showInputMessage="true">
      <formula1>"Mercado Envios por conta do comprador,Mercado Envios grátis"</formula1>
    </dataValidation>
    <dataValidation type="list" sqref="W1109" allowBlank="true" errorStyle="stop" showErrorMessage="true" showInputMessage="true">
      <formula1>"Clássico,Premium"</formula1>
    </dataValidation>
    <dataValidation type="list" sqref="J1110" allowBlank="true" errorStyle="stop" showErrorMessage="true" showInputMessage="true">
      <formula1>"R$"</formula1>
    </dataValidation>
    <dataValidation type="list" sqref="K1110" allowBlank="true" errorStyle="stop" showErrorMessage="true" showInputMessage="true">
      <formula1>"Com impostos,Sem impostos"</formula1>
    </dataValidation>
    <dataValidation type="list" sqref="V1110" allowBlank="true" errorStyle="stop" showErrorMessage="true" showInputMessage="true">
      <formula1>"Mercado Envios por conta do comprador,Mercado Envios grátis"</formula1>
    </dataValidation>
    <dataValidation type="list" sqref="W1110" allowBlank="true" errorStyle="stop" showErrorMessage="true" showInputMessage="true">
      <formula1>"Clássico,Premium"</formula1>
    </dataValidation>
    <dataValidation type="list" sqref="J1111" allowBlank="true" errorStyle="stop" showErrorMessage="true" showInputMessage="true">
      <formula1>"R$"</formula1>
    </dataValidation>
    <dataValidation type="list" sqref="K1111" allowBlank="true" errorStyle="stop" showErrorMessage="true" showInputMessage="true">
      <formula1>"Com impostos,Sem impostos"</formula1>
    </dataValidation>
    <dataValidation type="list" sqref="V1111" allowBlank="true" errorStyle="stop" showErrorMessage="true" showInputMessage="true">
      <formula1>"Mercado Envios por conta do comprador,Mercado Envios grátis"</formula1>
    </dataValidation>
    <dataValidation type="list" sqref="W1111" allowBlank="true" errorStyle="stop" showErrorMessage="true" showInputMessage="true">
      <formula1>"Clássico,Premium"</formula1>
    </dataValidation>
    <dataValidation type="list" sqref="J1112" allowBlank="true" errorStyle="stop" showErrorMessage="true" showInputMessage="true">
      <formula1>"R$"</formula1>
    </dataValidation>
    <dataValidation type="list" sqref="V1112" allowBlank="true" errorStyle="stop" showErrorMessage="true" showInputMessage="true">
      <formula1>"Mercado Envios por conta do comprador,Mercado Envios grátis"</formula1>
    </dataValidation>
    <dataValidation type="list" sqref="W1112" allowBlank="true" errorStyle="stop" showErrorMessage="true" showInputMessage="true">
      <formula1>"Clássico,Premium"</formula1>
    </dataValidation>
    <dataValidation type="list" sqref="J1115" allowBlank="true" errorStyle="stop" showErrorMessage="true" showInputMessage="true">
      <formula1>"R$"</formula1>
    </dataValidation>
    <dataValidation type="list" sqref="K1115" allowBlank="true" errorStyle="stop" showErrorMessage="true" showInputMessage="true">
      <formula1>"Com impostos,Sem impostos"</formula1>
    </dataValidation>
    <dataValidation type="list" sqref="V1115" allowBlank="true" errorStyle="stop" showErrorMessage="true" showInputMessage="true">
      <formula1>"Mercado Envios por conta do comprador,Mercado Envios grátis"</formula1>
    </dataValidation>
    <dataValidation type="list" sqref="W1115" allowBlank="true" errorStyle="stop" showErrorMessage="true" showInputMessage="true">
      <formula1>"Clássico,Premium"</formula1>
    </dataValidation>
    <dataValidation type="list" sqref="J1116" allowBlank="true" errorStyle="stop" showErrorMessage="true" showInputMessage="true">
      <formula1>"R$"</formula1>
    </dataValidation>
    <dataValidation type="list" sqref="K1116" allowBlank="true" errorStyle="stop" showErrorMessage="true" showInputMessage="true">
      <formula1>"Com impostos,Sem impostos"</formula1>
    </dataValidation>
    <dataValidation type="list" sqref="V1116" allowBlank="true" errorStyle="stop" showErrorMessage="true" showInputMessage="true">
      <formula1>"Mercado Envios por conta do comprador,Mercado Envios grátis"</formula1>
    </dataValidation>
    <dataValidation type="list" sqref="W1116" allowBlank="true" errorStyle="stop" showErrorMessage="true" showInputMessage="true">
      <formula1>"Clássico,Premium"</formula1>
    </dataValidation>
    <dataValidation type="list" sqref="J1117" allowBlank="true" errorStyle="stop" showErrorMessage="true" showInputMessage="true">
      <formula1>"R$"</formula1>
    </dataValidation>
    <dataValidation type="list" sqref="K1117" allowBlank="true" errorStyle="stop" showErrorMessage="true" showInputMessage="true">
      <formula1>"Com impostos,Sem impostos"</formula1>
    </dataValidation>
    <dataValidation type="list" sqref="V1117" allowBlank="true" errorStyle="stop" showErrorMessage="true" showInputMessage="true">
      <formula1>"Mercado Envios por conta do comprador,Mercado Envios grátis"</formula1>
    </dataValidation>
    <dataValidation type="list" sqref="W1117" allowBlank="true" errorStyle="stop" showErrorMessage="true" showInputMessage="true">
      <formula1>"Clássico,Premium"</formula1>
    </dataValidation>
    <dataValidation type="list" sqref="J1118" allowBlank="true" errorStyle="stop" showErrorMessage="true" showInputMessage="true">
      <formula1>"R$"</formula1>
    </dataValidation>
    <dataValidation type="list" sqref="K1118" allowBlank="true" errorStyle="stop" showErrorMessage="true" showInputMessage="true">
      <formula1>"Com impostos,Sem impostos"</formula1>
    </dataValidation>
    <dataValidation type="list" sqref="V1118" allowBlank="true" errorStyle="stop" showErrorMessage="true" showInputMessage="true">
      <formula1>"Mercado Envios por conta do comprador,Mercado Envios grátis"</formula1>
    </dataValidation>
    <dataValidation type="list" sqref="W1118" allowBlank="true" errorStyle="stop" showErrorMessage="true" showInputMessage="true">
      <formula1>"Clássico,Premium"</formula1>
    </dataValidation>
    <dataValidation type="list" sqref="J1119" allowBlank="true" errorStyle="stop" showErrorMessage="true" showInputMessage="true">
      <formula1>"R$"</formula1>
    </dataValidation>
    <dataValidation type="list" sqref="K1119" allowBlank="true" errorStyle="stop" showErrorMessage="true" showInputMessage="true">
      <formula1>"Com impostos,Sem impostos"</formula1>
    </dataValidation>
    <dataValidation type="list" sqref="V1119" allowBlank="true" errorStyle="stop" showErrorMessage="true" showInputMessage="true">
      <formula1>"Mercado Envios por conta do comprador,Mercado Envios grátis"</formula1>
    </dataValidation>
    <dataValidation type="list" sqref="W1119" allowBlank="true" errorStyle="stop" showErrorMessage="true" showInputMessage="true">
      <formula1>"Clássico,Premium"</formula1>
    </dataValidation>
    <dataValidation type="list" sqref="J1120" allowBlank="true" errorStyle="stop" showErrorMessage="true" showInputMessage="true">
      <formula1>"R$"</formula1>
    </dataValidation>
    <dataValidation type="list" sqref="K1120" allowBlank="true" errorStyle="stop" showErrorMessage="true" showInputMessage="true">
      <formula1>"Com impostos,Sem impostos"</formula1>
    </dataValidation>
    <dataValidation type="list" sqref="V1120" allowBlank="true" errorStyle="stop" showErrorMessage="true" showInputMessage="true">
      <formula1>"Mercado Envios por conta do comprador,Mercado Envios grátis"</formula1>
    </dataValidation>
    <dataValidation type="list" sqref="W1120" allowBlank="true" errorStyle="stop" showErrorMessage="true" showInputMessage="true">
      <formula1>"Clássico,Premium"</formula1>
    </dataValidation>
    <dataValidation type="list" sqref="J1121" allowBlank="true" errorStyle="stop" showErrorMessage="true" showInputMessage="true">
      <formula1>"R$"</formula1>
    </dataValidation>
    <dataValidation type="list" sqref="K1121" allowBlank="true" errorStyle="stop" showErrorMessage="true" showInputMessage="true">
      <formula1>"Com impostos,Sem impostos"</formula1>
    </dataValidation>
    <dataValidation type="list" sqref="V1121" allowBlank="true" errorStyle="stop" showErrorMessage="true" showInputMessage="true">
      <formula1>"Mercado Envios por conta do comprador,Mercado Envios grátis"</formula1>
    </dataValidation>
    <dataValidation type="list" sqref="W1121" allowBlank="true" errorStyle="stop" showErrorMessage="true" showInputMessage="true">
      <formula1>"Clássico,Premium"</formula1>
    </dataValidation>
    <dataValidation type="list" sqref="J1122" allowBlank="true" errorStyle="stop" showErrorMessage="true" showInputMessage="true">
      <formula1>"R$"</formula1>
    </dataValidation>
    <dataValidation type="list" sqref="K1122" allowBlank="true" errorStyle="stop" showErrorMessage="true" showInputMessage="true">
      <formula1>"Com impostos,Sem impostos"</formula1>
    </dataValidation>
    <dataValidation type="list" sqref="V1122" allowBlank="true" errorStyle="stop" showErrorMessage="true" showInputMessage="true">
      <formula1>"Mercado Envios por conta do comprador,Mercado Envios grátis"</formula1>
    </dataValidation>
    <dataValidation type="list" sqref="W1122" allowBlank="true" errorStyle="stop" showErrorMessage="true" showInputMessage="true">
      <formula1>"Clássico,Premium"</formula1>
    </dataValidation>
    <dataValidation type="list" sqref="J1123" allowBlank="true" errorStyle="stop" showErrorMessage="true" showInputMessage="true">
      <formula1>"R$"</formula1>
    </dataValidation>
    <dataValidation type="list" sqref="K1123" allowBlank="true" errorStyle="stop" showErrorMessage="true" showInputMessage="true">
      <formula1>"Com impostos,Sem impostos"</formula1>
    </dataValidation>
    <dataValidation type="list" sqref="V1123" allowBlank="true" errorStyle="stop" showErrorMessage="true" showInputMessage="true">
      <formula1>"Mercado Envios por conta do comprador,Mercado Envios grátis"</formula1>
    </dataValidation>
    <dataValidation type="list" sqref="W1123" allowBlank="true" errorStyle="stop" showErrorMessage="true" showInputMessage="true">
      <formula1>"Clássico,Premium"</formula1>
    </dataValidation>
    <dataValidation type="list" sqref="J1124" allowBlank="true" errorStyle="stop" showErrorMessage="true" showInputMessage="true">
      <formula1>"R$"</formula1>
    </dataValidation>
    <dataValidation type="list" sqref="K1124" allowBlank="true" errorStyle="stop" showErrorMessage="true" showInputMessage="true">
      <formula1>"Com impostos,Sem impostos"</formula1>
    </dataValidation>
    <dataValidation type="list" sqref="V1124" allowBlank="true" errorStyle="stop" showErrorMessage="true" showInputMessage="true">
      <formula1>"Mercado Envios por conta do comprador,Mercado Envios grátis"</formula1>
    </dataValidation>
    <dataValidation type="list" sqref="W1124" allowBlank="true" errorStyle="stop" showErrorMessage="true" showInputMessage="true">
      <formula1>"Clássico,Premium"</formula1>
    </dataValidation>
    <dataValidation type="list" sqref="J1125" allowBlank="true" errorStyle="stop" showErrorMessage="true" showInputMessage="true">
      <formula1>"R$"</formula1>
    </dataValidation>
    <dataValidation type="list" sqref="V1125" allowBlank="true" errorStyle="stop" showErrorMessage="true" showInputMessage="true">
      <formula1>"Mercado Envios por conta do comprador,Mercado Envios grátis"</formula1>
    </dataValidation>
    <dataValidation type="list" sqref="W1125" allowBlank="true" errorStyle="stop" showErrorMessage="true" showInputMessage="true">
      <formula1>"Clássico,Premium"</formula1>
    </dataValidation>
    <dataValidation type="list" sqref="J1128" allowBlank="true" errorStyle="stop" showErrorMessage="true" showInputMessage="true">
      <formula1>"R$"</formula1>
    </dataValidation>
    <dataValidation type="list" sqref="K1128" allowBlank="true" errorStyle="stop" showErrorMessage="true" showInputMessage="true">
      <formula1>"Com impostos,Sem impostos"</formula1>
    </dataValidation>
    <dataValidation type="list" sqref="V1128" allowBlank="true" errorStyle="stop" showErrorMessage="true" showInputMessage="true">
      <formula1>"Mercado Envios por conta do comprador,Mercado Envios grátis"</formula1>
    </dataValidation>
    <dataValidation type="list" sqref="W1128" allowBlank="true" errorStyle="stop" showErrorMessage="true" showInputMessage="true">
      <formula1>"Clássico,Premium"</formula1>
    </dataValidation>
    <dataValidation type="list" sqref="J1129" allowBlank="true" errorStyle="stop" showErrorMessage="true" showInputMessage="true">
      <formula1>"R$"</formula1>
    </dataValidation>
    <dataValidation type="list" sqref="K1129" allowBlank="true" errorStyle="stop" showErrorMessage="true" showInputMessage="true">
      <formula1>"Com impostos,Sem impostos"</formula1>
    </dataValidation>
    <dataValidation type="list" sqref="V1129" allowBlank="true" errorStyle="stop" showErrorMessage="true" showInputMessage="true">
      <formula1>"Mercado Envios por conta do comprador,Mercado Envios grátis"</formula1>
    </dataValidation>
    <dataValidation type="list" sqref="W1129" allowBlank="true" errorStyle="stop" showErrorMessage="true" showInputMessage="true">
      <formula1>"Clássico,Premium"</formula1>
    </dataValidation>
    <dataValidation type="list" sqref="J1130" allowBlank="true" errorStyle="stop" showErrorMessage="true" showInputMessage="true">
      <formula1>"R$"</formula1>
    </dataValidation>
    <dataValidation type="list" sqref="K1130" allowBlank="true" errorStyle="stop" showErrorMessage="true" showInputMessage="true">
      <formula1>"Com impostos,Sem impostos"</formula1>
    </dataValidation>
    <dataValidation type="list" sqref="V1130" allowBlank="true" errorStyle="stop" showErrorMessage="true" showInputMessage="true">
      <formula1>"Mercado Envios por conta do comprador,Mercado Envios grátis"</formula1>
    </dataValidation>
    <dataValidation type="list" sqref="W1130" allowBlank="true" errorStyle="stop" showErrorMessage="true" showInputMessage="true">
      <formula1>"Clássico,Premium"</formula1>
    </dataValidation>
    <dataValidation type="list" sqref="J1131" allowBlank="true" errorStyle="stop" showErrorMessage="true" showInputMessage="true">
      <formula1>"R$"</formula1>
    </dataValidation>
    <dataValidation type="list" sqref="V1131" allowBlank="true" errorStyle="stop" showErrorMessage="true" showInputMessage="true">
      <formula1>"Mercado Envios por conta do comprador,Mercado Envios grátis"</formula1>
    </dataValidation>
    <dataValidation type="list" sqref="W1131" allowBlank="true" errorStyle="stop" showErrorMessage="true" showInputMessage="true">
      <formula1>"Clássico,Premium"</formula1>
    </dataValidation>
    <dataValidation type="list" sqref="J1134" allowBlank="true" errorStyle="stop" showErrorMessage="true" showInputMessage="true">
      <formula1>"R$"</formula1>
    </dataValidation>
    <dataValidation type="list" sqref="K1134" allowBlank="true" errorStyle="stop" showErrorMessage="true" showInputMessage="true">
      <formula1>"Com impostos,Sem impostos"</formula1>
    </dataValidation>
    <dataValidation type="list" sqref="V1134" allowBlank="true" errorStyle="stop" showErrorMessage="true" showInputMessage="true">
      <formula1>"Mercado Envios por conta do comprador,Mercado Envios grátis"</formula1>
    </dataValidation>
    <dataValidation type="list" sqref="W1134" allowBlank="true" errorStyle="stop" showErrorMessage="true" showInputMessage="true">
      <formula1>"Clássico,Premium"</formula1>
    </dataValidation>
    <dataValidation type="list" sqref="J1135" allowBlank="true" errorStyle="stop" showErrorMessage="true" showInputMessage="true">
      <formula1>"R$"</formula1>
    </dataValidation>
    <dataValidation type="list" sqref="K1135" allowBlank="true" errorStyle="stop" showErrorMessage="true" showInputMessage="true">
      <formula1>"Com impostos,Sem impostos"</formula1>
    </dataValidation>
    <dataValidation type="list" sqref="V1135" allowBlank="true" errorStyle="stop" showErrorMessage="true" showInputMessage="true">
      <formula1>"Mercado Envios por conta do comprador,Mercado Envios grátis"</formula1>
    </dataValidation>
    <dataValidation type="list" sqref="W1135" allowBlank="true" errorStyle="stop" showErrorMessage="true" showInputMessage="true">
      <formula1>"Clássico,Premium"</formula1>
    </dataValidation>
    <dataValidation type="list" sqref="J1136" allowBlank="true" errorStyle="stop" showErrorMessage="true" showInputMessage="true">
      <formula1>"R$"</formula1>
    </dataValidation>
    <dataValidation type="list" sqref="K1136" allowBlank="true" errorStyle="stop" showErrorMessage="true" showInputMessage="true">
      <formula1>"Com impostos,Sem impostos"</formula1>
    </dataValidation>
    <dataValidation type="list" sqref="V1136" allowBlank="true" errorStyle="stop" showErrorMessage="true" showInputMessage="true">
      <formula1>"Mercado Envios por conta do comprador,Mercado Envios grátis"</formula1>
    </dataValidation>
    <dataValidation type="list" sqref="W1136" allowBlank="true" errorStyle="stop" showErrorMessage="true" showInputMessage="true">
      <formula1>"Clássico,Premium"</formula1>
    </dataValidation>
    <dataValidation type="list" sqref="J1137" allowBlank="true" errorStyle="stop" showErrorMessage="true" showInputMessage="true">
      <formula1>"R$"</formula1>
    </dataValidation>
    <dataValidation type="list" sqref="K1137" allowBlank="true" errorStyle="stop" showErrorMessage="true" showInputMessage="true">
      <formula1>"Com impostos,Sem impostos"</formula1>
    </dataValidation>
    <dataValidation type="list" sqref="V1137" allowBlank="true" errorStyle="stop" showErrorMessage="true" showInputMessage="true">
      <formula1>"Mercado Envios por conta do comprador,Mercado Envios grátis"</formula1>
    </dataValidation>
    <dataValidation type="list" sqref="W1137" allowBlank="true" errorStyle="stop" showErrorMessage="true" showInputMessage="true">
      <formula1>"Clássico,Premium"</formula1>
    </dataValidation>
    <dataValidation type="list" sqref="J1138" allowBlank="true" errorStyle="stop" showErrorMessage="true" showInputMessage="true">
      <formula1>"R$"</formula1>
    </dataValidation>
    <dataValidation type="list" sqref="K1138" allowBlank="true" errorStyle="stop" showErrorMessage="true" showInputMessage="true">
      <formula1>"Com impostos,Sem impostos"</formula1>
    </dataValidation>
    <dataValidation type="list" sqref="V1138" allowBlank="true" errorStyle="stop" showErrorMessage="true" showInputMessage="true">
      <formula1>"Mercado Envios por conta do comprador,Mercado Envios grátis"</formula1>
    </dataValidation>
    <dataValidation type="list" sqref="W1138" allowBlank="true" errorStyle="stop" showErrorMessage="true" showInputMessage="true">
      <formula1>"Clássico,Premium"</formula1>
    </dataValidation>
    <dataValidation type="list" sqref="J1139" allowBlank="true" errorStyle="stop" showErrorMessage="true" showInputMessage="true">
      <formula1>"R$"</formula1>
    </dataValidation>
    <dataValidation type="list" sqref="K1139" allowBlank="true" errorStyle="stop" showErrorMessage="true" showInputMessage="true">
      <formula1>"Com impostos,Sem impostos"</formula1>
    </dataValidation>
    <dataValidation type="list" sqref="V1139" allowBlank="true" errorStyle="stop" showErrorMessage="true" showInputMessage="true">
      <formula1>"Mercado Envios por conta do comprador,Mercado Envios grátis"</formula1>
    </dataValidation>
    <dataValidation type="list" sqref="W1139" allowBlank="true" errorStyle="stop" showErrorMessage="true" showInputMessage="true">
      <formula1>"Clássico,Premium"</formula1>
    </dataValidation>
    <dataValidation type="list" sqref="J1140" allowBlank="true" errorStyle="stop" showErrorMessage="true" showInputMessage="true">
      <formula1>"R$"</formula1>
    </dataValidation>
    <dataValidation type="list" sqref="K1140" allowBlank="true" errorStyle="stop" showErrorMessage="true" showInputMessage="true">
      <formula1>"Com impostos,Sem impostos"</formula1>
    </dataValidation>
    <dataValidation type="list" sqref="V1140" allowBlank="true" errorStyle="stop" showErrorMessage="true" showInputMessage="true">
      <formula1>"Mercado Envios por conta do comprador,Mercado Envios grátis"</formula1>
    </dataValidation>
    <dataValidation type="list" sqref="W1140" allowBlank="true" errorStyle="stop" showErrorMessage="true" showInputMessage="true">
      <formula1>"Clássico,Premium"</formula1>
    </dataValidation>
    <dataValidation type="list" sqref="J1141" allowBlank="true" errorStyle="stop" showErrorMessage="true" showInputMessage="true">
      <formula1>"R$"</formula1>
    </dataValidation>
    <dataValidation type="list" sqref="K1141" allowBlank="true" errorStyle="stop" showErrorMessage="true" showInputMessage="true">
      <formula1>"Com impostos,Sem impostos"</formula1>
    </dataValidation>
    <dataValidation type="list" sqref="V1141" allowBlank="true" errorStyle="stop" showErrorMessage="true" showInputMessage="true">
      <formula1>"Mercado Envios por conta do comprador,Mercado Envios grátis"</formula1>
    </dataValidation>
    <dataValidation type="list" sqref="W1141" allowBlank="true" errorStyle="stop" showErrorMessage="true" showInputMessage="true">
      <formula1>"Clássico,Premium"</formula1>
    </dataValidation>
    <dataValidation type="list" sqref="J1142" allowBlank="true" errorStyle="stop" showErrorMessage="true" showInputMessage="true">
      <formula1>"R$"</formula1>
    </dataValidation>
    <dataValidation type="list" sqref="V1142" allowBlank="true" errorStyle="stop" showErrorMessage="true" showInputMessage="true">
      <formula1>"Mercado Envios por conta do comprador,Mercado Envios grátis"</formula1>
    </dataValidation>
    <dataValidation type="list" sqref="W1142" allowBlank="true" errorStyle="stop" showErrorMessage="true" showInputMessage="true">
      <formula1>"Clássico,Premium"</formula1>
    </dataValidation>
    <dataValidation type="list" sqref="J1145" allowBlank="true" errorStyle="stop" showErrorMessage="true" showInputMessage="true">
      <formula1>"R$"</formula1>
    </dataValidation>
    <dataValidation type="list" sqref="K1145" allowBlank="true" errorStyle="stop" showErrorMessage="true" showInputMessage="true">
      <formula1>"Com impostos,Sem impostos"</formula1>
    </dataValidation>
    <dataValidation type="list" sqref="V1145" allowBlank="true" errorStyle="stop" showErrorMessage="true" showInputMessage="true">
      <formula1>"Mercado Envios por conta do comprador,Mercado Envios grátis"</formula1>
    </dataValidation>
    <dataValidation type="list" sqref="W1145" allowBlank="true" errorStyle="stop" showErrorMessage="true" showInputMessage="true">
      <formula1>"Clássico,Premium"</formula1>
    </dataValidation>
    <dataValidation type="list" sqref="J1146" allowBlank="true" errorStyle="stop" showErrorMessage="true" showInputMessage="true">
      <formula1>"R$"</formula1>
    </dataValidation>
    <dataValidation type="list" sqref="K1146" allowBlank="true" errorStyle="stop" showErrorMessage="true" showInputMessage="true">
      <formula1>"Com impostos,Sem impostos"</formula1>
    </dataValidation>
    <dataValidation type="list" sqref="V1146" allowBlank="true" errorStyle="stop" showErrorMessage="true" showInputMessage="true">
      <formula1>"Mercado Envios por conta do comprador,Mercado Envios grátis"</formula1>
    </dataValidation>
    <dataValidation type="list" sqref="W1146" allowBlank="true" errorStyle="stop" showErrorMessage="true" showInputMessage="true">
      <formula1>"Clássico,Premium"</formula1>
    </dataValidation>
    <dataValidation type="list" sqref="J1147" allowBlank="true" errorStyle="stop" showErrorMessage="true" showInputMessage="true">
      <formula1>"R$"</formula1>
    </dataValidation>
    <dataValidation type="list" sqref="V1147" allowBlank="true" errorStyle="stop" showErrorMessage="true" showInputMessage="true">
      <formula1>"Mercado Envios por conta do comprador,Mercado Envios grátis"</formula1>
    </dataValidation>
    <dataValidation type="list" sqref="W1147" allowBlank="true" errorStyle="stop" showErrorMessage="true" showInputMessage="true">
      <formula1>"Clássico,Premium"</formula1>
    </dataValidation>
    <dataValidation type="list" sqref="J1150" allowBlank="true" errorStyle="stop" showErrorMessage="true" showInputMessage="true">
      <formula1>"R$"</formula1>
    </dataValidation>
    <dataValidation type="list" sqref="V1150" allowBlank="true" errorStyle="stop" showErrorMessage="true" showInputMessage="true">
      <formula1>"Mercado Envios por conta do comprador,Mercado Envios grátis"</formula1>
    </dataValidation>
    <dataValidation type="list" sqref="W1150" allowBlank="true" errorStyle="stop" showErrorMessage="true" showInputMessage="true">
      <formula1>"Clássico,Premium"</formula1>
    </dataValidation>
    <dataValidation type="list" sqref="J1153" allowBlank="true" errorStyle="stop" showErrorMessage="true" showInputMessage="true">
      <formula1>"R$"</formula1>
    </dataValidation>
    <dataValidation type="list" sqref="K1153" allowBlank="true" errorStyle="stop" showErrorMessage="true" showInputMessage="true">
      <formula1>"Com impostos,Sem impostos"</formula1>
    </dataValidation>
    <dataValidation type="list" sqref="V1153" allowBlank="true" errorStyle="stop" showErrorMessage="true" showInputMessage="true">
      <formula1>"Mercado Envios por conta do comprador,Mercado Envios grátis"</formula1>
    </dataValidation>
    <dataValidation type="list" sqref="W1153" allowBlank="true" errorStyle="stop" showErrorMessage="true" showInputMessage="true">
      <formula1>"Clássico,Premium"</formula1>
    </dataValidation>
    <dataValidation type="list" sqref="J1154" allowBlank="true" errorStyle="stop" showErrorMessage="true" showInputMessage="true">
      <formula1>"R$"</formula1>
    </dataValidation>
    <dataValidation type="list" sqref="K1154" allowBlank="true" errorStyle="stop" showErrorMessage="true" showInputMessage="true">
      <formula1>"Com impostos,Sem impostos"</formula1>
    </dataValidation>
    <dataValidation type="list" sqref="V1154" allowBlank="true" errorStyle="stop" showErrorMessage="true" showInputMessage="true">
      <formula1>"Mercado Envios por conta do comprador,Mercado Envios grátis"</formula1>
    </dataValidation>
    <dataValidation type="list" sqref="W1154" allowBlank="true" errorStyle="stop" showErrorMessage="true" showInputMessage="true">
      <formula1>"Clássico,Premium"</formula1>
    </dataValidation>
    <dataValidation type="list" sqref="J1155" allowBlank="true" errorStyle="stop" showErrorMessage="true" showInputMessage="true">
      <formula1>"R$"</formula1>
    </dataValidation>
    <dataValidation type="list" sqref="K1155" allowBlank="true" errorStyle="stop" showErrorMessage="true" showInputMessage="true">
      <formula1>"Com impostos,Sem impostos"</formula1>
    </dataValidation>
    <dataValidation type="list" sqref="V1155" allowBlank="true" errorStyle="stop" showErrorMessage="true" showInputMessage="true">
      <formula1>"Mercado Envios por conta do comprador,Mercado Envios grátis"</formula1>
    </dataValidation>
    <dataValidation type="list" sqref="W1155" allowBlank="true" errorStyle="stop" showErrorMessage="true" showInputMessage="true">
      <formula1>"Clássico,Premium"</formula1>
    </dataValidation>
    <dataValidation type="list" sqref="J1156" allowBlank="true" errorStyle="stop" showErrorMessage="true" showInputMessage="true">
      <formula1>"R$"</formula1>
    </dataValidation>
    <dataValidation type="list" sqref="K1156" allowBlank="true" errorStyle="stop" showErrorMessage="true" showInputMessage="true">
      <formula1>"Com impostos,Sem impostos"</formula1>
    </dataValidation>
    <dataValidation type="list" sqref="V1156" allowBlank="true" errorStyle="stop" showErrorMessage="true" showInputMessage="true">
      <formula1>"Mercado Envios por conta do comprador,Mercado Envios grátis"</formula1>
    </dataValidation>
    <dataValidation type="list" sqref="W1156" allowBlank="true" errorStyle="stop" showErrorMessage="true" showInputMessage="true">
      <formula1>"Clássico,Premium"</formula1>
    </dataValidation>
    <dataValidation type="list" sqref="J1157" allowBlank="true" errorStyle="stop" showErrorMessage="true" showInputMessage="true">
      <formula1>"R$"</formula1>
    </dataValidation>
    <dataValidation type="list" sqref="K1157" allowBlank="true" errorStyle="stop" showErrorMessage="true" showInputMessage="true">
      <formula1>"Com impostos,Sem impostos"</formula1>
    </dataValidation>
    <dataValidation type="list" sqref="V1157" allowBlank="true" errorStyle="stop" showErrorMessage="true" showInputMessage="true">
      <formula1>"Mercado Envios por conta do comprador,Mercado Envios grátis"</formula1>
    </dataValidation>
    <dataValidation type="list" sqref="W1157" allowBlank="true" errorStyle="stop" showErrorMessage="true" showInputMessage="true">
      <formula1>"Clássico,Premium"</formula1>
    </dataValidation>
    <dataValidation type="list" sqref="J1158" allowBlank="true" errorStyle="stop" showErrorMessage="true" showInputMessage="true">
      <formula1>"R$"</formula1>
    </dataValidation>
    <dataValidation type="list" sqref="K1158" allowBlank="true" errorStyle="stop" showErrorMessage="true" showInputMessage="true">
      <formula1>"Com impostos,Sem impostos"</formula1>
    </dataValidation>
    <dataValidation type="list" sqref="V1158" allowBlank="true" errorStyle="stop" showErrorMessage="true" showInputMessage="true">
      <formula1>"Mercado Envios por conta do comprador,Mercado Envios grátis"</formula1>
    </dataValidation>
    <dataValidation type="list" sqref="W1158" allowBlank="true" errorStyle="stop" showErrorMessage="true" showInputMessage="true">
      <formula1>"Clássico,Premium"</formula1>
    </dataValidation>
    <dataValidation type="list" sqref="J1159" allowBlank="true" errorStyle="stop" showErrorMessage="true" showInputMessage="true">
      <formula1>"R$"</formula1>
    </dataValidation>
    <dataValidation type="list" sqref="K1159" allowBlank="true" errorStyle="stop" showErrorMessage="true" showInputMessage="true">
      <formula1>"Com impostos,Sem impostos"</formula1>
    </dataValidation>
    <dataValidation type="list" sqref="V1159" allowBlank="true" errorStyle="stop" showErrorMessage="true" showInputMessage="true">
      <formula1>"Mercado Envios por conta do comprador,Mercado Envios grátis"</formula1>
    </dataValidation>
    <dataValidation type="list" sqref="W1159" allowBlank="true" errorStyle="stop" showErrorMessage="true" showInputMessage="true">
      <formula1>"Clássico,Premium"</formula1>
    </dataValidation>
    <dataValidation type="list" sqref="J1160" allowBlank="true" errorStyle="stop" showErrorMessage="true" showInputMessage="true">
      <formula1>"R$"</formula1>
    </dataValidation>
    <dataValidation type="list" sqref="K1160" allowBlank="true" errorStyle="stop" showErrorMessage="true" showInputMessage="true">
      <formula1>"Com impostos,Sem impostos"</formula1>
    </dataValidation>
    <dataValidation type="list" sqref="V1160" allowBlank="true" errorStyle="stop" showErrorMessage="true" showInputMessage="true">
      <formula1>"Mercado Envios por conta do comprador,Mercado Envios grátis"</formula1>
    </dataValidation>
    <dataValidation type="list" sqref="W1160" allowBlank="true" errorStyle="stop" showErrorMessage="true" showInputMessage="true">
      <formula1>"Clássico,Premium"</formula1>
    </dataValidation>
    <dataValidation type="list" sqref="J1161" allowBlank="true" errorStyle="stop" showErrorMessage="true" showInputMessage="true">
      <formula1>"R$"</formula1>
    </dataValidation>
    <dataValidation type="list" sqref="K1161" allowBlank="true" errorStyle="stop" showErrorMessage="true" showInputMessage="true">
      <formula1>"Com impostos,Sem impostos"</formula1>
    </dataValidation>
    <dataValidation type="list" sqref="V1161" allowBlank="true" errorStyle="stop" showErrorMessage="true" showInputMessage="true">
      <formula1>"Mercado Envios por conta do comprador,Mercado Envios grátis"</formula1>
    </dataValidation>
    <dataValidation type="list" sqref="W1161" allowBlank="true" errorStyle="stop" showErrorMessage="true" showInputMessage="true">
      <formula1>"Clássico,Premium"</formula1>
    </dataValidation>
    <dataValidation type="list" sqref="J1162" allowBlank="true" errorStyle="stop" showErrorMessage="true" showInputMessage="true">
      <formula1>"R$"</formula1>
    </dataValidation>
    <dataValidation type="list" sqref="K1162" allowBlank="true" errorStyle="stop" showErrorMessage="true" showInputMessage="true">
      <formula1>"Com impostos,Sem impostos"</formula1>
    </dataValidation>
    <dataValidation type="list" sqref="V1162" allowBlank="true" errorStyle="stop" showErrorMessage="true" showInputMessage="true">
      <formula1>"Mercado Envios por conta do comprador,Mercado Envios grátis"</formula1>
    </dataValidation>
    <dataValidation type="list" sqref="W1162" allowBlank="true" errorStyle="stop" showErrorMessage="true" showInputMessage="true">
      <formula1>"Clássico,Premium"</formula1>
    </dataValidation>
    <dataValidation type="list" sqref="J1163" allowBlank="true" errorStyle="stop" showErrorMessage="true" showInputMessage="true">
      <formula1>"R$"</formula1>
    </dataValidation>
    <dataValidation type="list" sqref="K1163" allowBlank="true" errorStyle="stop" showErrorMessage="true" showInputMessage="true">
      <formula1>"Com impostos,Sem impostos"</formula1>
    </dataValidation>
    <dataValidation type="list" sqref="V1163" allowBlank="true" errorStyle="stop" showErrorMessage="true" showInputMessage="true">
      <formula1>"Mercado Envios por conta do comprador,Mercado Envios grátis"</formula1>
    </dataValidation>
    <dataValidation type="list" sqref="W1163" allowBlank="true" errorStyle="stop" showErrorMessage="true" showInputMessage="true">
      <formula1>"Clássico,Premium"</formula1>
    </dataValidation>
    <dataValidation type="list" sqref="J1164" allowBlank="true" errorStyle="stop" showErrorMessage="true" showInputMessage="true">
      <formula1>"R$"</formula1>
    </dataValidation>
    <dataValidation type="list" sqref="K1164" allowBlank="true" errorStyle="stop" showErrorMessage="true" showInputMessage="true">
      <formula1>"Com impostos,Sem impostos"</formula1>
    </dataValidation>
    <dataValidation type="list" sqref="V1164" allowBlank="true" errorStyle="stop" showErrorMessage="true" showInputMessage="true">
      <formula1>"Mercado Envios por conta do comprador,Mercado Envios grátis"</formula1>
    </dataValidation>
    <dataValidation type="list" sqref="W1164" allowBlank="true" errorStyle="stop" showErrorMessage="true" showInputMessage="true">
      <formula1>"Clássico,Premium"</formula1>
    </dataValidation>
    <dataValidation type="list" sqref="J1165" allowBlank="true" errorStyle="stop" showErrorMessage="true" showInputMessage="true">
      <formula1>"R$"</formula1>
    </dataValidation>
    <dataValidation type="list" sqref="K1165" allowBlank="true" errorStyle="stop" showErrorMessage="true" showInputMessage="true">
      <formula1>"Com impostos,Sem impostos"</formula1>
    </dataValidation>
    <dataValidation type="list" sqref="V1165" allowBlank="true" errorStyle="stop" showErrorMessage="true" showInputMessage="true">
      <formula1>"Mercado Envios por conta do comprador,Mercado Envios grátis"</formula1>
    </dataValidation>
    <dataValidation type="list" sqref="W1165" allowBlank="true" errorStyle="stop" showErrorMessage="true" showInputMessage="true">
      <formula1>"Clássico,Premium"</formula1>
    </dataValidation>
    <dataValidation type="list" sqref="J1166" allowBlank="true" errorStyle="stop" showErrorMessage="true" showInputMessage="true">
      <formula1>"R$"</formula1>
    </dataValidation>
    <dataValidation type="list" sqref="K1166" allowBlank="true" errorStyle="stop" showErrorMessage="true" showInputMessage="true">
      <formula1>"Com impostos,Sem impostos"</formula1>
    </dataValidation>
    <dataValidation type="list" sqref="V1166" allowBlank="true" errorStyle="stop" showErrorMessage="true" showInputMessage="true">
      <formula1>"Mercado Envios por conta do comprador,Mercado Envios grátis"</formula1>
    </dataValidation>
    <dataValidation type="list" sqref="W1166" allowBlank="true" errorStyle="stop" showErrorMessage="true" showInputMessage="true">
      <formula1>"Clássico,Premium"</formula1>
    </dataValidation>
    <dataValidation type="list" sqref="J1167" allowBlank="true" errorStyle="stop" showErrorMessage="true" showInputMessage="true">
      <formula1>"R$"</formula1>
    </dataValidation>
    <dataValidation type="list" sqref="K1167" allowBlank="true" errorStyle="stop" showErrorMessage="true" showInputMessage="true">
      <formula1>"Com impostos,Sem impostos"</formula1>
    </dataValidation>
    <dataValidation type="list" sqref="V1167" allowBlank="true" errorStyle="stop" showErrorMessage="true" showInputMessage="true">
      <formula1>"Mercado Envios por conta do comprador,Mercado Envios grátis"</formula1>
    </dataValidation>
    <dataValidation type="list" sqref="W1167" allowBlank="true" errorStyle="stop" showErrorMessage="true" showInputMessage="true">
      <formula1>"Clássico,Premium"</formula1>
    </dataValidation>
    <dataValidation type="list" sqref="J1168" allowBlank="true" errorStyle="stop" showErrorMessage="true" showInputMessage="true">
      <formula1>"R$"</formula1>
    </dataValidation>
    <dataValidation type="list" sqref="V1168" allowBlank="true" errorStyle="stop" showErrorMessage="true" showInputMessage="true">
      <formula1>"Mercado Envios por conta do comprador,Mercado Envios grátis"</formula1>
    </dataValidation>
    <dataValidation type="list" sqref="W1168" allowBlank="true" errorStyle="stop" showErrorMessage="true" showInputMessage="true">
      <formula1>"Clássico,Premium"</formula1>
    </dataValidation>
    <dataValidation type="list" sqref="J1171" allowBlank="true" errorStyle="stop" showErrorMessage="true" showInputMessage="true">
      <formula1>"R$"</formula1>
    </dataValidation>
    <dataValidation type="list" sqref="V1171" allowBlank="true" errorStyle="stop" showErrorMessage="true" showInputMessage="true">
      <formula1>"Mercado Envios por conta do comprador,Mercado Envios grátis"</formula1>
    </dataValidation>
    <dataValidation type="list" sqref="W1171" allowBlank="true" errorStyle="stop" showErrorMessage="true" showInputMessage="true">
      <formula1>"Clássico,Premium"</formula1>
    </dataValidation>
    <dataValidation type="list" sqref="J1174" allowBlank="true" errorStyle="stop" showErrorMessage="true" showInputMessage="true">
      <formula1>"R$"</formula1>
    </dataValidation>
    <dataValidation type="list" sqref="K1174" allowBlank="true" errorStyle="stop" showErrorMessage="true" showInputMessage="true">
      <formula1>"Com impostos,Sem impostos"</formula1>
    </dataValidation>
    <dataValidation type="list" sqref="V1174" allowBlank="true" errorStyle="stop" showErrorMessage="true" showInputMessage="true">
      <formula1>"Mercado Envios por conta do comprador,Mercado Envios grátis"</formula1>
    </dataValidation>
    <dataValidation type="list" sqref="W1174" allowBlank="true" errorStyle="stop" showErrorMessage="true" showInputMessage="true">
      <formula1>"Clássico,Premium"</formula1>
    </dataValidation>
    <dataValidation type="list" sqref="J1175" allowBlank="true" errorStyle="stop" showErrorMessage="true" showInputMessage="true">
      <formula1>"R$"</formula1>
    </dataValidation>
    <dataValidation type="list" sqref="K1175" allowBlank="true" errorStyle="stop" showErrorMessage="true" showInputMessage="true">
      <formula1>"Com impostos,Sem impostos"</formula1>
    </dataValidation>
    <dataValidation type="list" sqref="V1175" allowBlank="true" errorStyle="stop" showErrorMessage="true" showInputMessage="true">
      <formula1>"Mercado Envios por conta do comprador,Mercado Envios grátis"</formula1>
    </dataValidation>
    <dataValidation type="list" sqref="W1175" allowBlank="true" errorStyle="stop" showErrorMessage="true" showInputMessage="true">
      <formula1>"Clássico,Premium"</formula1>
    </dataValidation>
    <dataValidation type="list" sqref="J1176" allowBlank="true" errorStyle="stop" showErrorMessage="true" showInputMessage="true">
      <formula1>"R$"</formula1>
    </dataValidation>
    <dataValidation type="list" sqref="K1176" allowBlank="true" errorStyle="stop" showErrorMessage="true" showInputMessage="true">
      <formula1>"Com impostos,Sem impostos"</formula1>
    </dataValidation>
    <dataValidation type="list" sqref="V1176" allowBlank="true" errorStyle="stop" showErrorMessage="true" showInputMessage="true">
      <formula1>"Mercado Envios por conta do comprador,Mercado Envios grátis"</formula1>
    </dataValidation>
    <dataValidation type="list" sqref="W1176" allowBlank="true" errorStyle="stop" showErrorMessage="true" showInputMessage="true">
      <formula1>"Clássico,Premium"</formula1>
    </dataValidation>
    <dataValidation type="list" sqref="J1177" allowBlank="true" errorStyle="stop" showErrorMessage="true" showInputMessage="true">
      <formula1>"R$"</formula1>
    </dataValidation>
    <dataValidation type="list" sqref="K1177" allowBlank="true" errorStyle="stop" showErrorMessage="true" showInputMessage="true">
      <formula1>"Com impostos,Sem impostos"</formula1>
    </dataValidation>
    <dataValidation type="list" sqref="V1177" allowBlank="true" errorStyle="stop" showErrorMessage="true" showInputMessage="true">
      <formula1>"Mercado Envios por conta do comprador,Mercado Envios grátis"</formula1>
    </dataValidation>
    <dataValidation type="list" sqref="W1177" allowBlank="true" errorStyle="stop" showErrorMessage="true" showInputMessage="true">
      <formula1>"Clássico,Premium"</formula1>
    </dataValidation>
    <dataValidation type="list" sqref="J1178" allowBlank="true" errorStyle="stop" showErrorMessage="true" showInputMessage="true">
      <formula1>"R$"</formula1>
    </dataValidation>
    <dataValidation type="list" sqref="K1178" allowBlank="true" errorStyle="stop" showErrorMessage="true" showInputMessage="true">
      <formula1>"Com impostos,Sem impostos"</formula1>
    </dataValidation>
    <dataValidation type="list" sqref="V1178" allowBlank="true" errorStyle="stop" showErrorMessage="true" showInputMessage="true">
      <formula1>"Mercado Envios por conta do comprador,Mercado Envios grátis"</formula1>
    </dataValidation>
    <dataValidation type="list" sqref="W1178" allowBlank="true" errorStyle="stop" showErrorMessage="true" showInputMessage="true">
      <formula1>"Clássico,Premium"</formula1>
    </dataValidation>
    <dataValidation type="list" sqref="J1179" allowBlank="true" errorStyle="stop" showErrorMessage="true" showInputMessage="true">
      <formula1>"R$"</formula1>
    </dataValidation>
    <dataValidation type="list" sqref="K1179" allowBlank="true" errorStyle="stop" showErrorMessage="true" showInputMessage="true">
      <formula1>"Com impostos,Sem impostos"</formula1>
    </dataValidation>
    <dataValidation type="list" sqref="V1179" allowBlank="true" errorStyle="stop" showErrorMessage="true" showInputMessage="true">
      <formula1>"Mercado Envios por conta do comprador,Mercado Envios grátis"</formula1>
    </dataValidation>
    <dataValidation type="list" sqref="W1179" allowBlank="true" errorStyle="stop" showErrorMessage="true" showInputMessage="true">
      <formula1>"Clássico,Premium"</formula1>
    </dataValidation>
    <dataValidation type="list" sqref="J1180" allowBlank="true" errorStyle="stop" showErrorMessage="true" showInputMessage="true">
      <formula1>"R$"</formula1>
    </dataValidation>
    <dataValidation type="list" sqref="K1180" allowBlank="true" errorStyle="stop" showErrorMessage="true" showInputMessage="true">
      <formula1>"Com impostos,Sem impostos"</formula1>
    </dataValidation>
    <dataValidation type="list" sqref="V1180" allowBlank="true" errorStyle="stop" showErrorMessage="true" showInputMessage="true">
      <formula1>"Mercado Envios por conta do comprador,Mercado Envios grátis"</formula1>
    </dataValidation>
    <dataValidation type="list" sqref="W1180" allowBlank="true" errorStyle="stop" showErrorMessage="true" showInputMessage="true">
      <formula1>"Clássico,Premium"</formula1>
    </dataValidation>
    <dataValidation type="list" sqref="J1181" allowBlank="true" errorStyle="stop" showErrorMessage="true" showInputMessage="true">
      <formula1>"R$"</formula1>
    </dataValidation>
    <dataValidation type="list" sqref="K1181" allowBlank="true" errorStyle="stop" showErrorMessage="true" showInputMessage="true">
      <formula1>"Com impostos,Sem impostos"</formula1>
    </dataValidation>
    <dataValidation type="list" sqref="V1181" allowBlank="true" errorStyle="stop" showErrorMessage="true" showInputMessage="true">
      <formula1>"Mercado Envios por conta do comprador,Mercado Envios grátis"</formula1>
    </dataValidation>
    <dataValidation type="list" sqref="W1181" allowBlank="true" errorStyle="stop" showErrorMessage="true" showInputMessage="true">
      <formula1>"Clássico,Premium"</formula1>
    </dataValidation>
    <dataValidation type="list" sqref="J1182" allowBlank="true" errorStyle="stop" showErrorMessage="true" showInputMessage="true">
      <formula1>"R$"</formula1>
    </dataValidation>
    <dataValidation type="list" sqref="K1182" allowBlank="true" errorStyle="stop" showErrorMessage="true" showInputMessage="true">
      <formula1>"Com impostos,Sem impostos"</formula1>
    </dataValidation>
    <dataValidation type="list" sqref="V1182" allowBlank="true" errorStyle="stop" showErrorMessage="true" showInputMessage="true">
      <formula1>"Mercado Envios por conta do comprador,Mercado Envios grátis"</formula1>
    </dataValidation>
    <dataValidation type="list" sqref="W1182" allowBlank="true" errorStyle="stop" showErrorMessage="true" showInputMessage="true">
      <formula1>"Clássico,Premium"</formula1>
    </dataValidation>
    <dataValidation type="list" sqref="J1183" allowBlank="true" errorStyle="stop" showErrorMessage="true" showInputMessage="true">
      <formula1>"R$"</formula1>
    </dataValidation>
    <dataValidation type="list" sqref="K1183" allowBlank="true" errorStyle="stop" showErrorMessage="true" showInputMessage="true">
      <formula1>"Com impostos,Sem impostos"</formula1>
    </dataValidation>
    <dataValidation type="list" sqref="V1183" allowBlank="true" errorStyle="stop" showErrorMessage="true" showInputMessage="true">
      <formula1>"Mercado Envios por conta do comprador,Mercado Envios grátis"</formula1>
    </dataValidation>
    <dataValidation type="list" sqref="W1183" allowBlank="true" errorStyle="stop" showErrorMessage="true" showInputMessage="true">
      <formula1>"Clássico,Premium"</formula1>
    </dataValidation>
    <dataValidation type="list" sqref="J1184" allowBlank="true" errorStyle="stop" showErrorMessage="true" showInputMessage="true">
      <formula1>"R$"</formula1>
    </dataValidation>
    <dataValidation type="list" sqref="K1184" allowBlank="true" errorStyle="stop" showErrorMessage="true" showInputMessage="true">
      <formula1>"Com impostos,Sem impostos"</formula1>
    </dataValidation>
    <dataValidation type="list" sqref="V1184" allowBlank="true" errorStyle="stop" showErrorMessage="true" showInputMessage="true">
      <formula1>"Mercado Envios por conta do comprador,Mercado Envios grátis"</formula1>
    </dataValidation>
    <dataValidation type="list" sqref="W1184" allowBlank="true" errorStyle="stop" showErrorMessage="true" showInputMessage="true">
      <formula1>"Clássico,Premium"</formula1>
    </dataValidation>
    <dataValidation type="list" sqref="J1185" allowBlank="true" errorStyle="stop" showErrorMessage="true" showInputMessage="true">
      <formula1>"R$"</formula1>
    </dataValidation>
    <dataValidation type="list" sqref="K1185" allowBlank="true" errorStyle="stop" showErrorMessage="true" showInputMessage="true">
      <formula1>"Com impostos,Sem impostos"</formula1>
    </dataValidation>
    <dataValidation type="list" sqref="V1185" allowBlank="true" errorStyle="stop" showErrorMessage="true" showInputMessage="true">
      <formula1>"Mercado Envios por conta do comprador,Mercado Envios grátis"</formula1>
    </dataValidation>
    <dataValidation type="list" sqref="W1185" allowBlank="true" errorStyle="stop" showErrorMessage="true" showInputMessage="true">
      <formula1>"Clássico,Premium"</formula1>
    </dataValidation>
    <dataValidation type="list" sqref="J1186" allowBlank="true" errorStyle="stop" showErrorMessage="true" showInputMessage="true">
      <formula1>"R$"</formula1>
    </dataValidation>
    <dataValidation type="list" sqref="K1186" allowBlank="true" errorStyle="stop" showErrorMessage="true" showInputMessage="true">
      <formula1>"Com impostos,Sem impostos"</formula1>
    </dataValidation>
    <dataValidation type="list" sqref="V1186" allowBlank="true" errorStyle="stop" showErrorMessage="true" showInputMessage="true">
      <formula1>"Mercado Envios por conta do comprador,Mercado Envios grátis"</formula1>
    </dataValidation>
    <dataValidation type="list" sqref="W1186" allowBlank="true" errorStyle="stop" showErrorMessage="true" showInputMessage="true">
      <formula1>"Clássico,Premium"</formula1>
    </dataValidation>
    <dataValidation type="list" sqref="J1187" allowBlank="true" errorStyle="stop" showErrorMessage="true" showInputMessage="true">
      <formula1>"R$"</formula1>
    </dataValidation>
    <dataValidation type="list" sqref="K1187" allowBlank="true" errorStyle="stop" showErrorMessage="true" showInputMessage="true">
      <formula1>"Com impostos,Sem impostos"</formula1>
    </dataValidation>
    <dataValidation type="list" sqref="V1187" allowBlank="true" errorStyle="stop" showErrorMessage="true" showInputMessage="true">
      <formula1>"Mercado Envios por conta do comprador,Mercado Envios grátis"</formula1>
    </dataValidation>
    <dataValidation type="list" sqref="W1187" allowBlank="true" errorStyle="stop" showErrorMessage="true" showInputMessage="true">
      <formula1>"Clássico,Premium"</formula1>
    </dataValidation>
    <dataValidation type="list" sqref="J1188" allowBlank="true" errorStyle="stop" showErrorMessage="true" showInputMessage="true">
      <formula1>"R$"</formula1>
    </dataValidation>
    <dataValidation type="list" sqref="K1188" allowBlank="true" errorStyle="stop" showErrorMessage="true" showInputMessage="true">
      <formula1>"Com impostos,Sem impostos"</formula1>
    </dataValidation>
    <dataValidation type="list" sqref="V1188" allowBlank="true" errorStyle="stop" showErrorMessage="true" showInputMessage="true">
      <formula1>"Mercado Envios por conta do comprador,Mercado Envios grátis"</formula1>
    </dataValidation>
    <dataValidation type="list" sqref="W1188" allowBlank="true" errorStyle="stop" showErrorMessage="true" showInputMessage="true">
      <formula1>"Clássico,Premium"</formula1>
    </dataValidation>
    <dataValidation type="list" sqref="J1189" allowBlank="true" errorStyle="stop" showErrorMessage="true" showInputMessage="true">
      <formula1>"R$"</formula1>
    </dataValidation>
    <dataValidation type="list" sqref="K1189" allowBlank="true" errorStyle="stop" showErrorMessage="true" showInputMessage="true">
      <formula1>"Com impostos,Sem impostos"</formula1>
    </dataValidation>
    <dataValidation type="list" sqref="V1189" allowBlank="true" errorStyle="stop" showErrorMessage="true" showInputMessage="true">
      <formula1>"Mercado Envios por conta do comprador,Mercado Envios grátis"</formula1>
    </dataValidation>
    <dataValidation type="list" sqref="W1189" allowBlank="true" errorStyle="stop" showErrorMessage="true" showInputMessage="true">
      <formula1>"Clássico,Premium"</formula1>
    </dataValidation>
    <dataValidation type="list" sqref="J1190" allowBlank="true" errorStyle="stop" showErrorMessage="true" showInputMessage="true">
      <formula1>"R$"</formula1>
    </dataValidation>
    <dataValidation type="list" sqref="K1190" allowBlank="true" errorStyle="stop" showErrorMessage="true" showInputMessage="true">
      <formula1>"Com impostos,Sem impostos"</formula1>
    </dataValidation>
    <dataValidation type="list" sqref="V1190" allowBlank="true" errorStyle="stop" showErrorMessage="true" showInputMessage="true">
      <formula1>"Mercado Envios por conta do comprador,Mercado Envios grátis"</formula1>
    </dataValidation>
    <dataValidation type="list" sqref="W1190" allowBlank="true" errorStyle="stop" showErrorMessage="true" showInputMessage="true">
      <formula1>"Clássico,Premium"</formula1>
    </dataValidation>
    <dataValidation type="list" sqref="J1191" allowBlank="true" errorStyle="stop" showErrorMessage="true" showInputMessage="true">
      <formula1>"R$"</formula1>
    </dataValidation>
    <dataValidation type="list" sqref="K1191" allowBlank="true" errorStyle="stop" showErrorMessage="true" showInputMessage="true">
      <formula1>"Com impostos,Sem impostos"</formula1>
    </dataValidation>
    <dataValidation type="list" sqref="V1191" allowBlank="true" errorStyle="stop" showErrorMessage="true" showInputMessage="true">
      <formula1>"Mercado Envios por conta do comprador,Mercado Envios grátis"</formula1>
    </dataValidation>
    <dataValidation type="list" sqref="W1191" allowBlank="true" errorStyle="stop" showErrorMessage="true" showInputMessage="true">
      <formula1>"Clássico,Premium"</formula1>
    </dataValidation>
    <dataValidation type="list" sqref="J1192" allowBlank="true" errorStyle="stop" showErrorMessage="true" showInputMessage="true">
      <formula1>"R$"</formula1>
    </dataValidation>
    <dataValidation type="list" sqref="K1192" allowBlank="true" errorStyle="stop" showErrorMessage="true" showInputMessage="true">
      <formula1>"Com impostos,Sem impostos"</formula1>
    </dataValidation>
    <dataValidation type="list" sqref="V1192" allowBlank="true" errorStyle="stop" showErrorMessage="true" showInputMessage="true">
      <formula1>"Mercado Envios por conta do comprador,Mercado Envios grátis"</formula1>
    </dataValidation>
    <dataValidation type="list" sqref="W1192" allowBlank="true" errorStyle="stop" showErrorMessage="true" showInputMessage="true">
      <formula1>"Clássico,Premium"</formula1>
    </dataValidation>
    <dataValidation type="list" sqref="J1193" allowBlank="true" errorStyle="stop" showErrorMessage="true" showInputMessage="true">
      <formula1>"R$"</formula1>
    </dataValidation>
    <dataValidation type="list" sqref="K1193" allowBlank="true" errorStyle="stop" showErrorMessage="true" showInputMessage="true">
      <formula1>"Com impostos,Sem impostos"</formula1>
    </dataValidation>
    <dataValidation type="list" sqref="V1193" allowBlank="true" errorStyle="stop" showErrorMessage="true" showInputMessage="true">
      <formula1>"Mercado Envios por conta do comprador,Mercado Envios grátis"</formula1>
    </dataValidation>
    <dataValidation type="list" sqref="W1193" allowBlank="true" errorStyle="stop" showErrorMessage="true" showInputMessage="true">
      <formula1>"Clássico,Premium"</formula1>
    </dataValidation>
    <dataValidation type="list" sqref="J1194" allowBlank="true" errorStyle="stop" showErrorMessage="true" showInputMessage="true">
      <formula1>"R$"</formula1>
    </dataValidation>
    <dataValidation type="list" sqref="K1194" allowBlank="true" errorStyle="stop" showErrorMessage="true" showInputMessage="true">
      <formula1>"Com impostos,Sem impostos"</formula1>
    </dataValidation>
    <dataValidation type="list" sqref="V1194" allowBlank="true" errorStyle="stop" showErrorMessage="true" showInputMessage="true">
      <formula1>"Mercado Envios por conta do comprador,Mercado Envios grátis"</formula1>
    </dataValidation>
    <dataValidation type="list" sqref="W1194" allowBlank="true" errorStyle="stop" showErrorMessage="true" showInputMessage="true">
      <formula1>"Clássico,Premium"</formula1>
    </dataValidation>
    <dataValidation type="list" sqref="J1195" allowBlank="true" errorStyle="stop" showErrorMessage="true" showInputMessage="true">
      <formula1>"R$"</formula1>
    </dataValidation>
    <dataValidation type="list" sqref="K1195" allowBlank="true" errorStyle="stop" showErrorMessage="true" showInputMessage="true">
      <formula1>"Com impostos,Sem impostos"</formula1>
    </dataValidation>
    <dataValidation type="list" sqref="V1195" allowBlank="true" errorStyle="stop" showErrorMessage="true" showInputMessage="true">
      <formula1>"Mercado Envios por conta do comprador,Mercado Envios grátis"</formula1>
    </dataValidation>
    <dataValidation type="list" sqref="W1195" allowBlank="true" errorStyle="stop" showErrorMessage="true" showInputMessage="true">
      <formula1>"Clássico,Premium"</formula1>
    </dataValidation>
    <dataValidation type="list" sqref="J1196" allowBlank="true" errorStyle="stop" showErrorMessage="true" showInputMessage="true">
      <formula1>"R$"</formula1>
    </dataValidation>
    <dataValidation type="list" sqref="V1196" allowBlank="true" errorStyle="stop" showErrorMessage="true" showInputMessage="true">
      <formula1>"Mercado Envios por conta do comprador,Mercado Envios grátis"</formula1>
    </dataValidation>
    <dataValidation type="list" sqref="W1196" allowBlank="true" errorStyle="stop" showErrorMessage="true" showInputMessage="true">
      <formula1>"Clássico,Premium"</formula1>
    </dataValidation>
    <dataValidation type="list" sqref="J1199" allowBlank="true" errorStyle="stop" showErrorMessage="true" showInputMessage="true">
      <formula1>"R$"</formula1>
    </dataValidation>
    <dataValidation type="list" sqref="K1199" allowBlank="true" errorStyle="stop" showErrorMessage="true" showInputMessage="true">
      <formula1>"Com impostos,Sem impostos"</formula1>
    </dataValidation>
    <dataValidation type="list" sqref="V1199" allowBlank="true" errorStyle="stop" showErrorMessage="true" showInputMessage="true">
      <formula1>"Mercado Envios por conta do comprador,Mercado Envios grátis"</formula1>
    </dataValidation>
    <dataValidation type="list" sqref="W1199" allowBlank="true" errorStyle="stop" showErrorMessage="true" showInputMessage="true">
      <formula1>"Clássico,Premium"</formula1>
    </dataValidation>
    <dataValidation type="list" sqref="J1200" allowBlank="true" errorStyle="stop" showErrorMessage="true" showInputMessage="true">
      <formula1>"R$"</formula1>
    </dataValidation>
    <dataValidation type="list" sqref="K1200" allowBlank="true" errorStyle="stop" showErrorMessage="true" showInputMessage="true">
      <formula1>"Com impostos,Sem impostos"</formula1>
    </dataValidation>
    <dataValidation type="list" sqref="V1200" allowBlank="true" errorStyle="stop" showErrorMessage="true" showInputMessage="true">
      <formula1>"Mercado Envios por conta do comprador,Mercado Envios grátis"</formula1>
    </dataValidation>
    <dataValidation type="list" sqref="W1200" allowBlank="true" errorStyle="stop" showErrorMessage="true" showInputMessage="true">
      <formula1>"Clássico,Premium"</formula1>
    </dataValidation>
    <dataValidation type="list" sqref="J1201" allowBlank="true" errorStyle="stop" showErrorMessage="true" showInputMessage="true">
      <formula1>"R$"</formula1>
    </dataValidation>
    <dataValidation type="list" sqref="K1201" allowBlank="true" errorStyle="stop" showErrorMessage="true" showInputMessage="true">
      <formula1>"Com impostos,Sem impostos"</formula1>
    </dataValidation>
    <dataValidation type="list" sqref="V1201" allowBlank="true" errorStyle="stop" showErrorMessage="true" showInputMessage="true">
      <formula1>"Mercado Envios por conta do comprador,Mercado Envios grátis"</formula1>
    </dataValidation>
    <dataValidation type="list" sqref="W1201" allowBlank="true" errorStyle="stop" showErrorMessage="true" showInputMessage="true">
      <formula1>"Clássico,Premium"</formula1>
    </dataValidation>
    <dataValidation type="list" sqref="J1202" allowBlank="true" errorStyle="stop" showErrorMessage="true" showInputMessage="true">
      <formula1>"R$"</formula1>
    </dataValidation>
    <dataValidation type="list" sqref="K1202" allowBlank="true" errorStyle="stop" showErrorMessage="true" showInputMessage="true">
      <formula1>"Com impostos,Sem impostos"</formula1>
    </dataValidation>
    <dataValidation type="list" sqref="V1202" allowBlank="true" errorStyle="stop" showErrorMessage="true" showInputMessage="true">
      <formula1>"Mercado Envios por conta do comprador,Mercado Envios grátis"</formula1>
    </dataValidation>
    <dataValidation type="list" sqref="W1202" allowBlank="true" errorStyle="stop" showErrorMessage="true" showInputMessage="true">
      <formula1>"Clássico,Premium"</formula1>
    </dataValidation>
    <dataValidation type="list" sqref="J1203" allowBlank="true" errorStyle="stop" showErrorMessage="true" showInputMessage="true">
      <formula1>"R$"</formula1>
    </dataValidation>
    <dataValidation type="list" sqref="K1203" allowBlank="true" errorStyle="stop" showErrorMessage="true" showInputMessage="true">
      <formula1>"Com impostos,Sem impostos"</formula1>
    </dataValidation>
    <dataValidation type="list" sqref="V1203" allowBlank="true" errorStyle="stop" showErrorMessage="true" showInputMessage="true">
      <formula1>"Mercado Envios por conta do comprador,Mercado Envios grátis"</formula1>
    </dataValidation>
    <dataValidation type="list" sqref="W1203" allowBlank="true" errorStyle="stop" showErrorMessage="true" showInputMessage="true">
      <formula1>"Clássico,Premium"</formula1>
    </dataValidation>
    <dataValidation type="list" sqref="J1204" allowBlank="true" errorStyle="stop" showErrorMessage="true" showInputMessage="true">
      <formula1>"R$"</formula1>
    </dataValidation>
    <dataValidation type="list" sqref="K1204" allowBlank="true" errorStyle="stop" showErrorMessage="true" showInputMessage="true">
      <formula1>"Com impostos,Sem impostos"</formula1>
    </dataValidation>
    <dataValidation type="list" sqref="V1204" allowBlank="true" errorStyle="stop" showErrorMessage="true" showInputMessage="true">
      <formula1>"Mercado Envios por conta do comprador,Mercado Envios grátis"</formula1>
    </dataValidation>
    <dataValidation type="list" sqref="W1204" allowBlank="true" errorStyle="stop" showErrorMessage="true" showInputMessage="true">
      <formula1>"Clássico,Premium"</formula1>
    </dataValidation>
    <dataValidation type="list" sqref="J1205" allowBlank="true" errorStyle="stop" showErrorMessage="true" showInputMessage="true">
      <formula1>"R$"</formula1>
    </dataValidation>
    <dataValidation type="list" sqref="K1205" allowBlank="true" errorStyle="stop" showErrorMessage="true" showInputMessage="true">
      <formula1>"Com impostos,Sem impostos"</formula1>
    </dataValidation>
    <dataValidation type="list" sqref="V1205" allowBlank="true" errorStyle="stop" showErrorMessage="true" showInputMessage="true">
      <formula1>"Mercado Envios por conta do comprador,Mercado Envios grátis"</formula1>
    </dataValidation>
    <dataValidation type="list" sqref="W1205" allowBlank="true" errorStyle="stop" showErrorMessage="true" showInputMessage="true">
      <formula1>"Clássico,Premium"</formula1>
    </dataValidation>
    <dataValidation type="list" sqref="J1206" allowBlank="true" errorStyle="stop" showErrorMessage="true" showInputMessage="true">
      <formula1>"R$"</formula1>
    </dataValidation>
    <dataValidation type="list" sqref="K1206" allowBlank="true" errorStyle="stop" showErrorMessage="true" showInputMessage="true">
      <formula1>"Com impostos,Sem impostos"</formula1>
    </dataValidation>
    <dataValidation type="list" sqref="V1206" allowBlank="true" errorStyle="stop" showErrorMessage="true" showInputMessage="true">
      <formula1>"Mercado Envios por conta do comprador,Mercado Envios grátis"</formula1>
    </dataValidation>
    <dataValidation type="list" sqref="W1206" allowBlank="true" errorStyle="stop" showErrorMessage="true" showInputMessage="true">
      <formula1>"Clássico,Premium"</formula1>
    </dataValidation>
    <dataValidation type="list" sqref="J1207" allowBlank="true" errorStyle="stop" showErrorMessage="true" showInputMessage="true">
      <formula1>"R$"</formula1>
    </dataValidation>
    <dataValidation type="list" sqref="K1207" allowBlank="true" errorStyle="stop" showErrorMessage="true" showInputMessage="true">
      <formula1>"Com impostos,Sem impostos"</formula1>
    </dataValidation>
    <dataValidation type="list" sqref="V1207" allowBlank="true" errorStyle="stop" showErrorMessage="true" showInputMessage="true">
      <formula1>"Mercado Envios por conta do comprador,Mercado Envios grátis"</formula1>
    </dataValidation>
    <dataValidation type="list" sqref="W1207" allowBlank="true" errorStyle="stop" showErrorMessage="true" showInputMessage="true">
      <formula1>"Clássico,Premium"</formula1>
    </dataValidation>
    <dataValidation type="list" sqref="J1208" allowBlank="true" errorStyle="stop" showErrorMessage="true" showInputMessage="true">
      <formula1>"R$"</formula1>
    </dataValidation>
    <dataValidation type="list" sqref="K1208" allowBlank="true" errorStyle="stop" showErrorMessage="true" showInputMessage="true">
      <formula1>"Com impostos,Sem impostos"</formula1>
    </dataValidation>
    <dataValidation type="list" sqref="V1208" allowBlank="true" errorStyle="stop" showErrorMessage="true" showInputMessage="true">
      <formula1>"Mercado Envios por conta do comprador,Mercado Envios grátis"</formula1>
    </dataValidation>
    <dataValidation type="list" sqref="W1208" allowBlank="true" errorStyle="stop" showErrorMessage="true" showInputMessage="true">
      <formula1>"Clássico,Premium"</formula1>
    </dataValidation>
    <dataValidation type="list" sqref="J1209" allowBlank="true" errorStyle="stop" showErrorMessage="true" showInputMessage="true">
      <formula1>"R$"</formula1>
    </dataValidation>
    <dataValidation type="list" sqref="K1209" allowBlank="true" errorStyle="stop" showErrorMessage="true" showInputMessage="true">
      <formula1>"Com impostos,Sem impostos"</formula1>
    </dataValidation>
    <dataValidation type="list" sqref="V1209" allowBlank="true" errorStyle="stop" showErrorMessage="true" showInputMessage="true">
      <formula1>"Mercado Envios por conta do comprador,Mercado Envios grátis"</formula1>
    </dataValidation>
    <dataValidation type="list" sqref="W1209" allowBlank="true" errorStyle="stop" showErrorMessage="true" showInputMessage="true">
      <formula1>"Clássico,Premium"</formula1>
    </dataValidation>
    <dataValidation type="list" sqref="J1210" allowBlank="true" errorStyle="stop" showErrorMessage="true" showInputMessage="true">
      <formula1>"R$"</formula1>
    </dataValidation>
    <dataValidation type="list" sqref="K1210" allowBlank="true" errorStyle="stop" showErrorMessage="true" showInputMessage="true">
      <formula1>"Com impostos,Sem impostos"</formula1>
    </dataValidation>
    <dataValidation type="list" sqref="V1210" allowBlank="true" errorStyle="stop" showErrorMessage="true" showInputMessage="true">
      <formula1>"Mercado Envios por conta do comprador,Mercado Envios grátis"</formula1>
    </dataValidation>
    <dataValidation type="list" sqref="W1210" allowBlank="true" errorStyle="stop" showErrorMessage="true" showInputMessage="true">
      <formula1>"Clássico,Premium"</formula1>
    </dataValidation>
    <dataValidation type="list" sqref="J1211" allowBlank="true" errorStyle="stop" showErrorMessage="true" showInputMessage="true">
      <formula1>"R$"</formula1>
    </dataValidation>
    <dataValidation type="list" sqref="K1211" allowBlank="true" errorStyle="stop" showErrorMessage="true" showInputMessage="true">
      <formula1>"Com impostos,Sem impostos"</formula1>
    </dataValidation>
    <dataValidation type="list" sqref="V1211" allowBlank="true" errorStyle="stop" showErrorMessage="true" showInputMessage="true">
      <formula1>"Mercado Envios por conta do comprador,Mercado Envios grátis"</formula1>
    </dataValidation>
    <dataValidation type="list" sqref="W1211" allowBlank="true" errorStyle="stop" showErrorMessage="true" showInputMessage="true">
      <formula1>"Clássico,Premium"</formula1>
    </dataValidation>
    <dataValidation type="list" sqref="J1212" allowBlank="true" errorStyle="stop" showErrorMessage="true" showInputMessage="true">
      <formula1>"R$"</formula1>
    </dataValidation>
    <dataValidation type="list" sqref="K1212" allowBlank="true" errorStyle="stop" showErrorMessage="true" showInputMessage="true">
      <formula1>"Com impostos,Sem impostos"</formula1>
    </dataValidation>
    <dataValidation type="list" sqref="V1212" allowBlank="true" errorStyle="stop" showErrorMessage="true" showInputMessage="true">
      <formula1>"Mercado Envios por conta do comprador,Mercado Envios grátis"</formula1>
    </dataValidation>
    <dataValidation type="list" sqref="W1212" allowBlank="true" errorStyle="stop" showErrorMessage="true" showInputMessage="true">
      <formula1>"Clássico,Premium"</formula1>
    </dataValidation>
    <dataValidation type="list" sqref="J1213" allowBlank="true" errorStyle="stop" showErrorMessage="true" showInputMessage="true">
      <formula1>"R$"</formula1>
    </dataValidation>
    <dataValidation type="list" sqref="V1213" allowBlank="true" errorStyle="stop" showErrorMessage="true" showInputMessage="true">
      <formula1>"Mercado Envios por conta do comprador,Mercado Envios grátis"</formula1>
    </dataValidation>
    <dataValidation type="list" sqref="W1213" allowBlank="true" errorStyle="stop" showErrorMessage="true" showInputMessage="true">
      <formula1>"Clássico,Premium"</formula1>
    </dataValidation>
    <dataValidation type="list" sqref="J1216" allowBlank="true" errorStyle="stop" showErrorMessage="true" showInputMessage="true">
      <formula1>"R$"</formula1>
    </dataValidation>
    <dataValidation type="list" sqref="K1216" allowBlank="true" errorStyle="stop" showErrorMessage="true" showInputMessage="true">
      <formula1>"Com impostos,Sem impostos"</formula1>
    </dataValidation>
    <dataValidation type="list" sqref="V1216" allowBlank="true" errorStyle="stop" showErrorMessage="true" showInputMessage="true">
      <formula1>"Mercado Envios por conta do comprador,Mercado Envios grátis"</formula1>
    </dataValidation>
    <dataValidation type="list" sqref="W1216" allowBlank="true" errorStyle="stop" showErrorMessage="true" showInputMessage="true">
      <formula1>"Clássico,Premium"</formula1>
    </dataValidation>
    <dataValidation type="list" sqref="J1217" allowBlank="true" errorStyle="stop" showErrorMessage="true" showInputMessage="true">
      <formula1>"R$"</formula1>
    </dataValidation>
    <dataValidation type="list" sqref="V1217" allowBlank="true" errorStyle="stop" showErrorMessage="true" showInputMessage="true">
      <formula1>"Mercado Envios por conta do comprador,Mercado Envios grátis"</formula1>
    </dataValidation>
    <dataValidation type="list" sqref="W1217" allowBlank="true" errorStyle="stop" showErrorMessage="true" showInputMessage="true">
      <formula1>"Clássico,Premium"</formula1>
    </dataValidation>
    <dataValidation type="list" sqref="J1220" allowBlank="true" errorStyle="stop" showErrorMessage="true" showInputMessage="true">
      <formula1>"R$"</formula1>
    </dataValidation>
    <dataValidation type="list" sqref="K1220" allowBlank="true" errorStyle="stop" showErrorMessage="true" showInputMessage="true">
      <formula1>"Com impostos,Sem impostos"</formula1>
    </dataValidation>
    <dataValidation type="list" sqref="V1220" allowBlank="true" errorStyle="stop" showErrorMessage="true" showInputMessage="true">
      <formula1>"Mercado Envios por conta do comprador,Mercado Envios grátis"</formula1>
    </dataValidation>
    <dataValidation type="list" sqref="W1220" allowBlank="true" errorStyle="stop" showErrorMessage="true" showInputMessage="true">
      <formula1>"Clássico,Premium"</formula1>
    </dataValidation>
    <dataValidation type="list" sqref="J1221" allowBlank="true" errorStyle="stop" showErrorMessage="true" showInputMessage="true">
      <formula1>"R$"</formula1>
    </dataValidation>
    <dataValidation type="list" sqref="K1221" allowBlank="true" errorStyle="stop" showErrorMessage="true" showInputMessage="true">
      <formula1>"Com impostos,Sem impostos"</formula1>
    </dataValidation>
    <dataValidation type="list" sqref="V1221" allowBlank="true" errorStyle="stop" showErrorMessage="true" showInputMessage="true">
      <formula1>"Mercado Envios por conta do comprador,Mercado Envios grátis"</formula1>
    </dataValidation>
    <dataValidation type="list" sqref="W1221" allowBlank="true" errorStyle="stop" showErrorMessage="true" showInputMessage="true">
      <formula1>"Clássico,Premium"</formula1>
    </dataValidation>
    <dataValidation type="list" sqref="J1222" allowBlank="true" errorStyle="stop" showErrorMessage="true" showInputMessage="true">
      <formula1>"R$"</formula1>
    </dataValidation>
    <dataValidation type="list" sqref="K1222" allowBlank="true" errorStyle="stop" showErrorMessage="true" showInputMessage="true">
      <formula1>"Com impostos,Sem impostos"</formula1>
    </dataValidation>
    <dataValidation type="list" sqref="V1222" allowBlank="true" errorStyle="stop" showErrorMessage="true" showInputMessage="true">
      <formula1>"Mercado Envios por conta do comprador,Mercado Envios grátis"</formula1>
    </dataValidation>
    <dataValidation type="list" sqref="W1222" allowBlank="true" errorStyle="stop" showErrorMessage="true" showInputMessage="true">
      <formula1>"Clássico,Premium"</formula1>
    </dataValidation>
    <dataValidation type="list" sqref="J1223" allowBlank="true" errorStyle="stop" showErrorMessage="true" showInputMessage="true">
      <formula1>"R$"</formula1>
    </dataValidation>
    <dataValidation type="list" sqref="K1223" allowBlank="true" errorStyle="stop" showErrorMessage="true" showInputMessage="true">
      <formula1>"Com impostos,Sem impostos"</formula1>
    </dataValidation>
    <dataValidation type="list" sqref="V1223" allowBlank="true" errorStyle="stop" showErrorMessage="true" showInputMessage="true">
      <formula1>"Mercado Envios por conta do comprador,Mercado Envios grátis"</formula1>
    </dataValidation>
    <dataValidation type="list" sqref="W1223" allowBlank="true" errorStyle="stop" showErrorMessage="true" showInputMessage="true">
      <formula1>"Clássico,Premium"</formula1>
    </dataValidation>
    <dataValidation type="list" sqref="J1224" allowBlank="true" errorStyle="stop" showErrorMessage="true" showInputMessage="true">
      <formula1>"R$"</formula1>
    </dataValidation>
    <dataValidation type="list" sqref="V1224" allowBlank="true" errorStyle="stop" showErrorMessage="true" showInputMessage="true">
      <formula1>"Mercado Envios por conta do comprador,Mercado Envios grátis"</formula1>
    </dataValidation>
    <dataValidation type="list" sqref="W1224" allowBlank="true" errorStyle="stop" showErrorMessage="true" showInputMessage="true">
      <formula1>"Clássico,Premium"</formula1>
    </dataValidation>
    <dataValidation type="list" sqref="J1227" allowBlank="true" errorStyle="stop" showErrorMessage="true" showInputMessage="true">
      <formula1>"R$"</formula1>
    </dataValidation>
    <dataValidation type="list" sqref="K1227" allowBlank="true" errorStyle="stop" showErrorMessage="true" showInputMessage="true">
      <formula1>"Com impostos,Sem impostos"</formula1>
    </dataValidation>
    <dataValidation type="list" sqref="V1227" allowBlank="true" errorStyle="stop" showErrorMessage="true" showInputMessage="true">
      <formula1>"Mercado Envios por conta do comprador,Mercado Envios grátis"</formula1>
    </dataValidation>
    <dataValidation type="list" sqref="W1227" allowBlank="true" errorStyle="stop" showErrorMessage="true" showInputMessage="true">
      <formula1>"Clássico,Premium"</formula1>
    </dataValidation>
    <dataValidation type="list" sqref="J1228" allowBlank="true" errorStyle="stop" showErrorMessage="true" showInputMessage="true">
      <formula1>"R$"</formula1>
    </dataValidation>
    <dataValidation type="list" sqref="K1228" allowBlank="true" errorStyle="stop" showErrorMessage="true" showInputMessage="true">
      <formula1>"Com impostos,Sem impostos"</formula1>
    </dataValidation>
    <dataValidation type="list" sqref="V1228" allowBlank="true" errorStyle="stop" showErrorMessage="true" showInputMessage="true">
      <formula1>"Mercado Envios por conta do comprador,Mercado Envios grátis"</formula1>
    </dataValidation>
    <dataValidation type="list" sqref="W1228" allowBlank="true" errorStyle="stop" showErrorMessage="true" showInputMessage="true">
      <formula1>"Clássico,Premium"</formula1>
    </dataValidation>
    <dataValidation type="list" sqref="J1229" allowBlank="true" errorStyle="stop" showErrorMessage="true" showInputMessage="true">
      <formula1>"R$"</formula1>
    </dataValidation>
    <dataValidation type="list" sqref="K1229" allowBlank="true" errorStyle="stop" showErrorMessage="true" showInputMessage="true">
      <formula1>"Com impostos,Sem impostos"</formula1>
    </dataValidation>
    <dataValidation type="list" sqref="V1229" allowBlank="true" errorStyle="stop" showErrorMessage="true" showInputMessage="true">
      <formula1>"Mercado Envios por conta do comprador,Mercado Envios grátis"</formula1>
    </dataValidation>
    <dataValidation type="list" sqref="W1229" allowBlank="true" errorStyle="stop" showErrorMessage="true" showInputMessage="true">
      <formula1>"Clássico,Premium"</formula1>
    </dataValidation>
    <dataValidation type="list" sqref="J1230" allowBlank="true" errorStyle="stop" showErrorMessage="true" showInputMessage="true">
      <formula1>"R$"</formula1>
    </dataValidation>
    <dataValidation type="list" sqref="K1230" allowBlank="true" errorStyle="stop" showErrorMessage="true" showInputMessage="true">
      <formula1>"Com impostos,Sem impostos"</formula1>
    </dataValidation>
    <dataValidation type="list" sqref="V1230" allowBlank="true" errorStyle="stop" showErrorMessage="true" showInputMessage="true">
      <formula1>"Mercado Envios por conta do comprador,Mercado Envios grátis"</formula1>
    </dataValidation>
    <dataValidation type="list" sqref="W1230" allowBlank="true" errorStyle="stop" showErrorMessage="true" showInputMessage="true">
      <formula1>"Clássico,Premium"</formula1>
    </dataValidation>
    <dataValidation type="list" sqref="J1231" allowBlank="true" errorStyle="stop" showErrorMessage="true" showInputMessage="true">
      <formula1>"R$"</formula1>
    </dataValidation>
    <dataValidation type="list" sqref="K1231" allowBlank="true" errorStyle="stop" showErrorMessage="true" showInputMessage="true">
      <formula1>"Com impostos,Sem impostos"</formula1>
    </dataValidation>
    <dataValidation type="list" sqref="V1231" allowBlank="true" errorStyle="stop" showErrorMessage="true" showInputMessage="true">
      <formula1>"Mercado Envios por conta do comprador,Mercado Envios grátis"</formula1>
    </dataValidation>
    <dataValidation type="list" sqref="W1231" allowBlank="true" errorStyle="stop" showErrorMessage="true" showInputMessage="true">
      <formula1>"Clássico,Premium"</formula1>
    </dataValidation>
    <dataValidation type="list" sqref="J1232" allowBlank="true" errorStyle="stop" showErrorMessage="true" showInputMessage="true">
      <formula1>"R$"</formula1>
    </dataValidation>
    <dataValidation type="list" sqref="K1232" allowBlank="true" errorStyle="stop" showErrorMessage="true" showInputMessage="true">
      <formula1>"Com impostos,Sem impostos"</formula1>
    </dataValidation>
    <dataValidation type="list" sqref="V1232" allowBlank="true" errorStyle="stop" showErrorMessage="true" showInputMessage="true">
      <formula1>"Mercado Envios por conta do comprador,Mercado Envios grátis"</formula1>
    </dataValidation>
    <dataValidation type="list" sqref="W1232" allowBlank="true" errorStyle="stop" showErrorMessage="true" showInputMessage="true">
      <formula1>"Clássico,Premium"</formula1>
    </dataValidation>
    <dataValidation type="list" sqref="J1233" allowBlank="true" errorStyle="stop" showErrorMessage="true" showInputMessage="true">
      <formula1>"R$"</formula1>
    </dataValidation>
    <dataValidation type="list" sqref="K1233" allowBlank="true" errorStyle="stop" showErrorMessage="true" showInputMessage="true">
      <formula1>"Com impostos,Sem impostos"</formula1>
    </dataValidation>
    <dataValidation type="list" sqref="V1233" allowBlank="true" errorStyle="stop" showErrorMessage="true" showInputMessage="true">
      <formula1>"Mercado Envios por conta do comprador,Mercado Envios grátis"</formula1>
    </dataValidation>
    <dataValidation type="list" sqref="W1233" allowBlank="true" errorStyle="stop" showErrorMessage="true" showInputMessage="true">
      <formula1>"Clássico,Premium"</formula1>
    </dataValidation>
    <dataValidation type="list" sqref="J1234" allowBlank="true" errorStyle="stop" showErrorMessage="true" showInputMessage="true">
      <formula1>"R$"</formula1>
    </dataValidation>
    <dataValidation type="list" sqref="K1234" allowBlank="true" errorStyle="stop" showErrorMessage="true" showInputMessage="true">
      <formula1>"Com impostos,Sem impostos"</formula1>
    </dataValidation>
    <dataValidation type="list" sqref="V1234" allowBlank="true" errorStyle="stop" showErrorMessage="true" showInputMessage="true">
      <formula1>"Mercado Envios por conta do comprador,Mercado Envios grátis"</formula1>
    </dataValidation>
    <dataValidation type="list" sqref="W1234" allowBlank="true" errorStyle="stop" showErrorMessage="true" showInputMessage="true">
      <formula1>"Clássico,Premium"</formula1>
    </dataValidation>
    <dataValidation type="list" sqref="J1235" allowBlank="true" errorStyle="stop" showErrorMessage="true" showInputMessage="true">
      <formula1>"R$"</formula1>
    </dataValidation>
    <dataValidation type="list" sqref="K1235" allowBlank="true" errorStyle="stop" showErrorMessage="true" showInputMessage="true">
      <formula1>"Com impostos,Sem impostos"</formula1>
    </dataValidation>
    <dataValidation type="list" sqref="V1235" allowBlank="true" errorStyle="stop" showErrorMessage="true" showInputMessage="true">
      <formula1>"Mercado Envios por conta do comprador,Mercado Envios grátis"</formula1>
    </dataValidation>
    <dataValidation type="list" sqref="W1235" allowBlank="true" errorStyle="stop" showErrorMessage="true" showInputMessage="true">
      <formula1>"Clássico,Premium"</formula1>
    </dataValidation>
    <dataValidation type="list" sqref="J1236" allowBlank="true" errorStyle="stop" showErrorMessage="true" showInputMessage="true">
      <formula1>"R$"</formula1>
    </dataValidation>
    <dataValidation type="list" sqref="K1236" allowBlank="true" errorStyle="stop" showErrorMessage="true" showInputMessage="true">
      <formula1>"Com impostos,Sem impostos"</formula1>
    </dataValidation>
    <dataValidation type="list" sqref="V1236" allowBlank="true" errorStyle="stop" showErrorMessage="true" showInputMessage="true">
      <formula1>"Mercado Envios por conta do comprador,Mercado Envios grátis"</formula1>
    </dataValidation>
    <dataValidation type="list" sqref="W1236" allowBlank="true" errorStyle="stop" showErrorMessage="true" showInputMessage="true">
      <formula1>"Clássico,Premium"</formula1>
    </dataValidation>
    <dataValidation type="list" sqref="J1237" allowBlank="true" errorStyle="stop" showErrorMessage="true" showInputMessage="true">
      <formula1>"R$"</formula1>
    </dataValidation>
    <dataValidation type="list" sqref="K1237" allowBlank="true" errorStyle="stop" showErrorMessage="true" showInputMessage="true">
      <formula1>"Com impostos,Sem impostos"</formula1>
    </dataValidation>
    <dataValidation type="list" sqref="V1237" allowBlank="true" errorStyle="stop" showErrorMessage="true" showInputMessage="true">
      <formula1>"Mercado Envios por conta do comprador,Mercado Envios grátis"</formula1>
    </dataValidation>
    <dataValidation type="list" sqref="W1237" allowBlank="true" errorStyle="stop" showErrorMessage="true" showInputMessage="true">
      <formula1>"Clássico,Premium"</formula1>
    </dataValidation>
    <dataValidation type="list" sqref="J1238" allowBlank="true" errorStyle="stop" showErrorMessage="true" showInputMessage="true">
      <formula1>"R$"</formula1>
    </dataValidation>
    <dataValidation type="list" sqref="K1238" allowBlank="true" errorStyle="stop" showErrorMessage="true" showInputMessage="true">
      <formula1>"Com impostos,Sem impostos"</formula1>
    </dataValidation>
    <dataValidation type="list" sqref="V1238" allowBlank="true" errorStyle="stop" showErrorMessage="true" showInputMessage="true">
      <formula1>"Mercado Envios por conta do comprador,Mercado Envios grátis"</formula1>
    </dataValidation>
    <dataValidation type="list" sqref="W1238" allowBlank="true" errorStyle="stop" showErrorMessage="true" showInputMessage="true">
      <formula1>"Clássico,Premium"</formula1>
    </dataValidation>
    <dataValidation type="list" sqref="J1239" allowBlank="true" errorStyle="stop" showErrorMessage="true" showInputMessage="true">
      <formula1>"R$"</formula1>
    </dataValidation>
    <dataValidation type="list" sqref="K1239" allowBlank="true" errorStyle="stop" showErrorMessage="true" showInputMessage="true">
      <formula1>"Com impostos,Sem impostos"</formula1>
    </dataValidation>
    <dataValidation type="list" sqref="V1239" allowBlank="true" errorStyle="stop" showErrorMessage="true" showInputMessage="true">
      <formula1>"Mercado Envios por conta do comprador,Mercado Envios grátis"</formula1>
    </dataValidation>
    <dataValidation type="list" sqref="W1239" allowBlank="true" errorStyle="stop" showErrorMessage="true" showInputMessage="true">
      <formula1>"Clássico,Premium"</formula1>
    </dataValidation>
    <dataValidation type="list" sqref="J1240" allowBlank="true" errorStyle="stop" showErrorMessage="true" showInputMessage="true">
      <formula1>"R$"</formula1>
    </dataValidation>
    <dataValidation type="list" sqref="K1240" allowBlank="true" errorStyle="stop" showErrorMessage="true" showInputMessage="true">
      <formula1>"Com impostos,Sem impostos"</formula1>
    </dataValidation>
    <dataValidation type="list" sqref="V1240" allowBlank="true" errorStyle="stop" showErrorMessage="true" showInputMessage="true">
      <formula1>"Mercado Envios por conta do comprador,Mercado Envios grátis"</formula1>
    </dataValidation>
    <dataValidation type="list" sqref="W1240" allowBlank="true" errorStyle="stop" showErrorMessage="true" showInputMessage="true">
      <formula1>"Clássico,Premium"</formula1>
    </dataValidation>
    <dataValidation type="list" sqref="J1241" allowBlank="true" errorStyle="stop" showErrorMessage="true" showInputMessage="true">
      <formula1>"R$"</formula1>
    </dataValidation>
    <dataValidation type="list" sqref="K1241" allowBlank="true" errorStyle="stop" showErrorMessage="true" showInputMessage="true">
      <formula1>"Com impostos,Sem impostos"</formula1>
    </dataValidation>
    <dataValidation type="list" sqref="V1241" allowBlank="true" errorStyle="stop" showErrorMessage="true" showInputMessage="true">
      <formula1>"Mercado Envios por conta do comprador,Mercado Envios grátis"</formula1>
    </dataValidation>
    <dataValidation type="list" sqref="W1241" allowBlank="true" errorStyle="stop" showErrorMessage="true" showInputMessage="true">
      <formula1>"Clássico,Premium"</formula1>
    </dataValidation>
    <dataValidation type="list" sqref="J1242" allowBlank="true" errorStyle="stop" showErrorMessage="true" showInputMessage="true">
      <formula1>"R$"</formula1>
    </dataValidation>
    <dataValidation type="list" sqref="K1242" allowBlank="true" errorStyle="stop" showErrorMessage="true" showInputMessage="true">
      <formula1>"Com impostos,Sem impostos"</formula1>
    </dataValidation>
    <dataValidation type="list" sqref="V1242" allowBlank="true" errorStyle="stop" showErrorMessage="true" showInputMessage="true">
      <formula1>"Mercado Envios por conta do comprador,Mercado Envios grátis"</formula1>
    </dataValidation>
    <dataValidation type="list" sqref="W1242" allowBlank="true" errorStyle="stop" showErrorMessage="true" showInputMessage="true">
      <formula1>"Clássico,Premium"</formula1>
    </dataValidation>
    <dataValidation type="list" sqref="J1243" allowBlank="true" errorStyle="stop" showErrorMessage="true" showInputMessage="true">
      <formula1>"R$"</formula1>
    </dataValidation>
    <dataValidation type="list" sqref="K1243" allowBlank="true" errorStyle="stop" showErrorMessage="true" showInputMessage="true">
      <formula1>"Com impostos,Sem impostos"</formula1>
    </dataValidation>
    <dataValidation type="list" sqref="V1243" allowBlank="true" errorStyle="stop" showErrorMessage="true" showInputMessage="true">
      <formula1>"Mercado Envios por conta do comprador,Mercado Envios grátis"</formula1>
    </dataValidation>
    <dataValidation type="list" sqref="W1243" allowBlank="true" errorStyle="stop" showErrorMessage="true" showInputMessage="true">
      <formula1>"Clássico,Premium"</formula1>
    </dataValidation>
    <dataValidation type="list" sqref="J1244" allowBlank="true" errorStyle="stop" showErrorMessage="true" showInputMessage="true">
      <formula1>"R$"</formula1>
    </dataValidation>
    <dataValidation type="list" sqref="K1244" allowBlank="true" errorStyle="stop" showErrorMessage="true" showInputMessage="true">
      <formula1>"Com impostos,Sem impostos"</formula1>
    </dataValidation>
    <dataValidation type="list" sqref="V1244" allowBlank="true" errorStyle="stop" showErrorMessage="true" showInputMessage="true">
      <formula1>"Mercado Envios por conta do comprador,Mercado Envios grátis"</formula1>
    </dataValidation>
    <dataValidation type="list" sqref="W1244" allowBlank="true" errorStyle="stop" showErrorMessage="true" showInputMessage="true">
      <formula1>"Clássico,Premium"</formula1>
    </dataValidation>
    <dataValidation type="list" sqref="J1245" allowBlank="true" errorStyle="stop" showErrorMessage="true" showInputMessage="true">
      <formula1>"R$"</formula1>
    </dataValidation>
    <dataValidation type="list" sqref="K1245" allowBlank="true" errorStyle="stop" showErrorMessage="true" showInputMessage="true">
      <formula1>"Com impostos,Sem impostos"</formula1>
    </dataValidation>
    <dataValidation type="list" sqref="V1245" allowBlank="true" errorStyle="stop" showErrorMessage="true" showInputMessage="true">
      <formula1>"Mercado Envios por conta do comprador,Mercado Envios grátis"</formula1>
    </dataValidation>
    <dataValidation type="list" sqref="W1245" allowBlank="true" errorStyle="stop" showErrorMessage="true" showInputMessage="true">
      <formula1>"Clássico,Premium"</formula1>
    </dataValidation>
    <dataValidation type="list" sqref="J1246" allowBlank="true" errorStyle="stop" showErrorMessage="true" showInputMessage="true">
      <formula1>"R$"</formula1>
    </dataValidation>
    <dataValidation type="list" sqref="K1246" allowBlank="true" errorStyle="stop" showErrorMessage="true" showInputMessage="true">
      <formula1>"Com impostos,Sem impostos"</formula1>
    </dataValidation>
    <dataValidation type="list" sqref="V1246" allowBlank="true" errorStyle="stop" showErrorMessage="true" showInputMessage="true">
      <formula1>"Mercado Envios por conta do comprador,Mercado Envios grátis"</formula1>
    </dataValidation>
    <dataValidation type="list" sqref="W1246" allowBlank="true" errorStyle="stop" showErrorMessage="true" showInputMessage="true">
      <formula1>"Clássico,Premium"</formula1>
    </dataValidation>
    <dataValidation type="list" sqref="J1247" allowBlank="true" errorStyle="stop" showErrorMessage="true" showInputMessage="true">
      <formula1>"R$"</formula1>
    </dataValidation>
    <dataValidation type="list" sqref="K1247" allowBlank="true" errorStyle="stop" showErrorMessage="true" showInputMessage="true">
      <formula1>"Com impostos,Sem impostos"</formula1>
    </dataValidation>
    <dataValidation type="list" sqref="V1247" allowBlank="true" errorStyle="stop" showErrorMessage="true" showInputMessage="true">
      <formula1>"Mercado Envios por conta do comprador,Mercado Envios grátis"</formula1>
    </dataValidation>
    <dataValidation type="list" sqref="W1247" allowBlank="true" errorStyle="stop" showErrorMessage="true" showInputMessage="true">
      <formula1>"Clássico,Premium"</formula1>
    </dataValidation>
    <dataValidation type="list" sqref="J1248" allowBlank="true" errorStyle="stop" showErrorMessage="true" showInputMessage="true">
      <formula1>"R$"</formula1>
    </dataValidation>
    <dataValidation type="list" sqref="K1248" allowBlank="true" errorStyle="stop" showErrorMessage="true" showInputMessage="true">
      <formula1>"Com impostos,Sem impostos"</formula1>
    </dataValidation>
    <dataValidation type="list" sqref="V1248" allowBlank="true" errorStyle="stop" showErrorMessage="true" showInputMessage="true">
      <formula1>"Mercado Envios por conta do comprador,Mercado Envios grátis"</formula1>
    </dataValidation>
    <dataValidation type="list" sqref="W1248" allowBlank="true" errorStyle="stop" showErrorMessage="true" showInputMessage="true">
      <formula1>"Clássico,Premium"</formula1>
    </dataValidation>
    <dataValidation type="list" sqref="J1249" allowBlank="true" errorStyle="stop" showErrorMessage="true" showInputMessage="true">
      <formula1>"R$"</formula1>
    </dataValidation>
    <dataValidation type="list" sqref="K1249" allowBlank="true" errorStyle="stop" showErrorMessage="true" showInputMessage="true">
      <formula1>"Com impostos,Sem impostos"</formula1>
    </dataValidation>
    <dataValidation type="list" sqref="V1249" allowBlank="true" errorStyle="stop" showErrorMessage="true" showInputMessage="true">
      <formula1>"Mercado Envios por conta do comprador,Mercado Envios grátis"</formula1>
    </dataValidation>
    <dataValidation type="list" sqref="W1249" allowBlank="true" errorStyle="stop" showErrorMessage="true" showInputMessage="true">
      <formula1>"Clássico,Premium"</formula1>
    </dataValidation>
    <dataValidation type="list" sqref="J1250" allowBlank="true" errorStyle="stop" showErrorMessage="true" showInputMessage="true">
      <formula1>"R$"</formula1>
    </dataValidation>
    <dataValidation type="list" sqref="K1250" allowBlank="true" errorStyle="stop" showErrorMessage="true" showInputMessage="true">
      <formula1>"Com impostos,Sem impostos"</formula1>
    </dataValidation>
    <dataValidation type="list" sqref="V1250" allowBlank="true" errorStyle="stop" showErrorMessage="true" showInputMessage="true">
      <formula1>"Mercado Envios por conta do comprador,Mercado Envios grátis"</formula1>
    </dataValidation>
    <dataValidation type="list" sqref="W1250" allowBlank="true" errorStyle="stop" showErrorMessage="true" showInputMessage="true">
      <formula1>"Clássico,Premium"</formula1>
    </dataValidation>
    <dataValidation type="list" sqref="J1251" allowBlank="true" errorStyle="stop" showErrorMessage="true" showInputMessage="true">
      <formula1>"R$"</formula1>
    </dataValidation>
    <dataValidation type="list" sqref="K1251" allowBlank="true" errorStyle="stop" showErrorMessage="true" showInputMessage="true">
      <formula1>"Com impostos,Sem impostos"</formula1>
    </dataValidation>
    <dataValidation type="list" sqref="V1251" allowBlank="true" errorStyle="stop" showErrorMessage="true" showInputMessage="true">
      <formula1>"Mercado Envios por conta do comprador,Mercado Envios grátis"</formula1>
    </dataValidation>
    <dataValidation type="list" sqref="W1251" allowBlank="true" errorStyle="stop" showErrorMessage="true" showInputMessage="true">
      <formula1>"Clássico,Premium"</formula1>
    </dataValidation>
    <dataValidation type="list" sqref="J1252" allowBlank="true" errorStyle="stop" showErrorMessage="true" showInputMessage="true">
      <formula1>"R$"</formula1>
    </dataValidation>
    <dataValidation type="list" sqref="K1252" allowBlank="true" errorStyle="stop" showErrorMessage="true" showInputMessage="true">
      <formula1>"Com impostos,Sem impostos"</formula1>
    </dataValidation>
    <dataValidation type="list" sqref="V1252" allowBlank="true" errorStyle="stop" showErrorMessage="true" showInputMessage="true">
      <formula1>"Mercado Envios por conta do comprador,Mercado Envios grátis"</formula1>
    </dataValidation>
    <dataValidation type="list" sqref="W1252" allowBlank="true" errorStyle="stop" showErrorMessage="true" showInputMessage="true">
      <formula1>"Clássico,Premium"</formula1>
    </dataValidation>
    <dataValidation type="list" sqref="J1253" allowBlank="true" errorStyle="stop" showErrorMessage="true" showInputMessage="true">
      <formula1>"R$"</formula1>
    </dataValidation>
    <dataValidation type="list" sqref="K1253" allowBlank="true" errorStyle="stop" showErrorMessage="true" showInputMessage="true">
      <formula1>"Com impostos,Sem impostos"</formula1>
    </dataValidation>
    <dataValidation type="list" sqref="V1253" allowBlank="true" errorStyle="stop" showErrorMessage="true" showInputMessage="true">
      <formula1>"Mercado Envios por conta do comprador,Mercado Envios grátis"</formula1>
    </dataValidation>
    <dataValidation type="list" sqref="W1253" allowBlank="true" errorStyle="stop" showErrorMessage="true" showInputMessage="true">
      <formula1>"Clássico,Premium"</formula1>
    </dataValidation>
    <dataValidation type="list" sqref="J1254" allowBlank="true" errorStyle="stop" showErrorMessage="true" showInputMessage="true">
      <formula1>"R$"</formula1>
    </dataValidation>
    <dataValidation type="list" sqref="K1254" allowBlank="true" errorStyle="stop" showErrorMessage="true" showInputMessage="true">
      <formula1>"Com impostos,Sem impostos"</formula1>
    </dataValidation>
    <dataValidation type="list" sqref="V1254" allowBlank="true" errorStyle="stop" showErrorMessage="true" showInputMessage="true">
      <formula1>"Mercado Envios por conta do comprador,Mercado Envios grátis"</formula1>
    </dataValidation>
    <dataValidation type="list" sqref="W1254" allowBlank="true" errorStyle="stop" showErrorMessage="true" showInputMessage="true">
      <formula1>"Clássico,Premium"</formula1>
    </dataValidation>
    <dataValidation type="list" sqref="J1255" allowBlank="true" errorStyle="stop" showErrorMessage="true" showInputMessage="true">
      <formula1>"R$"</formula1>
    </dataValidation>
    <dataValidation type="list" sqref="K1255" allowBlank="true" errorStyle="stop" showErrorMessage="true" showInputMessage="true">
      <formula1>"Com impostos,Sem impostos"</formula1>
    </dataValidation>
    <dataValidation type="list" sqref="V1255" allowBlank="true" errorStyle="stop" showErrorMessage="true" showInputMessage="true">
      <formula1>"Mercado Envios por conta do comprador,Mercado Envios grátis"</formula1>
    </dataValidation>
    <dataValidation type="list" sqref="W1255" allowBlank="true" errorStyle="stop" showErrorMessage="true" showInputMessage="true">
      <formula1>"Clássico,Premium"</formula1>
    </dataValidation>
    <dataValidation type="list" sqref="J1256" allowBlank="true" errorStyle="stop" showErrorMessage="true" showInputMessage="true">
      <formula1>"R$"</formula1>
    </dataValidation>
    <dataValidation type="list" sqref="K1256" allowBlank="true" errorStyle="stop" showErrorMessage="true" showInputMessage="true">
      <formula1>"Com impostos,Sem impostos"</formula1>
    </dataValidation>
    <dataValidation type="list" sqref="V1256" allowBlank="true" errorStyle="stop" showErrorMessage="true" showInputMessage="true">
      <formula1>"Mercado Envios por conta do comprador,Mercado Envios grátis"</formula1>
    </dataValidation>
    <dataValidation type="list" sqref="W1256" allowBlank="true" errorStyle="stop" showErrorMessage="true" showInputMessage="true">
      <formula1>"Clássico,Premium"</formula1>
    </dataValidation>
    <dataValidation type="list" sqref="J1257" allowBlank="true" errorStyle="stop" showErrorMessage="true" showInputMessage="true">
      <formula1>"R$"</formula1>
    </dataValidation>
    <dataValidation type="list" sqref="K1257" allowBlank="true" errorStyle="stop" showErrorMessage="true" showInputMessage="true">
      <formula1>"Com impostos,Sem impostos"</formula1>
    </dataValidation>
    <dataValidation type="list" sqref="V1257" allowBlank="true" errorStyle="stop" showErrorMessage="true" showInputMessage="true">
      <formula1>"Mercado Envios por conta do comprador,Mercado Envios grátis"</formula1>
    </dataValidation>
    <dataValidation type="list" sqref="W1257" allowBlank="true" errorStyle="stop" showErrorMessage="true" showInputMessage="true">
      <formula1>"Clássico,Premium"</formula1>
    </dataValidation>
    <dataValidation type="list" sqref="J1258" allowBlank="true" errorStyle="stop" showErrorMessage="true" showInputMessage="true">
      <formula1>"R$"</formula1>
    </dataValidation>
    <dataValidation type="list" sqref="K1258" allowBlank="true" errorStyle="stop" showErrorMessage="true" showInputMessage="true">
      <formula1>"Com impostos,Sem impostos"</formula1>
    </dataValidation>
    <dataValidation type="list" sqref="V1258" allowBlank="true" errorStyle="stop" showErrorMessage="true" showInputMessage="true">
      <formula1>"Mercado Envios por conta do comprador,Mercado Envios grátis"</formula1>
    </dataValidation>
    <dataValidation type="list" sqref="W1258" allowBlank="true" errorStyle="stop" showErrorMessage="true" showInputMessage="true">
      <formula1>"Clássico,Premium"</formula1>
    </dataValidation>
    <dataValidation type="list" sqref="J1259" allowBlank="true" errorStyle="stop" showErrorMessage="true" showInputMessage="true">
      <formula1>"R$"</formula1>
    </dataValidation>
    <dataValidation type="list" sqref="K1259" allowBlank="true" errorStyle="stop" showErrorMessage="true" showInputMessage="true">
      <formula1>"Com impostos,Sem impostos"</formula1>
    </dataValidation>
    <dataValidation type="list" sqref="V1259" allowBlank="true" errorStyle="stop" showErrorMessage="true" showInputMessage="true">
      <formula1>"Mercado Envios por conta do comprador,Mercado Envios grátis"</formula1>
    </dataValidation>
    <dataValidation type="list" sqref="W1259" allowBlank="true" errorStyle="stop" showErrorMessage="true" showInputMessage="true">
      <formula1>"Clássico,Premium"</formula1>
    </dataValidation>
    <dataValidation type="list" sqref="J1260" allowBlank="true" errorStyle="stop" showErrorMessage="true" showInputMessage="true">
      <formula1>"R$"</formula1>
    </dataValidation>
    <dataValidation type="list" sqref="K1260" allowBlank="true" errorStyle="stop" showErrorMessage="true" showInputMessage="true">
      <formula1>"Com impostos,Sem impostos"</formula1>
    </dataValidation>
    <dataValidation type="list" sqref="V1260" allowBlank="true" errorStyle="stop" showErrorMessage="true" showInputMessage="true">
      <formula1>"Mercado Envios por conta do comprador,Mercado Envios grátis"</formula1>
    </dataValidation>
    <dataValidation type="list" sqref="W1260" allowBlank="true" errorStyle="stop" showErrorMessage="true" showInputMessage="true">
      <formula1>"Clássico,Premium"</formula1>
    </dataValidation>
    <dataValidation type="list" sqref="J1261" allowBlank="true" errorStyle="stop" showErrorMessage="true" showInputMessage="true">
      <formula1>"R$"</formula1>
    </dataValidation>
    <dataValidation type="list" sqref="K1261" allowBlank="true" errorStyle="stop" showErrorMessage="true" showInputMessage="true">
      <formula1>"Com impostos,Sem impostos"</formula1>
    </dataValidation>
    <dataValidation type="list" sqref="V1261" allowBlank="true" errorStyle="stop" showErrorMessage="true" showInputMessage="true">
      <formula1>"Mercado Envios por conta do comprador,Mercado Envios grátis"</formula1>
    </dataValidation>
    <dataValidation type="list" sqref="W1261" allowBlank="true" errorStyle="stop" showErrorMessage="true" showInputMessage="true">
      <formula1>"Clássico,Premium"</formula1>
    </dataValidation>
    <dataValidation type="list" sqref="J1262" allowBlank="true" errorStyle="stop" showErrorMessage="true" showInputMessage="true">
      <formula1>"R$"</formula1>
    </dataValidation>
    <dataValidation type="list" sqref="K1262" allowBlank="true" errorStyle="stop" showErrorMessage="true" showInputMessage="true">
      <formula1>"Com impostos,Sem impostos"</formula1>
    </dataValidation>
    <dataValidation type="list" sqref="V1262" allowBlank="true" errorStyle="stop" showErrorMessage="true" showInputMessage="true">
      <formula1>"Mercado Envios por conta do comprador,Mercado Envios grátis"</formula1>
    </dataValidation>
    <dataValidation type="list" sqref="W1262" allowBlank="true" errorStyle="stop" showErrorMessage="true" showInputMessage="true">
      <formula1>"Clássico,Premium"</formula1>
    </dataValidation>
    <dataValidation type="list" sqref="J1263" allowBlank="true" errorStyle="stop" showErrorMessage="true" showInputMessage="true">
      <formula1>"R$"</formula1>
    </dataValidation>
    <dataValidation type="list" sqref="K1263" allowBlank="true" errorStyle="stop" showErrorMessage="true" showInputMessage="true">
      <formula1>"Com impostos,Sem impostos"</formula1>
    </dataValidation>
    <dataValidation type="list" sqref="V1263" allowBlank="true" errorStyle="stop" showErrorMessage="true" showInputMessage="true">
      <formula1>"Mercado Envios por conta do comprador,Mercado Envios grátis"</formula1>
    </dataValidation>
    <dataValidation type="list" sqref="W1263" allowBlank="true" errorStyle="stop" showErrorMessage="true" showInputMessage="true">
      <formula1>"Clássico,Premium"</formula1>
    </dataValidation>
    <dataValidation type="list" sqref="J1264" allowBlank="true" errorStyle="stop" showErrorMessage="true" showInputMessage="true">
      <formula1>"R$"</formula1>
    </dataValidation>
    <dataValidation type="list" sqref="K1264" allowBlank="true" errorStyle="stop" showErrorMessage="true" showInputMessage="true">
      <formula1>"Com impostos,Sem impostos"</formula1>
    </dataValidation>
    <dataValidation type="list" sqref="V1264" allowBlank="true" errorStyle="stop" showErrorMessage="true" showInputMessage="true">
      <formula1>"Mercado Envios por conta do comprador,Mercado Envios grátis"</formula1>
    </dataValidation>
    <dataValidation type="list" sqref="W1264" allowBlank="true" errorStyle="stop" showErrorMessage="true" showInputMessage="true">
      <formula1>"Clássico,Premium"</formula1>
    </dataValidation>
    <dataValidation type="list" sqref="J1265" allowBlank="true" errorStyle="stop" showErrorMessage="true" showInputMessage="true">
      <formula1>"R$"</formula1>
    </dataValidation>
    <dataValidation type="list" sqref="K1265" allowBlank="true" errorStyle="stop" showErrorMessage="true" showInputMessage="true">
      <formula1>"Com impostos,Sem impostos"</formula1>
    </dataValidation>
    <dataValidation type="list" sqref="V1265" allowBlank="true" errorStyle="stop" showErrorMessage="true" showInputMessage="true">
      <formula1>"Mercado Envios por conta do comprador,Mercado Envios grátis"</formula1>
    </dataValidation>
    <dataValidation type="list" sqref="W1265" allowBlank="true" errorStyle="stop" showErrorMessage="true" showInputMessage="true">
      <formula1>"Clássico,Premium"</formula1>
    </dataValidation>
    <dataValidation type="list" sqref="J1266" allowBlank="true" errorStyle="stop" showErrorMessage="true" showInputMessage="true">
      <formula1>"R$"</formula1>
    </dataValidation>
    <dataValidation type="list" sqref="K1266" allowBlank="true" errorStyle="stop" showErrorMessage="true" showInputMessage="true">
      <formula1>"Com impostos,Sem impostos"</formula1>
    </dataValidation>
    <dataValidation type="list" sqref="V1266" allowBlank="true" errorStyle="stop" showErrorMessage="true" showInputMessage="true">
      <formula1>"Mercado Envios por conta do comprador,Mercado Envios grátis"</formula1>
    </dataValidation>
    <dataValidation type="list" sqref="W1266" allowBlank="true" errorStyle="stop" showErrorMessage="true" showInputMessage="true">
      <formula1>"Clássico,Premium"</formula1>
    </dataValidation>
    <dataValidation type="list" sqref="J1267" allowBlank="true" errorStyle="stop" showErrorMessage="true" showInputMessage="true">
      <formula1>"R$"</formula1>
    </dataValidation>
    <dataValidation type="list" sqref="K1267" allowBlank="true" errorStyle="stop" showErrorMessage="true" showInputMessage="true">
      <formula1>"Com impostos,Sem impostos"</formula1>
    </dataValidation>
    <dataValidation type="list" sqref="V1267" allowBlank="true" errorStyle="stop" showErrorMessage="true" showInputMessage="true">
      <formula1>"Mercado Envios por conta do comprador,Mercado Envios grátis"</formula1>
    </dataValidation>
    <dataValidation type="list" sqref="W1267" allowBlank="true" errorStyle="stop" showErrorMessage="true" showInputMessage="true">
      <formula1>"Clássico,Premium"</formula1>
    </dataValidation>
    <dataValidation type="list" sqref="J1268" allowBlank="true" errorStyle="stop" showErrorMessage="true" showInputMessage="true">
      <formula1>"R$"</formula1>
    </dataValidation>
    <dataValidation type="list" sqref="K1268" allowBlank="true" errorStyle="stop" showErrorMessage="true" showInputMessage="true">
      <formula1>"Com impostos,Sem impostos"</formula1>
    </dataValidation>
    <dataValidation type="list" sqref="V1268" allowBlank="true" errorStyle="stop" showErrorMessage="true" showInputMessage="true">
      <formula1>"Mercado Envios por conta do comprador,Mercado Envios grátis"</formula1>
    </dataValidation>
    <dataValidation type="list" sqref="W1268" allowBlank="true" errorStyle="stop" showErrorMessage="true" showInputMessage="true">
      <formula1>"Clássico,Premium"</formula1>
    </dataValidation>
    <dataValidation type="list" sqref="J1269" allowBlank="true" errorStyle="stop" showErrorMessage="true" showInputMessage="true">
      <formula1>"R$"</formula1>
    </dataValidation>
    <dataValidation type="list" sqref="K1269" allowBlank="true" errorStyle="stop" showErrorMessage="true" showInputMessage="true">
      <formula1>"Com impostos,Sem impostos"</formula1>
    </dataValidation>
    <dataValidation type="list" sqref="V1269" allowBlank="true" errorStyle="stop" showErrorMessage="true" showInputMessage="true">
      <formula1>"Mercado Envios por conta do comprador,Mercado Envios grátis"</formula1>
    </dataValidation>
    <dataValidation type="list" sqref="W1269" allowBlank="true" errorStyle="stop" showErrorMessage="true" showInputMessage="true">
      <formula1>"Clássico,Premium"</formula1>
    </dataValidation>
    <dataValidation type="list" sqref="J1270" allowBlank="true" errorStyle="stop" showErrorMessage="true" showInputMessage="true">
      <formula1>"R$"</formula1>
    </dataValidation>
    <dataValidation type="list" sqref="K1270" allowBlank="true" errorStyle="stop" showErrorMessage="true" showInputMessage="true">
      <formula1>"Com impostos,Sem impostos"</formula1>
    </dataValidation>
    <dataValidation type="list" sqref="V1270" allowBlank="true" errorStyle="stop" showErrorMessage="true" showInputMessage="true">
      <formula1>"Mercado Envios por conta do comprador,Mercado Envios grátis"</formula1>
    </dataValidation>
    <dataValidation type="list" sqref="W1270" allowBlank="true" errorStyle="stop" showErrorMessage="true" showInputMessage="true">
      <formula1>"Clássico,Premium"</formula1>
    </dataValidation>
    <dataValidation type="list" sqref="J1271" allowBlank="true" errorStyle="stop" showErrorMessage="true" showInputMessage="true">
      <formula1>"R$"</formula1>
    </dataValidation>
    <dataValidation type="list" sqref="K1271" allowBlank="true" errorStyle="stop" showErrorMessage="true" showInputMessage="true">
      <formula1>"Com impostos,Sem impostos"</formula1>
    </dataValidation>
    <dataValidation type="list" sqref="V1271" allowBlank="true" errorStyle="stop" showErrorMessage="true" showInputMessage="true">
      <formula1>"Mercado Envios por conta do comprador,Mercado Envios grátis"</formula1>
    </dataValidation>
    <dataValidation type="list" sqref="W1271" allowBlank="true" errorStyle="stop" showErrorMessage="true" showInputMessage="true">
      <formula1>"Clássico,Premium"</formula1>
    </dataValidation>
    <dataValidation type="list" sqref="J1272" allowBlank="true" errorStyle="stop" showErrorMessage="true" showInputMessage="true">
      <formula1>"R$"</formula1>
    </dataValidation>
    <dataValidation type="list" sqref="K1272" allowBlank="true" errorStyle="stop" showErrorMessage="true" showInputMessage="true">
      <formula1>"Com impostos,Sem impostos"</formula1>
    </dataValidation>
    <dataValidation type="list" sqref="V1272" allowBlank="true" errorStyle="stop" showErrorMessage="true" showInputMessage="true">
      <formula1>"Mercado Envios por conta do comprador,Mercado Envios grátis"</formula1>
    </dataValidation>
    <dataValidation type="list" sqref="W1272" allowBlank="true" errorStyle="stop" showErrorMessage="true" showInputMessage="true">
      <formula1>"Clássico,Premium"</formula1>
    </dataValidation>
    <dataValidation type="list" sqref="J1273" allowBlank="true" errorStyle="stop" showErrorMessage="true" showInputMessage="true">
      <formula1>"R$"</formula1>
    </dataValidation>
    <dataValidation type="list" sqref="V1273" allowBlank="true" errorStyle="stop" showErrorMessage="true" showInputMessage="true">
      <formula1>"Mercado Envios por conta do comprador,Mercado Envios grátis"</formula1>
    </dataValidation>
    <dataValidation type="list" sqref="W1273" allowBlank="true" errorStyle="stop" showErrorMessage="true" showInputMessage="true">
      <formula1>"Clássico,Premium"</formula1>
    </dataValidation>
    <dataValidation type="list" sqref="J1276" allowBlank="true" errorStyle="stop" showErrorMessage="true" showInputMessage="true">
      <formula1>"R$"</formula1>
    </dataValidation>
    <dataValidation type="list" sqref="K1276" allowBlank="true" errorStyle="stop" showErrorMessage="true" showInputMessage="true">
      <formula1>"Com impostos,Sem impostos"</formula1>
    </dataValidation>
    <dataValidation type="list" sqref="V1276" allowBlank="true" errorStyle="stop" showErrorMessage="true" showInputMessage="true">
      <formula1>"Mercado Envios por conta do comprador,Mercado Envios grátis"</formula1>
    </dataValidation>
    <dataValidation type="list" sqref="W1276" allowBlank="true" errorStyle="stop" showErrorMessage="true" showInputMessage="true">
      <formula1>"Clássico,Premium"</formula1>
    </dataValidation>
    <dataValidation type="list" sqref="J1277" allowBlank="true" errorStyle="stop" showErrorMessage="true" showInputMessage="true">
      <formula1>"R$"</formula1>
    </dataValidation>
    <dataValidation type="list" sqref="K1277" allowBlank="true" errorStyle="stop" showErrorMessage="true" showInputMessage="true">
      <formula1>"Com impostos,Sem impostos"</formula1>
    </dataValidation>
    <dataValidation type="list" sqref="V1277" allowBlank="true" errorStyle="stop" showErrorMessage="true" showInputMessage="true">
      <formula1>"Mercado Envios por conta do comprador,Mercado Envios grátis"</formula1>
    </dataValidation>
    <dataValidation type="list" sqref="W1277" allowBlank="true" errorStyle="stop" showErrorMessage="true" showInputMessage="true">
      <formula1>"Clássico,Premium"</formula1>
    </dataValidation>
    <dataValidation type="list" sqref="J1278" allowBlank="true" errorStyle="stop" showErrorMessage="true" showInputMessage="true">
      <formula1>"R$"</formula1>
    </dataValidation>
    <dataValidation type="list" sqref="K1278" allowBlank="true" errorStyle="stop" showErrorMessage="true" showInputMessage="true">
      <formula1>"Com impostos,Sem impostos"</formula1>
    </dataValidation>
    <dataValidation type="list" sqref="V1278" allowBlank="true" errorStyle="stop" showErrorMessage="true" showInputMessage="true">
      <formula1>"Mercado Envios por conta do comprador,Mercado Envios grátis"</formula1>
    </dataValidation>
    <dataValidation type="list" sqref="W1278" allowBlank="true" errorStyle="stop" showErrorMessage="true" showInputMessage="true">
      <formula1>"Clássico,Premium"</formula1>
    </dataValidation>
    <dataValidation type="list" sqref="J1279" allowBlank="true" errorStyle="stop" showErrorMessage="true" showInputMessage="true">
      <formula1>"R$"</formula1>
    </dataValidation>
    <dataValidation type="list" sqref="K1279" allowBlank="true" errorStyle="stop" showErrorMessage="true" showInputMessage="true">
      <formula1>"Com impostos,Sem impostos"</formula1>
    </dataValidation>
    <dataValidation type="list" sqref="V1279" allowBlank="true" errorStyle="stop" showErrorMessage="true" showInputMessage="true">
      <formula1>"Mercado Envios por conta do comprador,Mercado Envios grátis"</formula1>
    </dataValidation>
    <dataValidation type="list" sqref="W1279" allowBlank="true" errorStyle="stop" showErrorMessage="true" showInputMessage="true">
      <formula1>"Clássico,Premium"</formula1>
    </dataValidation>
    <dataValidation type="list" sqref="J1280" allowBlank="true" errorStyle="stop" showErrorMessage="true" showInputMessage="true">
      <formula1>"R$"</formula1>
    </dataValidation>
    <dataValidation type="list" sqref="K1280" allowBlank="true" errorStyle="stop" showErrorMessage="true" showInputMessage="true">
      <formula1>"Com impostos,Sem impostos"</formula1>
    </dataValidation>
    <dataValidation type="list" sqref="V1280" allowBlank="true" errorStyle="stop" showErrorMessage="true" showInputMessage="true">
      <formula1>"Mercado Envios por conta do comprador,Mercado Envios grátis"</formula1>
    </dataValidation>
    <dataValidation type="list" sqref="W1280" allowBlank="true" errorStyle="stop" showErrorMessage="true" showInputMessage="true">
      <formula1>"Clássico,Premium"</formula1>
    </dataValidation>
    <dataValidation type="list" sqref="J1281" allowBlank="true" errorStyle="stop" showErrorMessage="true" showInputMessage="true">
      <formula1>"R$"</formula1>
    </dataValidation>
    <dataValidation type="list" sqref="K1281" allowBlank="true" errorStyle="stop" showErrorMessage="true" showInputMessage="true">
      <formula1>"Com impostos,Sem impostos"</formula1>
    </dataValidation>
    <dataValidation type="list" sqref="V1281" allowBlank="true" errorStyle="stop" showErrorMessage="true" showInputMessage="true">
      <formula1>"Mercado Envios por conta do comprador,Mercado Envios grátis"</formula1>
    </dataValidation>
    <dataValidation type="list" sqref="W1281" allowBlank="true" errorStyle="stop" showErrorMessage="true" showInputMessage="true">
      <formula1>"Clássico,Premium"</formula1>
    </dataValidation>
    <dataValidation type="list" sqref="J1282" allowBlank="true" errorStyle="stop" showErrorMessage="true" showInputMessage="true">
      <formula1>"R$"</formula1>
    </dataValidation>
    <dataValidation type="list" sqref="K1282" allowBlank="true" errorStyle="stop" showErrorMessage="true" showInputMessage="true">
      <formula1>"Com impostos,Sem impostos"</formula1>
    </dataValidation>
    <dataValidation type="list" sqref="V1282" allowBlank="true" errorStyle="stop" showErrorMessage="true" showInputMessage="true">
      <formula1>"Mercado Envios por conta do comprador,Mercado Envios grátis"</formula1>
    </dataValidation>
    <dataValidation type="list" sqref="W1282" allowBlank="true" errorStyle="stop" showErrorMessage="true" showInputMessage="true">
      <formula1>"Clássico,Premium"</formula1>
    </dataValidation>
    <dataValidation type="list" sqref="J1283" allowBlank="true" errorStyle="stop" showErrorMessage="true" showInputMessage="true">
      <formula1>"R$"</formula1>
    </dataValidation>
    <dataValidation type="list" sqref="K1283" allowBlank="true" errorStyle="stop" showErrorMessage="true" showInputMessage="true">
      <formula1>"Com impostos,Sem impostos"</formula1>
    </dataValidation>
    <dataValidation type="list" sqref="V1283" allowBlank="true" errorStyle="stop" showErrorMessage="true" showInputMessage="true">
      <formula1>"Mercado Envios por conta do comprador,Mercado Envios grátis"</formula1>
    </dataValidation>
    <dataValidation type="list" sqref="W1283" allowBlank="true" errorStyle="stop" showErrorMessage="true" showInputMessage="true">
      <formula1>"Clássico,Premium"</formula1>
    </dataValidation>
    <dataValidation type="list" sqref="J1284" allowBlank="true" errorStyle="stop" showErrorMessage="true" showInputMessage="true">
      <formula1>"R$"</formula1>
    </dataValidation>
    <dataValidation type="list" sqref="K1284" allowBlank="true" errorStyle="stop" showErrorMessage="true" showInputMessage="true">
      <formula1>"Com impostos,Sem impostos"</formula1>
    </dataValidation>
    <dataValidation type="list" sqref="V1284" allowBlank="true" errorStyle="stop" showErrorMessage="true" showInputMessage="true">
      <formula1>"Mercado Envios por conta do comprador,Mercado Envios grátis"</formula1>
    </dataValidation>
    <dataValidation type="list" sqref="W1284" allowBlank="true" errorStyle="stop" showErrorMessage="true" showInputMessage="true">
      <formula1>"Clássico,Premium"</formula1>
    </dataValidation>
    <dataValidation type="list" sqref="J1285" allowBlank="true" errorStyle="stop" showErrorMessage="true" showInputMessage="true">
      <formula1>"R$"</formula1>
    </dataValidation>
    <dataValidation type="list" sqref="K1285" allowBlank="true" errorStyle="stop" showErrorMessage="true" showInputMessage="true">
      <formula1>"Com impostos,Sem impostos"</formula1>
    </dataValidation>
    <dataValidation type="list" sqref="V1285" allowBlank="true" errorStyle="stop" showErrorMessage="true" showInputMessage="true">
      <formula1>"Mercado Envios por conta do comprador,Mercado Envios grátis"</formula1>
    </dataValidation>
    <dataValidation type="list" sqref="W1285" allowBlank="true" errorStyle="stop" showErrorMessage="true" showInputMessage="true">
      <formula1>"Clássico,Premium"</formula1>
    </dataValidation>
    <dataValidation type="list" sqref="J1286" allowBlank="true" errorStyle="stop" showErrorMessage="true" showInputMessage="true">
      <formula1>"R$"</formula1>
    </dataValidation>
    <dataValidation type="list" sqref="K1286" allowBlank="true" errorStyle="stop" showErrorMessage="true" showInputMessage="true">
      <formula1>"Com impostos,Sem impostos"</formula1>
    </dataValidation>
    <dataValidation type="list" sqref="V1286" allowBlank="true" errorStyle="stop" showErrorMessage="true" showInputMessage="true">
      <formula1>"Mercado Envios por conta do comprador,Mercado Envios grátis"</formula1>
    </dataValidation>
    <dataValidation type="list" sqref="W1286" allowBlank="true" errorStyle="stop" showErrorMessage="true" showInputMessage="true">
      <formula1>"Clássico,Premium"</formula1>
    </dataValidation>
    <dataValidation type="list" sqref="J1287" allowBlank="true" errorStyle="stop" showErrorMessage="true" showInputMessage="true">
      <formula1>"R$"</formula1>
    </dataValidation>
    <dataValidation type="list" sqref="K1287" allowBlank="true" errorStyle="stop" showErrorMessage="true" showInputMessage="true">
      <formula1>"Com impostos,Sem impostos"</formula1>
    </dataValidation>
    <dataValidation type="list" sqref="V1287" allowBlank="true" errorStyle="stop" showErrorMessage="true" showInputMessage="true">
      <formula1>"Mercado Envios por conta do comprador,Mercado Envios grátis"</formula1>
    </dataValidation>
    <dataValidation type="list" sqref="W1287" allowBlank="true" errorStyle="stop" showErrorMessage="true" showInputMessage="true">
      <formula1>"Clássico,Premium"</formula1>
    </dataValidation>
    <dataValidation type="list" sqref="J1288" allowBlank="true" errorStyle="stop" showErrorMessage="true" showInputMessage="true">
      <formula1>"R$"</formula1>
    </dataValidation>
    <dataValidation type="list" sqref="K1288" allowBlank="true" errorStyle="stop" showErrorMessage="true" showInputMessage="true">
      <formula1>"Com impostos,Sem impostos"</formula1>
    </dataValidation>
    <dataValidation type="list" sqref="V1288" allowBlank="true" errorStyle="stop" showErrorMessage="true" showInputMessage="true">
      <formula1>"Mercado Envios por conta do comprador,Mercado Envios grátis"</formula1>
    </dataValidation>
    <dataValidation type="list" sqref="W1288" allowBlank="true" errorStyle="stop" showErrorMessage="true" showInputMessage="true">
      <formula1>"Clássico,Premium"</formula1>
    </dataValidation>
    <dataValidation type="list" sqref="J1289" allowBlank="true" errorStyle="stop" showErrorMessage="true" showInputMessage="true">
      <formula1>"R$"</formula1>
    </dataValidation>
    <dataValidation type="list" sqref="K1289" allowBlank="true" errorStyle="stop" showErrorMessage="true" showInputMessage="true">
      <formula1>"Com impostos,Sem impostos"</formula1>
    </dataValidation>
    <dataValidation type="list" sqref="V1289" allowBlank="true" errorStyle="stop" showErrorMessage="true" showInputMessage="true">
      <formula1>"Mercado Envios por conta do comprador,Mercado Envios grátis"</formula1>
    </dataValidation>
    <dataValidation type="list" sqref="W1289" allowBlank="true" errorStyle="stop" showErrorMessage="true" showInputMessage="true">
      <formula1>"Clássico,Premium"</formula1>
    </dataValidation>
    <dataValidation type="list" sqref="J1290" allowBlank="true" errorStyle="stop" showErrorMessage="true" showInputMessage="true">
      <formula1>"R$"</formula1>
    </dataValidation>
    <dataValidation type="list" sqref="K1290" allowBlank="true" errorStyle="stop" showErrorMessage="true" showInputMessage="true">
      <formula1>"Com impostos,Sem impostos"</formula1>
    </dataValidation>
    <dataValidation type="list" sqref="V1290" allowBlank="true" errorStyle="stop" showErrorMessage="true" showInputMessage="true">
      <formula1>"Mercado Envios por conta do comprador,Mercado Envios grátis"</formula1>
    </dataValidation>
    <dataValidation type="list" sqref="W1290" allowBlank="true" errorStyle="stop" showErrorMessage="true" showInputMessage="true">
      <formula1>"Clássico,Premium"</formula1>
    </dataValidation>
    <dataValidation type="list" sqref="J1291" allowBlank="true" errorStyle="stop" showErrorMessage="true" showInputMessage="true">
      <formula1>"R$"</formula1>
    </dataValidation>
    <dataValidation type="list" sqref="K1291" allowBlank="true" errorStyle="stop" showErrorMessage="true" showInputMessage="true">
      <formula1>"Com impostos,Sem impostos"</formula1>
    </dataValidation>
    <dataValidation type="list" sqref="V1291" allowBlank="true" errorStyle="stop" showErrorMessage="true" showInputMessage="true">
      <formula1>"Mercado Envios por conta do comprador,Mercado Envios grátis"</formula1>
    </dataValidation>
    <dataValidation type="list" sqref="W1291" allowBlank="true" errorStyle="stop" showErrorMessage="true" showInputMessage="true">
      <formula1>"Clássico,Premium"</formula1>
    </dataValidation>
    <dataValidation type="list" sqref="J1292" allowBlank="true" errorStyle="stop" showErrorMessage="true" showInputMessage="true">
      <formula1>"R$"</formula1>
    </dataValidation>
    <dataValidation type="list" sqref="K1292" allowBlank="true" errorStyle="stop" showErrorMessage="true" showInputMessage="true">
      <formula1>"Com impostos,Sem impostos"</formula1>
    </dataValidation>
    <dataValidation type="list" sqref="V1292" allowBlank="true" errorStyle="stop" showErrorMessage="true" showInputMessage="true">
      <formula1>"Mercado Envios por conta do comprador,Mercado Envios grátis"</formula1>
    </dataValidation>
    <dataValidation type="list" sqref="W1292" allowBlank="true" errorStyle="stop" showErrorMessage="true" showInputMessage="true">
      <formula1>"Clássico,Premium"</formula1>
    </dataValidation>
    <dataValidation type="list" sqref="J1293" allowBlank="true" errorStyle="stop" showErrorMessage="true" showInputMessage="true">
      <formula1>"R$"</formula1>
    </dataValidation>
    <dataValidation type="list" sqref="K1293" allowBlank="true" errorStyle="stop" showErrorMessage="true" showInputMessage="true">
      <formula1>"Com impostos,Sem impostos"</formula1>
    </dataValidation>
    <dataValidation type="list" sqref="V1293" allowBlank="true" errorStyle="stop" showErrorMessage="true" showInputMessage="true">
      <formula1>"Mercado Envios por conta do comprador,Mercado Envios grátis"</formula1>
    </dataValidation>
    <dataValidation type="list" sqref="W1293" allowBlank="true" errorStyle="stop" showErrorMessage="true" showInputMessage="true">
      <formula1>"Clássico,Premium"</formula1>
    </dataValidation>
    <dataValidation type="list" sqref="J1294" allowBlank="true" errorStyle="stop" showErrorMessage="true" showInputMessage="true">
      <formula1>"R$"</formula1>
    </dataValidation>
    <dataValidation type="list" sqref="K1294" allowBlank="true" errorStyle="stop" showErrorMessage="true" showInputMessage="true">
      <formula1>"Com impostos,Sem impostos"</formula1>
    </dataValidation>
    <dataValidation type="list" sqref="V1294" allowBlank="true" errorStyle="stop" showErrorMessage="true" showInputMessage="true">
      <formula1>"Mercado Envios por conta do comprador,Mercado Envios grátis"</formula1>
    </dataValidation>
    <dataValidation type="list" sqref="W1294" allowBlank="true" errorStyle="stop" showErrorMessage="true" showInputMessage="true">
      <formula1>"Clássico,Premium"</formula1>
    </dataValidation>
    <dataValidation type="list" sqref="J1295" allowBlank="true" errorStyle="stop" showErrorMessage="true" showInputMessage="true">
      <formula1>"R$"</formula1>
    </dataValidation>
    <dataValidation type="list" sqref="K1295" allowBlank="true" errorStyle="stop" showErrorMessage="true" showInputMessage="true">
      <formula1>"Com impostos,Sem impostos"</formula1>
    </dataValidation>
    <dataValidation type="list" sqref="V1295" allowBlank="true" errorStyle="stop" showErrorMessage="true" showInputMessage="true">
      <formula1>"Mercado Envios por conta do comprador,Mercado Envios grátis"</formula1>
    </dataValidation>
    <dataValidation type="list" sqref="W1295" allowBlank="true" errorStyle="stop" showErrorMessage="true" showInputMessage="true">
      <formula1>"Clássico,Premium"</formula1>
    </dataValidation>
    <dataValidation type="list" sqref="J1296" allowBlank="true" errorStyle="stop" showErrorMessage="true" showInputMessage="true">
      <formula1>"R$"</formula1>
    </dataValidation>
    <dataValidation type="list" sqref="V1296" allowBlank="true" errorStyle="stop" showErrorMessage="true" showInputMessage="true">
      <formula1>"Mercado Envios por conta do comprador,Mercado Envios grátis"</formula1>
    </dataValidation>
    <dataValidation type="list" sqref="W1296" allowBlank="true" errorStyle="stop" showErrorMessage="true" showInputMessage="true">
      <formula1>"Clássico,Premium"</formula1>
    </dataValidation>
    <dataValidation type="list" sqref="J1301" allowBlank="true" errorStyle="stop" showErrorMessage="true" showInputMessage="true">
      <formula1>"R$"</formula1>
    </dataValidation>
    <dataValidation type="list" sqref="K1301" allowBlank="true" errorStyle="stop" showErrorMessage="true" showInputMessage="true">
      <formula1>"Com impostos,Sem impostos"</formula1>
    </dataValidation>
    <dataValidation type="list" sqref="V1301" allowBlank="true" errorStyle="stop" showErrorMessage="true" showInputMessage="true">
      <formula1>"Mercado Envios por conta do comprador,Mercado Envios grátis"</formula1>
    </dataValidation>
    <dataValidation type="list" sqref="W1301" allowBlank="true" errorStyle="stop" showErrorMessage="true" showInputMessage="true">
      <formula1>"Clássico,Premium"</formula1>
    </dataValidation>
    <dataValidation type="list" sqref="J1302" allowBlank="true" errorStyle="stop" showErrorMessage="true" showInputMessage="true">
      <formula1>"R$"</formula1>
    </dataValidation>
    <dataValidation type="list" sqref="K1302" allowBlank="true" errorStyle="stop" showErrorMessage="true" showInputMessage="true">
      <formula1>"Com impostos,Sem impostos"</formula1>
    </dataValidation>
    <dataValidation type="list" sqref="V1302" allowBlank="true" errorStyle="stop" showErrorMessage="true" showInputMessage="true">
      <formula1>"Mercado Envios por conta do comprador,Mercado Envios grátis"</formula1>
    </dataValidation>
    <dataValidation type="list" sqref="W1302" allowBlank="true" errorStyle="stop" showErrorMessage="true" showInputMessage="true">
      <formula1>"Clássico,Premium"</formula1>
    </dataValidation>
    <dataValidation type="list" sqref="J1303" allowBlank="true" errorStyle="stop" showErrorMessage="true" showInputMessage="true">
      <formula1>"R$"</formula1>
    </dataValidation>
    <dataValidation type="list" sqref="V1303" allowBlank="true" errorStyle="stop" showErrorMessage="true" showInputMessage="true">
      <formula1>"Mercado Envios por conta do comprador,Mercado Envios grátis"</formula1>
    </dataValidation>
    <dataValidation type="list" sqref="W1303" allowBlank="true" errorStyle="stop" showErrorMessage="true" showInputMessage="true">
      <formula1>"Clássico,Premium"</formula1>
    </dataValidation>
    <dataValidation type="list" sqref="J1306" allowBlank="true" errorStyle="stop" showErrorMessage="true" showInputMessage="true">
      <formula1>"R$"</formula1>
    </dataValidation>
    <dataValidation type="list" sqref="K1306" allowBlank="true" errorStyle="stop" showErrorMessage="true" showInputMessage="true">
      <formula1>"Com impostos,Sem impostos"</formula1>
    </dataValidation>
    <dataValidation type="list" sqref="V1306" allowBlank="true" errorStyle="stop" showErrorMessage="true" showInputMessage="true">
      <formula1>"Mercado Envios por conta do comprador,Mercado Envios grátis"</formula1>
    </dataValidation>
    <dataValidation type="list" sqref="W1306" allowBlank="true" errorStyle="stop" showErrorMessage="true" showInputMessage="true">
      <formula1>"Clássico,Premium"</formula1>
    </dataValidation>
    <dataValidation type="list" sqref="J1307" allowBlank="true" errorStyle="stop" showErrorMessage="true" showInputMessage="true">
      <formula1>"R$"</formula1>
    </dataValidation>
    <dataValidation type="list" sqref="K1307" allowBlank="true" errorStyle="stop" showErrorMessage="true" showInputMessage="true">
      <formula1>"Com impostos,Sem impostos"</formula1>
    </dataValidation>
    <dataValidation type="list" sqref="V1307" allowBlank="true" errorStyle="stop" showErrorMessage="true" showInputMessage="true">
      <formula1>"Mercado Envios por conta do comprador,Mercado Envios grátis"</formula1>
    </dataValidation>
    <dataValidation type="list" sqref="W1307" allowBlank="true" errorStyle="stop" showErrorMessage="true" showInputMessage="true">
      <formula1>"Clássico,Premium"</formula1>
    </dataValidation>
    <dataValidation type="list" sqref="J1308" allowBlank="true" errorStyle="stop" showErrorMessage="true" showInputMessage="true">
      <formula1>"R$"</formula1>
    </dataValidation>
    <dataValidation type="list" sqref="K1308" allowBlank="true" errorStyle="stop" showErrorMessage="true" showInputMessage="true">
      <formula1>"Com impostos,Sem impostos"</formula1>
    </dataValidation>
    <dataValidation type="list" sqref="V1308" allowBlank="true" errorStyle="stop" showErrorMessage="true" showInputMessage="true">
      <formula1>"Mercado Envios por conta do comprador,Mercado Envios grátis"</formula1>
    </dataValidation>
    <dataValidation type="list" sqref="W1308" allowBlank="true" errorStyle="stop" showErrorMessage="true" showInputMessage="true">
      <formula1>"Clássico,Premium"</formula1>
    </dataValidation>
    <dataValidation type="list" sqref="J1309" allowBlank="true" errorStyle="stop" showErrorMessage="true" showInputMessage="true">
      <formula1>"R$"</formula1>
    </dataValidation>
    <dataValidation type="list" sqref="K1309" allowBlank="true" errorStyle="stop" showErrorMessage="true" showInputMessage="true">
      <formula1>"Com impostos,Sem impostos"</formula1>
    </dataValidation>
    <dataValidation type="list" sqref="V1309" allowBlank="true" errorStyle="stop" showErrorMessage="true" showInputMessage="true">
      <formula1>"Mercado Envios por conta do comprador,Mercado Envios grátis"</formula1>
    </dataValidation>
    <dataValidation type="list" sqref="W1309" allowBlank="true" errorStyle="stop" showErrorMessage="true" showInputMessage="true">
      <formula1>"Clássico,Premium"</formula1>
    </dataValidation>
    <dataValidation type="list" sqref="J1310" allowBlank="true" errorStyle="stop" showErrorMessage="true" showInputMessage="true">
      <formula1>"R$"</formula1>
    </dataValidation>
    <dataValidation type="list" sqref="K1310" allowBlank="true" errorStyle="stop" showErrorMessage="true" showInputMessage="true">
      <formula1>"Com impostos,Sem impostos"</formula1>
    </dataValidation>
    <dataValidation type="list" sqref="V1310" allowBlank="true" errorStyle="stop" showErrorMessage="true" showInputMessage="true">
      <formula1>"Mercado Envios por conta do comprador,Mercado Envios grátis"</formula1>
    </dataValidation>
    <dataValidation type="list" sqref="W1310" allowBlank="true" errorStyle="stop" showErrorMessage="true" showInputMessage="true">
      <formula1>"Clássico,Premium"</formula1>
    </dataValidation>
    <dataValidation type="list" sqref="J1311" allowBlank="true" errorStyle="stop" showErrorMessage="true" showInputMessage="true">
      <formula1>"R$"</formula1>
    </dataValidation>
    <dataValidation type="list" sqref="K1311" allowBlank="true" errorStyle="stop" showErrorMessage="true" showInputMessage="true">
      <formula1>"Com impostos,Sem impostos"</formula1>
    </dataValidation>
    <dataValidation type="list" sqref="V1311" allowBlank="true" errorStyle="stop" showErrorMessage="true" showInputMessage="true">
      <formula1>"Mercado Envios por conta do comprador,Mercado Envios grátis"</formula1>
    </dataValidation>
    <dataValidation type="list" sqref="W1311" allowBlank="true" errorStyle="stop" showErrorMessage="true" showInputMessage="true">
      <formula1>"Clássico,Premium"</formula1>
    </dataValidation>
    <dataValidation type="list" sqref="J1312" allowBlank="true" errorStyle="stop" showErrorMessage="true" showInputMessage="true">
      <formula1>"R$"</formula1>
    </dataValidation>
    <dataValidation type="list" sqref="K1312" allowBlank="true" errorStyle="stop" showErrorMessage="true" showInputMessage="true">
      <formula1>"Com impostos,Sem impostos"</formula1>
    </dataValidation>
    <dataValidation type="list" sqref="V1312" allowBlank="true" errorStyle="stop" showErrorMessage="true" showInputMessage="true">
      <formula1>"Mercado Envios por conta do comprador,Mercado Envios grátis"</formula1>
    </dataValidation>
    <dataValidation type="list" sqref="W1312" allowBlank="true" errorStyle="stop" showErrorMessage="true" showInputMessage="true">
      <formula1>"Clássico,Premium"</formula1>
    </dataValidation>
    <dataValidation type="list" sqref="J1313" allowBlank="true" errorStyle="stop" showErrorMessage="true" showInputMessage="true">
      <formula1>"R$"</formula1>
    </dataValidation>
    <dataValidation type="list" sqref="K1313" allowBlank="true" errorStyle="stop" showErrorMessage="true" showInputMessage="true">
      <formula1>"Com impostos,Sem impostos"</formula1>
    </dataValidation>
    <dataValidation type="list" sqref="V1313" allowBlank="true" errorStyle="stop" showErrorMessage="true" showInputMessage="true">
      <formula1>"Mercado Envios por conta do comprador,Mercado Envios grátis"</formula1>
    </dataValidation>
    <dataValidation type="list" sqref="W1313" allowBlank="true" errorStyle="stop" showErrorMessage="true" showInputMessage="true">
      <formula1>"Clássico,Premium"</formula1>
    </dataValidation>
    <dataValidation type="list" sqref="J1314" allowBlank="true" errorStyle="stop" showErrorMessage="true" showInputMessage="true">
      <formula1>"R$"</formula1>
    </dataValidation>
    <dataValidation type="list" sqref="K1314" allowBlank="true" errorStyle="stop" showErrorMessage="true" showInputMessage="true">
      <formula1>"Com impostos,Sem impostos"</formula1>
    </dataValidation>
    <dataValidation type="list" sqref="V1314" allowBlank="true" errorStyle="stop" showErrorMessage="true" showInputMessage="true">
      <formula1>"Mercado Envios por conta do comprador,Mercado Envios grátis"</formula1>
    </dataValidation>
    <dataValidation type="list" sqref="W1314" allowBlank="true" errorStyle="stop" showErrorMessage="true" showInputMessage="true">
      <formula1>"Clássico,Premium"</formula1>
    </dataValidation>
    <dataValidation type="list" sqref="J1315" allowBlank="true" errorStyle="stop" showErrorMessage="true" showInputMessage="true">
      <formula1>"R$"</formula1>
    </dataValidation>
    <dataValidation type="list" sqref="K1315" allowBlank="true" errorStyle="stop" showErrorMessage="true" showInputMessage="true">
      <formula1>"Com impostos,Sem impostos"</formula1>
    </dataValidation>
    <dataValidation type="list" sqref="V1315" allowBlank="true" errorStyle="stop" showErrorMessage="true" showInputMessage="true">
      <formula1>"Mercado Envios por conta do comprador,Mercado Envios grátis"</formula1>
    </dataValidation>
    <dataValidation type="list" sqref="W1315" allowBlank="true" errorStyle="stop" showErrorMessage="true" showInputMessage="true">
      <formula1>"Clássico,Premium"</formula1>
    </dataValidation>
    <dataValidation type="list" sqref="J1316" allowBlank="true" errorStyle="stop" showErrorMessage="true" showInputMessage="true">
      <formula1>"R$"</formula1>
    </dataValidation>
    <dataValidation type="list" sqref="K1316" allowBlank="true" errorStyle="stop" showErrorMessage="true" showInputMessage="true">
      <formula1>"Com impostos,Sem impostos"</formula1>
    </dataValidation>
    <dataValidation type="list" sqref="V1316" allowBlank="true" errorStyle="stop" showErrorMessage="true" showInputMessage="true">
      <formula1>"Mercado Envios por conta do comprador,Mercado Envios grátis"</formula1>
    </dataValidation>
    <dataValidation type="list" sqref="W1316" allowBlank="true" errorStyle="stop" showErrorMessage="true" showInputMessage="true">
      <formula1>"Clássico,Premium"</formula1>
    </dataValidation>
    <dataValidation type="list" sqref="J1317" allowBlank="true" errorStyle="stop" showErrorMessage="true" showInputMessage="true">
      <formula1>"R$"</formula1>
    </dataValidation>
    <dataValidation type="list" sqref="K1317" allowBlank="true" errorStyle="stop" showErrorMessage="true" showInputMessage="true">
      <formula1>"Com impostos,Sem impostos"</formula1>
    </dataValidation>
    <dataValidation type="list" sqref="V1317" allowBlank="true" errorStyle="stop" showErrorMessage="true" showInputMessage="true">
      <formula1>"Mercado Envios por conta do comprador,Mercado Envios grátis"</formula1>
    </dataValidation>
    <dataValidation type="list" sqref="W1317" allowBlank="true" errorStyle="stop" showErrorMessage="true" showInputMessage="true">
      <formula1>"Clássico,Premium"</formula1>
    </dataValidation>
    <dataValidation type="list" sqref="J1318" allowBlank="true" errorStyle="stop" showErrorMessage="true" showInputMessage="true">
      <formula1>"R$"</formula1>
    </dataValidation>
    <dataValidation type="list" sqref="K1318" allowBlank="true" errorStyle="stop" showErrorMessage="true" showInputMessage="true">
      <formula1>"Com impostos,Sem impostos"</formula1>
    </dataValidation>
    <dataValidation type="list" sqref="V1318" allowBlank="true" errorStyle="stop" showErrorMessage="true" showInputMessage="true">
      <formula1>"Mercado Envios por conta do comprador,Mercado Envios grátis"</formula1>
    </dataValidation>
    <dataValidation type="list" sqref="W1318" allowBlank="true" errorStyle="stop" showErrorMessage="true" showInputMessage="true">
      <formula1>"Clássico,Premium"</formula1>
    </dataValidation>
    <dataValidation type="list" sqref="J1319" allowBlank="true" errorStyle="stop" showErrorMessage="true" showInputMessage="true">
      <formula1>"R$"</formula1>
    </dataValidation>
    <dataValidation type="list" sqref="K1319" allowBlank="true" errorStyle="stop" showErrorMessage="true" showInputMessage="true">
      <formula1>"Com impostos,Sem impostos"</formula1>
    </dataValidation>
    <dataValidation type="list" sqref="V1319" allowBlank="true" errorStyle="stop" showErrorMessage="true" showInputMessage="true">
      <formula1>"Mercado Envios por conta do comprador,Mercado Envios grátis"</formula1>
    </dataValidation>
    <dataValidation type="list" sqref="W1319" allowBlank="true" errorStyle="stop" showErrorMessage="true" showInputMessage="true">
      <formula1>"Clássico,Premium"</formula1>
    </dataValidation>
    <dataValidation type="list" sqref="J1320" allowBlank="true" errorStyle="stop" showErrorMessage="true" showInputMessage="true">
      <formula1>"R$"</formula1>
    </dataValidation>
    <dataValidation type="list" sqref="K1320" allowBlank="true" errorStyle="stop" showErrorMessage="true" showInputMessage="true">
      <formula1>"Com impostos,Sem impostos"</formula1>
    </dataValidation>
    <dataValidation type="list" sqref="V1320" allowBlank="true" errorStyle="stop" showErrorMessage="true" showInputMessage="true">
      <formula1>"Mercado Envios por conta do comprador,Mercado Envios grátis"</formula1>
    </dataValidation>
    <dataValidation type="list" sqref="W1320" allowBlank="true" errorStyle="stop" showErrorMessage="true" showInputMessage="true">
      <formula1>"Clássico,Premium"</formula1>
    </dataValidation>
    <dataValidation type="list" sqref="J1321" allowBlank="true" errorStyle="stop" showErrorMessage="true" showInputMessage="true">
      <formula1>"R$"</formula1>
    </dataValidation>
    <dataValidation type="list" sqref="K1321" allowBlank="true" errorStyle="stop" showErrorMessage="true" showInputMessage="true">
      <formula1>"Com impostos,Sem impostos"</formula1>
    </dataValidation>
    <dataValidation type="list" sqref="V1321" allowBlank="true" errorStyle="stop" showErrorMessage="true" showInputMessage="true">
      <formula1>"Mercado Envios por conta do comprador,Mercado Envios grátis"</formula1>
    </dataValidation>
    <dataValidation type="list" sqref="W1321" allowBlank="true" errorStyle="stop" showErrorMessage="true" showInputMessage="true">
      <formula1>"Clássico,Premium"</formula1>
    </dataValidation>
    <dataValidation type="list" sqref="J1322" allowBlank="true" errorStyle="stop" showErrorMessage="true" showInputMessage="true">
      <formula1>"R$"</formula1>
    </dataValidation>
    <dataValidation type="list" sqref="K1322" allowBlank="true" errorStyle="stop" showErrorMessage="true" showInputMessage="true">
      <formula1>"Com impostos,Sem impostos"</formula1>
    </dataValidation>
    <dataValidation type="list" sqref="V1322" allowBlank="true" errorStyle="stop" showErrorMessage="true" showInputMessage="true">
      <formula1>"Mercado Envios por conta do comprador,Mercado Envios grátis"</formula1>
    </dataValidation>
    <dataValidation type="list" sqref="W1322" allowBlank="true" errorStyle="stop" showErrorMessage="true" showInputMessage="true">
      <formula1>"Clássico,Premium"</formula1>
    </dataValidation>
    <dataValidation type="list" sqref="J1323" allowBlank="true" errorStyle="stop" showErrorMessage="true" showInputMessage="true">
      <formula1>"R$"</formula1>
    </dataValidation>
    <dataValidation type="list" sqref="K1323" allowBlank="true" errorStyle="stop" showErrorMessage="true" showInputMessage="true">
      <formula1>"Com impostos,Sem impostos"</formula1>
    </dataValidation>
    <dataValidation type="list" sqref="V1323" allowBlank="true" errorStyle="stop" showErrorMessage="true" showInputMessage="true">
      <formula1>"Mercado Envios por conta do comprador,Mercado Envios grátis"</formula1>
    </dataValidation>
    <dataValidation type="list" sqref="W1323" allowBlank="true" errorStyle="stop" showErrorMessage="true" showInputMessage="true">
      <formula1>"Clássico,Premium"</formula1>
    </dataValidation>
    <dataValidation type="list" sqref="J1324" allowBlank="true" errorStyle="stop" showErrorMessage="true" showInputMessage="true">
      <formula1>"R$"</formula1>
    </dataValidation>
    <dataValidation type="list" sqref="K1324" allowBlank="true" errorStyle="stop" showErrorMessage="true" showInputMessage="true">
      <formula1>"Com impostos,Sem impostos"</formula1>
    </dataValidation>
    <dataValidation type="list" sqref="V1324" allowBlank="true" errorStyle="stop" showErrorMessage="true" showInputMessage="true">
      <formula1>"Mercado Envios por conta do comprador,Mercado Envios grátis"</formula1>
    </dataValidation>
    <dataValidation type="list" sqref="W1324" allowBlank="true" errorStyle="stop" showErrorMessage="true" showInputMessage="true">
      <formula1>"Clássico,Premium"</formula1>
    </dataValidation>
    <dataValidation type="list" sqref="J1325" allowBlank="true" errorStyle="stop" showErrorMessage="true" showInputMessage="true">
      <formula1>"R$"</formula1>
    </dataValidation>
    <dataValidation type="list" sqref="K1325" allowBlank="true" errorStyle="stop" showErrorMessage="true" showInputMessage="true">
      <formula1>"Com impostos,Sem impostos"</formula1>
    </dataValidation>
    <dataValidation type="list" sqref="V1325" allowBlank="true" errorStyle="stop" showErrorMessage="true" showInputMessage="true">
      <formula1>"Mercado Envios por conta do comprador,Mercado Envios grátis"</formula1>
    </dataValidation>
    <dataValidation type="list" sqref="W1325" allowBlank="true" errorStyle="stop" showErrorMessage="true" showInputMessage="true">
      <formula1>"Clássico,Premium"</formula1>
    </dataValidation>
    <dataValidation type="list" sqref="J1326" allowBlank="true" errorStyle="stop" showErrorMessage="true" showInputMessage="true">
      <formula1>"R$"</formula1>
    </dataValidation>
    <dataValidation type="list" sqref="V1326" allowBlank="true" errorStyle="stop" showErrorMessage="true" showInputMessage="true">
      <formula1>"Mercado Envios por conta do comprador,Mercado Envios grátis"</formula1>
    </dataValidation>
    <dataValidation type="list" sqref="W1326" allowBlank="true" errorStyle="stop" showErrorMessage="true" showInputMessage="true">
      <formula1>"Clássico,Premium"</formula1>
    </dataValidation>
    <dataValidation type="list" sqref="J1329" allowBlank="true" errorStyle="stop" showErrorMessage="true" showInputMessage="true">
      <formula1>"R$"</formula1>
    </dataValidation>
    <dataValidation type="list" sqref="K1329" allowBlank="true" errorStyle="stop" showErrorMessage="true" showInputMessage="true">
      <formula1>"Com impostos,Sem impostos"</formula1>
    </dataValidation>
    <dataValidation type="list" sqref="V1329" allowBlank="true" errorStyle="stop" showErrorMessage="true" showInputMessage="true">
      <formula1>"Mercado Envios por conta do comprador,Mercado Envios grátis"</formula1>
    </dataValidation>
    <dataValidation type="list" sqref="W1329" allowBlank="true" errorStyle="stop" showErrorMessage="true" showInputMessage="true">
      <formula1>"Clássico,Premium"</formula1>
    </dataValidation>
    <dataValidation type="list" sqref="J1330" allowBlank="true" errorStyle="stop" showErrorMessage="true" showInputMessage="true">
      <formula1>"R$"</formula1>
    </dataValidation>
    <dataValidation type="list" sqref="K1330" allowBlank="true" errorStyle="stop" showErrorMessage="true" showInputMessage="true">
      <formula1>"Com impostos,Sem impostos"</formula1>
    </dataValidation>
    <dataValidation type="list" sqref="V1330" allowBlank="true" errorStyle="stop" showErrorMessage="true" showInputMessage="true">
      <formula1>"Mercado Envios por conta do comprador,Mercado Envios grátis"</formula1>
    </dataValidation>
    <dataValidation type="list" sqref="W1330" allowBlank="true" errorStyle="stop" showErrorMessage="true" showInputMessage="true">
      <formula1>"Clássico,Premium"</formula1>
    </dataValidation>
    <dataValidation type="list" sqref="J1331" allowBlank="true" errorStyle="stop" showErrorMessage="true" showInputMessage="true">
      <formula1>"R$"</formula1>
    </dataValidation>
    <dataValidation type="list" sqref="K1331" allowBlank="true" errorStyle="stop" showErrorMessage="true" showInputMessage="true">
      <formula1>"Com impostos,Sem impostos"</formula1>
    </dataValidation>
    <dataValidation type="list" sqref="V1331" allowBlank="true" errorStyle="stop" showErrorMessage="true" showInputMessage="true">
      <formula1>"Mercado Envios por conta do comprador,Mercado Envios grátis"</formula1>
    </dataValidation>
    <dataValidation type="list" sqref="W1331" allowBlank="true" errorStyle="stop" showErrorMessage="true" showInputMessage="true">
      <formula1>"Clássico,Premium"</formula1>
    </dataValidation>
    <dataValidation type="list" sqref="J1332" allowBlank="true" errorStyle="stop" showErrorMessage="true" showInputMessage="true">
      <formula1>"R$"</formula1>
    </dataValidation>
    <dataValidation type="list" sqref="K1332" allowBlank="true" errorStyle="stop" showErrorMessage="true" showInputMessage="true">
      <formula1>"Com impostos,Sem impostos"</formula1>
    </dataValidation>
    <dataValidation type="list" sqref="V1332" allowBlank="true" errorStyle="stop" showErrorMessage="true" showInputMessage="true">
      <formula1>"Mercado Envios por conta do comprador,Mercado Envios grátis"</formula1>
    </dataValidation>
    <dataValidation type="list" sqref="W1332" allowBlank="true" errorStyle="stop" showErrorMessage="true" showInputMessage="true">
      <formula1>"Clássico,Premium"</formula1>
    </dataValidation>
    <dataValidation type="list" sqref="J1333" allowBlank="true" errorStyle="stop" showErrorMessage="true" showInputMessage="true">
      <formula1>"R$"</formula1>
    </dataValidation>
    <dataValidation type="list" sqref="K1333" allowBlank="true" errorStyle="stop" showErrorMessage="true" showInputMessage="true">
      <formula1>"Com impostos,Sem impostos"</formula1>
    </dataValidation>
    <dataValidation type="list" sqref="V1333" allowBlank="true" errorStyle="stop" showErrorMessage="true" showInputMessage="true">
      <formula1>"Mercado Envios por conta do comprador,Mercado Envios grátis"</formula1>
    </dataValidation>
    <dataValidation type="list" sqref="W1333" allowBlank="true" errorStyle="stop" showErrorMessage="true" showInputMessage="true">
      <formula1>"Clássico,Premium"</formula1>
    </dataValidation>
    <dataValidation type="list" sqref="J1334" allowBlank="true" errorStyle="stop" showErrorMessage="true" showInputMessage="true">
      <formula1>"R$"</formula1>
    </dataValidation>
    <dataValidation type="list" sqref="K1334" allowBlank="true" errorStyle="stop" showErrorMessage="true" showInputMessage="true">
      <formula1>"Com impostos,Sem impostos"</formula1>
    </dataValidation>
    <dataValidation type="list" sqref="V1334" allowBlank="true" errorStyle="stop" showErrorMessage="true" showInputMessage="true">
      <formula1>"Mercado Envios por conta do comprador,Mercado Envios grátis"</formula1>
    </dataValidation>
    <dataValidation type="list" sqref="W1334" allowBlank="true" errorStyle="stop" showErrorMessage="true" showInputMessage="true">
      <formula1>"Clássico,Premium"</formula1>
    </dataValidation>
    <dataValidation type="list" sqref="J1335" allowBlank="true" errorStyle="stop" showErrorMessage="true" showInputMessage="true">
      <formula1>"R$"</formula1>
    </dataValidation>
    <dataValidation type="list" sqref="V1335" allowBlank="true" errorStyle="stop" showErrorMessage="true" showInputMessage="true">
      <formula1>"Mercado Envios por conta do comprador,Mercado Envios grátis"</formula1>
    </dataValidation>
    <dataValidation type="list" sqref="W1335" allowBlank="true" errorStyle="stop" showErrorMessage="true" showInputMessage="true">
      <formula1>"Clássico,Premium"</formula1>
    </dataValidation>
    <dataValidation type="list" sqref="J1340" allowBlank="true" errorStyle="stop" showErrorMessage="true" showInputMessage="true">
      <formula1>"R$"</formula1>
    </dataValidation>
    <dataValidation type="list" sqref="K1340" allowBlank="true" errorStyle="stop" showErrorMessage="true" showInputMessage="true">
      <formula1>"Com impostos,Sem impostos"</formula1>
    </dataValidation>
    <dataValidation type="list" sqref="V1340" allowBlank="true" errorStyle="stop" showErrorMessage="true" showInputMessage="true">
      <formula1>"Mercado Envios por conta do comprador,Mercado Envios grátis"</formula1>
    </dataValidation>
    <dataValidation type="list" sqref="W1340" allowBlank="true" errorStyle="stop" showErrorMessage="true" showInputMessage="true">
      <formula1>"Clássico,Premium"</formula1>
    </dataValidation>
    <dataValidation type="list" sqref="J1341" allowBlank="true" errorStyle="stop" showErrorMessage="true" showInputMessage="true">
      <formula1>"R$"</formula1>
    </dataValidation>
    <dataValidation type="list" sqref="K1341" allowBlank="true" errorStyle="stop" showErrorMessage="true" showInputMessage="true">
      <formula1>"Com impostos,Sem impostos"</formula1>
    </dataValidation>
    <dataValidation type="list" sqref="V1341" allowBlank="true" errorStyle="stop" showErrorMessage="true" showInputMessage="true">
      <formula1>"Mercado Envios por conta do comprador,Mercado Envios grátis"</formula1>
    </dataValidation>
    <dataValidation type="list" sqref="W1341" allowBlank="true" errorStyle="stop" showErrorMessage="true" showInputMessage="true">
      <formula1>"Clássico,Premium"</formula1>
    </dataValidation>
    <dataValidation type="list" sqref="J1342" allowBlank="true" errorStyle="stop" showErrorMessage="true" showInputMessage="true">
      <formula1>"R$"</formula1>
    </dataValidation>
    <dataValidation type="list" sqref="K1342" allowBlank="true" errorStyle="stop" showErrorMessage="true" showInputMessage="true">
      <formula1>"Com impostos,Sem impostos"</formula1>
    </dataValidation>
    <dataValidation type="list" sqref="V1342" allowBlank="true" errorStyle="stop" showErrorMessage="true" showInputMessage="true">
      <formula1>"Mercado Envios por conta do comprador,Mercado Envios grátis"</formula1>
    </dataValidation>
    <dataValidation type="list" sqref="W1342" allowBlank="true" errorStyle="stop" showErrorMessage="true" showInputMessage="true">
      <formula1>"Clássico,Premium"</formula1>
    </dataValidation>
    <dataValidation type="list" sqref="J1343" allowBlank="true" errorStyle="stop" showErrorMessage="true" showInputMessage="true">
      <formula1>"R$"</formula1>
    </dataValidation>
    <dataValidation type="list" sqref="V1343" allowBlank="true" errorStyle="stop" showErrorMessage="true" showInputMessage="true">
      <formula1>"Mercado Envios por conta do comprador,Mercado Envios grátis"</formula1>
    </dataValidation>
    <dataValidation type="list" sqref="W1343" allowBlank="true" errorStyle="stop" showErrorMessage="true" showInputMessage="true">
      <formula1>"Clássico,Premium"</formula1>
    </dataValidation>
    <dataValidation type="list" sqref="J1346" allowBlank="true" errorStyle="stop" showErrorMessage="true" showInputMessage="true">
      <formula1>"R$"</formula1>
    </dataValidation>
    <dataValidation type="list" sqref="K1346" allowBlank="true" errorStyle="stop" showErrorMessage="true" showInputMessage="true">
      <formula1>"Com impostos,Sem impostos"</formula1>
    </dataValidation>
    <dataValidation type="list" sqref="V1346" allowBlank="true" errorStyle="stop" showErrorMessage="true" showInputMessage="true">
      <formula1>"Mercado Envios por conta do comprador,Mercado Envios grátis"</formula1>
    </dataValidation>
    <dataValidation type="list" sqref="W1346" allowBlank="true" errorStyle="stop" showErrorMessage="true" showInputMessage="true">
      <formula1>"Clássico,Premium"</formula1>
    </dataValidation>
    <dataValidation type="list" sqref="J1347" allowBlank="true" errorStyle="stop" showErrorMessage="true" showInputMessage="true">
      <formula1>"R$"</formula1>
    </dataValidation>
    <dataValidation type="list" sqref="K1347" allowBlank="true" errorStyle="stop" showErrorMessage="true" showInputMessage="true">
      <formula1>"Com impostos,Sem impostos"</formula1>
    </dataValidation>
    <dataValidation type="list" sqref="V1347" allowBlank="true" errorStyle="stop" showErrorMessage="true" showInputMessage="true">
      <formula1>"Mercado Envios por conta do comprador,Mercado Envios grátis"</formula1>
    </dataValidation>
    <dataValidation type="list" sqref="W1347" allowBlank="true" errorStyle="stop" showErrorMessage="true" showInputMessage="true">
      <formula1>"Clássico,Premium"</formula1>
    </dataValidation>
    <dataValidation type="list" sqref="J1348" allowBlank="true" errorStyle="stop" showErrorMessage="true" showInputMessage="true">
      <formula1>"R$"</formula1>
    </dataValidation>
    <dataValidation type="list" sqref="K1348" allowBlank="true" errorStyle="stop" showErrorMessage="true" showInputMessage="true">
      <formula1>"Com impostos,Sem impostos"</formula1>
    </dataValidation>
    <dataValidation type="list" sqref="V1348" allowBlank="true" errorStyle="stop" showErrorMessage="true" showInputMessage="true">
      <formula1>"Mercado Envios por conta do comprador,Mercado Envios grátis"</formula1>
    </dataValidation>
    <dataValidation type="list" sqref="W1348" allowBlank="true" errorStyle="stop" showErrorMessage="true" showInputMessage="true">
      <formula1>"Clássico,Premium"</formula1>
    </dataValidation>
    <dataValidation type="list" sqref="J1349" allowBlank="true" errorStyle="stop" showErrorMessage="true" showInputMessage="true">
      <formula1>"R$"</formula1>
    </dataValidation>
    <dataValidation type="list" sqref="K1349" allowBlank="true" errorStyle="stop" showErrorMessage="true" showInputMessage="true">
      <formula1>"Com impostos,Sem impostos"</formula1>
    </dataValidation>
    <dataValidation type="list" sqref="V1349" allowBlank="true" errorStyle="stop" showErrorMessage="true" showInputMessage="true">
      <formula1>"Mercado Envios por conta do comprador,Mercado Envios grátis"</formula1>
    </dataValidation>
    <dataValidation type="list" sqref="W1349" allowBlank="true" errorStyle="stop" showErrorMessage="true" showInputMessage="true">
      <formula1>"Clássico,Premium"</formula1>
    </dataValidation>
    <dataValidation type="list" sqref="J1350" allowBlank="true" errorStyle="stop" showErrorMessage="true" showInputMessage="true">
      <formula1>"R$"</formula1>
    </dataValidation>
    <dataValidation type="list" sqref="K1350" allowBlank="true" errorStyle="stop" showErrorMessage="true" showInputMessage="true">
      <formula1>"Com impostos,Sem impostos"</formula1>
    </dataValidation>
    <dataValidation type="list" sqref="V1350" allowBlank="true" errorStyle="stop" showErrorMessage="true" showInputMessage="true">
      <formula1>"Mercado Envios por conta do comprador,Mercado Envios grátis"</formula1>
    </dataValidation>
    <dataValidation type="list" sqref="W1350" allowBlank="true" errorStyle="stop" showErrorMessage="true" showInputMessage="true">
      <formula1>"Clássico,Premium"</formula1>
    </dataValidation>
    <dataValidation type="list" sqref="J1351" allowBlank="true" errorStyle="stop" showErrorMessage="true" showInputMessage="true">
      <formula1>"R$"</formula1>
    </dataValidation>
    <dataValidation type="list" sqref="K1351" allowBlank="true" errorStyle="stop" showErrorMessage="true" showInputMessage="true">
      <formula1>"Com impostos,Sem impostos"</formula1>
    </dataValidation>
    <dataValidation type="list" sqref="V1351" allowBlank="true" errorStyle="stop" showErrorMessage="true" showInputMessage="true">
      <formula1>"Mercado Envios por conta do comprador,Mercado Envios grátis"</formula1>
    </dataValidation>
    <dataValidation type="list" sqref="W1351" allowBlank="true" errorStyle="stop" showErrorMessage="true" showInputMessage="true">
      <formula1>"Clássico,Premium"</formula1>
    </dataValidation>
    <dataValidation type="list" sqref="J1352" allowBlank="true" errorStyle="stop" showErrorMessage="true" showInputMessage="true">
      <formula1>"R$"</formula1>
    </dataValidation>
    <dataValidation type="list" sqref="K1352" allowBlank="true" errorStyle="stop" showErrorMessage="true" showInputMessage="true">
      <formula1>"Com impostos,Sem impostos"</formula1>
    </dataValidation>
    <dataValidation type="list" sqref="V1352" allowBlank="true" errorStyle="stop" showErrorMessage="true" showInputMessage="true">
      <formula1>"Mercado Envios por conta do comprador,Mercado Envios grátis"</formula1>
    </dataValidation>
    <dataValidation type="list" sqref="W1352" allowBlank="true" errorStyle="stop" showErrorMessage="true" showInputMessage="true">
      <formula1>"Clássico,Premium"</formula1>
    </dataValidation>
    <dataValidation type="list" sqref="J1353" allowBlank="true" errorStyle="stop" showErrorMessage="true" showInputMessage="true">
      <formula1>"R$"</formula1>
    </dataValidation>
    <dataValidation type="list" sqref="K1353" allowBlank="true" errorStyle="stop" showErrorMessage="true" showInputMessage="true">
      <formula1>"Com impostos,Sem impostos"</formula1>
    </dataValidation>
    <dataValidation type="list" sqref="V1353" allowBlank="true" errorStyle="stop" showErrorMessage="true" showInputMessage="true">
      <formula1>"Mercado Envios por conta do comprador,Mercado Envios grátis"</formula1>
    </dataValidation>
    <dataValidation type="list" sqref="W1353" allowBlank="true" errorStyle="stop" showErrorMessage="true" showInputMessage="true">
      <formula1>"Clássico,Premium"</formula1>
    </dataValidation>
    <dataValidation type="list" sqref="J1354" allowBlank="true" errorStyle="stop" showErrorMessage="true" showInputMessage="true">
      <formula1>"R$"</formula1>
    </dataValidation>
    <dataValidation type="list" sqref="K1354" allowBlank="true" errorStyle="stop" showErrorMessage="true" showInputMessage="true">
      <formula1>"Com impostos,Sem impostos"</formula1>
    </dataValidation>
    <dataValidation type="list" sqref="V1354" allowBlank="true" errorStyle="stop" showErrorMessage="true" showInputMessage="true">
      <formula1>"Mercado Envios por conta do comprador,Mercado Envios grátis"</formula1>
    </dataValidation>
    <dataValidation type="list" sqref="W1354" allowBlank="true" errorStyle="stop" showErrorMessage="true" showInputMessage="true">
      <formula1>"Clássico,Premium"</formula1>
    </dataValidation>
    <dataValidation type="list" sqref="J1355" allowBlank="true" errorStyle="stop" showErrorMessage="true" showInputMessage="true">
      <formula1>"R$"</formula1>
    </dataValidation>
    <dataValidation type="list" sqref="K1355" allowBlank="true" errorStyle="stop" showErrorMessage="true" showInputMessage="true">
      <formula1>"Com impostos,Sem impostos"</formula1>
    </dataValidation>
    <dataValidation type="list" sqref="V1355" allowBlank="true" errorStyle="stop" showErrorMessage="true" showInputMessage="true">
      <formula1>"Mercado Envios por conta do comprador,Mercado Envios grátis"</formula1>
    </dataValidation>
    <dataValidation type="list" sqref="W1355" allowBlank="true" errorStyle="stop" showErrorMessage="true" showInputMessage="true">
      <formula1>"Clássico,Premium"</formula1>
    </dataValidation>
    <dataValidation type="list" sqref="J1356" allowBlank="true" errorStyle="stop" showErrorMessage="true" showInputMessage="true">
      <formula1>"R$"</formula1>
    </dataValidation>
    <dataValidation type="list" sqref="K1356" allowBlank="true" errorStyle="stop" showErrorMessage="true" showInputMessage="true">
      <formula1>"Com impostos,Sem impostos"</formula1>
    </dataValidation>
    <dataValidation type="list" sqref="V1356" allowBlank="true" errorStyle="stop" showErrorMessage="true" showInputMessage="true">
      <formula1>"Mercado Envios por conta do comprador,Mercado Envios grátis"</formula1>
    </dataValidation>
    <dataValidation type="list" sqref="W1356" allowBlank="true" errorStyle="stop" showErrorMessage="true" showInputMessage="true">
      <formula1>"Clássico,Premium"</formula1>
    </dataValidation>
    <dataValidation type="list" sqref="J1357" allowBlank="true" errorStyle="stop" showErrorMessage="true" showInputMessage="true">
      <formula1>"R$"</formula1>
    </dataValidation>
    <dataValidation type="list" sqref="K1357" allowBlank="true" errorStyle="stop" showErrorMessage="true" showInputMessage="true">
      <formula1>"Com impostos,Sem impostos"</formula1>
    </dataValidation>
    <dataValidation type="list" sqref="V1357" allowBlank="true" errorStyle="stop" showErrorMessage="true" showInputMessage="true">
      <formula1>"Mercado Envios por conta do comprador,Mercado Envios grátis"</formula1>
    </dataValidation>
    <dataValidation type="list" sqref="W1357" allowBlank="true" errorStyle="stop" showErrorMessage="true" showInputMessage="true">
      <formula1>"Clássico,Premium"</formula1>
    </dataValidation>
    <dataValidation type="list" sqref="J1358" allowBlank="true" errorStyle="stop" showErrorMessage="true" showInputMessage="true">
      <formula1>"R$"</formula1>
    </dataValidation>
    <dataValidation type="list" sqref="K1358" allowBlank="true" errorStyle="stop" showErrorMessage="true" showInputMessage="true">
      <formula1>"Com impostos,Sem impostos"</formula1>
    </dataValidation>
    <dataValidation type="list" sqref="V1358" allowBlank="true" errorStyle="stop" showErrorMessage="true" showInputMessage="true">
      <formula1>"Mercado Envios por conta do comprador,Mercado Envios grátis"</formula1>
    </dataValidation>
    <dataValidation type="list" sqref="W1358" allowBlank="true" errorStyle="stop" showErrorMessage="true" showInputMessage="true">
      <formula1>"Clássico,Premium"</formula1>
    </dataValidation>
    <dataValidation type="list" sqref="J1359" allowBlank="true" errorStyle="stop" showErrorMessage="true" showInputMessage="true">
      <formula1>"R$"</formula1>
    </dataValidation>
    <dataValidation type="list" sqref="K1359" allowBlank="true" errorStyle="stop" showErrorMessage="true" showInputMessage="true">
      <formula1>"Com impostos,Sem impostos"</formula1>
    </dataValidation>
    <dataValidation type="list" sqref="V1359" allowBlank="true" errorStyle="stop" showErrorMessage="true" showInputMessage="true">
      <formula1>"Mercado Envios por conta do comprador,Mercado Envios grátis"</formula1>
    </dataValidation>
    <dataValidation type="list" sqref="W1359" allowBlank="true" errorStyle="stop" showErrorMessage="true" showInputMessage="true">
      <formula1>"Clássico,Premium"</formula1>
    </dataValidation>
    <dataValidation type="list" sqref="J1360" allowBlank="true" errorStyle="stop" showErrorMessage="true" showInputMessage="true">
      <formula1>"R$"</formula1>
    </dataValidation>
    <dataValidation type="list" sqref="K1360" allowBlank="true" errorStyle="stop" showErrorMessage="true" showInputMessage="true">
      <formula1>"Com impostos,Sem impostos"</formula1>
    </dataValidation>
    <dataValidation type="list" sqref="V1360" allowBlank="true" errorStyle="stop" showErrorMessage="true" showInputMessage="true">
      <formula1>"Mercado Envios por conta do comprador,Mercado Envios grátis"</formula1>
    </dataValidation>
    <dataValidation type="list" sqref="W1360" allowBlank="true" errorStyle="stop" showErrorMessage="true" showInputMessage="true">
      <formula1>"Clássico,Premium"</formula1>
    </dataValidation>
    <dataValidation type="list" sqref="J1361" allowBlank="true" errorStyle="stop" showErrorMessage="true" showInputMessage="true">
      <formula1>"R$"</formula1>
    </dataValidation>
    <dataValidation type="list" sqref="K1361" allowBlank="true" errorStyle="stop" showErrorMessage="true" showInputMessage="true">
      <formula1>"Com impostos,Sem impostos"</formula1>
    </dataValidation>
    <dataValidation type="list" sqref="V1361" allowBlank="true" errorStyle="stop" showErrorMessage="true" showInputMessage="true">
      <formula1>"Mercado Envios por conta do comprador,Mercado Envios grátis"</formula1>
    </dataValidation>
    <dataValidation type="list" sqref="W1361" allowBlank="true" errorStyle="stop" showErrorMessage="true" showInputMessage="true">
      <formula1>"Clássico,Premium"</formula1>
    </dataValidation>
    <dataValidation type="list" sqref="J1362" allowBlank="true" errorStyle="stop" showErrorMessage="true" showInputMessage="true">
      <formula1>"R$"</formula1>
    </dataValidation>
    <dataValidation type="list" sqref="K1362" allowBlank="true" errorStyle="stop" showErrorMessage="true" showInputMessage="true">
      <formula1>"Com impostos,Sem impostos"</formula1>
    </dataValidation>
    <dataValidation type="list" sqref="V1362" allowBlank="true" errorStyle="stop" showErrorMessage="true" showInputMessage="true">
      <formula1>"Mercado Envios por conta do comprador,Mercado Envios grátis"</formula1>
    </dataValidation>
    <dataValidation type="list" sqref="W1362" allowBlank="true" errorStyle="stop" showErrorMessage="true" showInputMessage="true">
      <formula1>"Clássico,Premium"</formula1>
    </dataValidation>
    <dataValidation type="list" sqref="J1363" allowBlank="true" errorStyle="stop" showErrorMessage="true" showInputMessage="true">
      <formula1>"R$"</formula1>
    </dataValidation>
    <dataValidation type="list" sqref="K1363" allowBlank="true" errorStyle="stop" showErrorMessage="true" showInputMessage="true">
      <formula1>"Com impostos,Sem impostos"</formula1>
    </dataValidation>
    <dataValidation type="list" sqref="V1363" allowBlank="true" errorStyle="stop" showErrorMessage="true" showInputMessage="true">
      <formula1>"Mercado Envios por conta do comprador,Mercado Envios grátis"</formula1>
    </dataValidation>
    <dataValidation type="list" sqref="W1363" allowBlank="true" errorStyle="stop" showErrorMessage="true" showInputMessage="true">
      <formula1>"Clássico,Premium"</formula1>
    </dataValidation>
    <dataValidation type="list" sqref="J1364" allowBlank="true" errorStyle="stop" showErrorMessage="true" showInputMessage="true">
      <formula1>"R$"</formula1>
    </dataValidation>
    <dataValidation type="list" sqref="K1364" allowBlank="true" errorStyle="stop" showErrorMessage="true" showInputMessage="true">
      <formula1>"Com impostos,Sem impostos"</formula1>
    </dataValidation>
    <dataValidation type="list" sqref="V1364" allowBlank="true" errorStyle="stop" showErrorMessage="true" showInputMessage="true">
      <formula1>"Mercado Envios por conta do comprador,Mercado Envios grátis"</formula1>
    </dataValidation>
    <dataValidation type="list" sqref="W1364" allowBlank="true" errorStyle="stop" showErrorMessage="true" showInputMessage="true">
      <formula1>"Clássico,Premium"</formula1>
    </dataValidation>
    <dataValidation type="list" sqref="J1365" allowBlank="true" errorStyle="stop" showErrorMessage="true" showInputMessage="true">
      <formula1>"R$"</formula1>
    </dataValidation>
    <dataValidation type="list" sqref="K1365" allowBlank="true" errorStyle="stop" showErrorMessage="true" showInputMessage="true">
      <formula1>"Com impostos,Sem impostos"</formula1>
    </dataValidation>
    <dataValidation type="list" sqref="V1365" allowBlank="true" errorStyle="stop" showErrorMessage="true" showInputMessage="true">
      <formula1>"Mercado Envios por conta do comprador,Mercado Envios grátis"</formula1>
    </dataValidation>
    <dataValidation type="list" sqref="W1365" allowBlank="true" errorStyle="stop" showErrorMessage="true" showInputMessage="true">
      <formula1>"Clássico,Premium"</formula1>
    </dataValidation>
    <dataValidation type="list" sqref="J1366" allowBlank="true" errorStyle="stop" showErrorMessage="true" showInputMessage="true">
      <formula1>"R$"</formula1>
    </dataValidation>
    <dataValidation type="list" sqref="K1366" allowBlank="true" errorStyle="stop" showErrorMessage="true" showInputMessage="true">
      <formula1>"Com impostos,Sem impostos"</formula1>
    </dataValidation>
    <dataValidation type="list" sqref="V1366" allowBlank="true" errorStyle="stop" showErrorMessage="true" showInputMessage="true">
      <formula1>"Mercado Envios por conta do comprador,Mercado Envios grátis"</formula1>
    </dataValidation>
    <dataValidation type="list" sqref="W1366" allowBlank="true" errorStyle="stop" showErrorMessage="true" showInputMessage="true">
      <formula1>"Clássico,Premium"</formula1>
    </dataValidation>
    <dataValidation type="list" sqref="J1367" allowBlank="true" errorStyle="stop" showErrorMessage="true" showInputMessage="true">
      <formula1>"R$"</formula1>
    </dataValidation>
    <dataValidation type="list" sqref="K1367" allowBlank="true" errorStyle="stop" showErrorMessage="true" showInputMessage="true">
      <formula1>"Com impostos,Sem impostos"</formula1>
    </dataValidation>
    <dataValidation type="list" sqref="V1367" allowBlank="true" errorStyle="stop" showErrorMessage="true" showInputMessage="true">
      <formula1>"Mercado Envios por conta do comprador,Mercado Envios grátis"</formula1>
    </dataValidation>
    <dataValidation type="list" sqref="W1367" allowBlank="true" errorStyle="stop" showErrorMessage="true" showInputMessage="true">
      <formula1>"Clássico,Premium"</formula1>
    </dataValidation>
    <dataValidation type="list" sqref="J1368" allowBlank="true" errorStyle="stop" showErrorMessage="true" showInputMessage="true">
      <formula1>"R$"</formula1>
    </dataValidation>
    <dataValidation type="list" sqref="K1368" allowBlank="true" errorStyle="stop" showErrorMessage="true" showInputMessage="true">
      <formula1>"Com impostos,Sem impostos"</formula1>
    </dataValidation>
    <dataValidation type="list" sqref="V1368" allowBlank="true" errorStyle="stop" showErrorMessage="true" showInputMessage="true">
      <formula1>"Mercado Envios por conta do comprador,Mercado Envios grátis"</formula1>
    </dataValidation>
    <dataValidation type="list" sqref="W1368" allowBlank="true" errorStyle="stop" showErrorMessage="true" showInputMessage="true">
      <formula1>"Clássico,Premium"</formula1>
    </dataValidation>
    <dataValidation type="list" sqref="J1369" allowBlank="true" errorStyle="stop" showErrorMessage="true" showInputMessage="true">
      <formula1>"R$"</formula1>
    </dataValidation>
    <dataValidation type="list" sqref="K1369" allowBlank="true" errorStyle="stop" showErrorMessage="true" showInputMessage="true">
      <formula1>"Com impostos,Sem impostos"</formula1>
    </dataValidation>
    <dataValidation type="list" sqref="V1369" allowBlank="true" errorStyle="stop" showErrorMessage="true" showInputMessage="true">
      <formula1>"Mercado Envios por conta do comprador,Mercado Envios grátis"</formula1>
    </dataValidation>
    <dataValidation type="list" sqref="W1369" allowBlank="true" errorStyle="stop" showErrorMessage="true" showInputMessage="true">
      <formula1>"Clássico,Premium"</formula1>
    </dataValidation>
    <dataValidation type="list" sqref="J1370" allowBlank="true" errorStyle="stop" showErrorMessage="true" showInputMessage="true">
      <formula1>"R$"</formula1>
    </dataValidation>
    <dataValidation type="list" sqref="K1370" allowBlank="true" errorStyle="stop" showErrorMessage="true" showInputMessage="true">
      <formula1>"Com impostos,Sem impostos"</formula1>
    </dataValidation>
    <dataValidation type="list" sqref="V1370" allowBlank="true" errorStyle="stop" showErrorMessage="true" showInputMessage="true">
      <formula1>"Mercado Envios por conta do comprador,Mercado Envios grátis"</formula1>
    </dataValidation>
    <dataValidation type="list" sqref="W1370" allowBlank="true" errorStyle="stop" showErrorMessage="true" showInputMessage="true">
      <formula1>"Clássico,Premium"</formula1>
    </dataValidation>
    <dataValidation type="list" sqref="J1371" allowBlank="true" errorStyle="stop" showErrorMessage="true" showInputMessage="true">
      <formula1>"R$"</formula1>
    </dataValidation>
    <dataValidation type="list" sqref="K1371" allowBlank="true" errorStyle="stop" showErrorMessage="true" showInputMessage="true">
      <formula1>"Com impostos,Sem impostos"</formula1>
    </dataValidation>
    <dataValidation type="list" sqref="V1371" allowBlank="true" errorStyle="stop" showErrorMessage="true" showInputMessage="true">
      <formula1>"Mercado Envios por conta do comprador,Mercado Envios grátis"</formula1>
    </dataValidation>
    <dataValidation type="list" sqref="W1371" allowBlank="true" errorStyle="stop" showErrorMessage="true" showInputMessage="true">
      <formula1>"Clássico,Premium"</formula1>
    </dataValidation>
    <dataValidation type="list" sqref="J1372" allowBlank="true" errorStyle="stop" showErrorMessage="true" showInputMessage="true">
      <formula1>"R$"</formula1>
    </dataValidation>
    <dataValidation type="list" sqref="K1372" allowBlank="true" errorStyle="stop" showErrorMessage="true" showInputMessage="true">
      <formula1>"Com impostos,Sem impostos"</formula1>
    </dataValidation>
    <dataValidation type="list" sqref="V1372" allowBlank="true" errorStyle="stop" showErrorMessage="true" showInputMessage="true">
      <formula1>"Mercado Envios por conta do comprador,Mercado Envios grátis"</formula1>
    </dataValidation>
    <dataValidation type="list" sqref="W1372" allowBlank="true" errorStyle="stop" showErrorMessage="true" showInputMessage="true">
      <formula1>"Clássico,Premium"</formula1>
    </dataValidation>
    <dataValidation type="list" sqref="J1373" allowBlank="true" errorStyle="stop" showErrorMessage="true" showInputMessage="true">
      <formula1>"R$"</formula1>
    </dataValidation>
    <dataValidation type="list" sqref="K1373" allowBlank="true" errorStyle="stop" showErrorMessage="true" showInputMessage="true">
      <formula1>"Com impostos,Sem impostos"</formula1>
    </dataValidation>
    <dataValidation type="list" sqref="V1373" allowBlank="true" errorStyle="stop" showErrorMessage="true" showInputMessage="true">
      <formula1>"Mercado Envios por conta do comprador,Mercado Envios grátis"</formula1>
    </dataValidation>
    <dataValidation type="list" sqref="W1373" allowBlank="true" errorStyle="stop" showErrorMessage="true" showInputMessage="true">
      <formula1>"Clássico,Premium"</formula1>
    </dataValidation>
    <dataValidation type="list" sqref="J1374" allowBlank="true" errorStyle="stop" showErrorMessage="true" showInputMessage="true">
      <formula1>"R$"</formula1>
    </dataValidation>
    <dataValidation type="list" sqref="K1374" allowBlank="true" errorStyle="stop" showErrorMessage="true" showInputMessage="true">
      <formula1>"Com impostos,Sem impostos"</formula1>
    </dataValidation>
    <dataValidation type="list" sqref="V1374" allowBlank="true" errorStyle="stop" showErrorMessage="true" showInputMessage="true">
      <formula1>"Mercado Envios por conta do comprador,Mercado Envios grátis"</formula1>
    </dataValidation>
    <dataValidation type="list" sqref="W1374" allowBlank="true" errorStyle="stop" showErrorMessage="true" showInputMessage="true">
      <formula1>"Clássico,Premium"</formula1>
    </dataValidation>
    <dataValidation type="list" sqref="J1375" allowBlank="true" errorStyle="stop" showErrorMessage="true" showInputMessage="true">
      <formula1>"R$"</formula1>
    </dataValidation>
    <dataValidation type="list" sqref="K1375" allowBlank="true" errorStyle="stop" showErrorMessage="true" showInputMessage="true">
      <formula1>"Com impostos,Sem impostos"</formula1>
    </dataValidation>
    <dataValidation type="list" sqref="V1375" allowBlank="true" errorStyle="stop" showErrorMessage="true" showInputMessage="true">
      <formula1>"Mercado Envios por conta do comprador,Mercado Envios grátis"</formula1>
    </dataValidation>
    <dataValidation type="list" sqref="W1375" allowBlank="true" errorStyle="stop" showErrorMessage="true" showInputMessage="true">
      <formula1>"Clássico,Premium"</formula1>
    </dataValidation>
    <dataValidation type="list" sqref="J1376" allowBlank="true" errorStyle="stop" showErrorMessage="true" showInputMessage="true">
      <formula1>"R$"</formula1>
    </dataValidation>
    <dataValidation type="list" sqref="K1376" allowBlank="true" errorStyle="stop" showErrorMessage="true" showInputMessage="true">
      <formula1>"Com impostos,Sem impostos"</formula1>
    </dataValidation>
    <dataValidation type="list" sqref="V1376" allowBlank="true" errorStyle="stop" showErrorMessage="true" showInputMessage="true">
      <formula1>"Mercado Envios por conta do comprador,Mercado Envios grátis"</formula1>
    </dataValidation>
    <dataValidation type="list" sqref="W1376" allowBlank="true" errorStyle="stop" showErrorMessage="true" showInputMessage="true">
      <formula1>"Clássico,Premium"</formula1>
    </dataValidation>
    <dataValidation type="list" sqref="J1377" allowBlank="true" errorStyle="stop" showErrorMessage="true" showInputMessage="true">
      <formula1>"R$"</formula1>
    </dataValidation>
    <dataValidation type="list" sqref="K1377" allowBlank="true" errorStyle="stop" showErrorMessage="true" showInputMessage="true">
      <formula1>"Com impostos,Sem impostos"</formula1>
    </dataValidation>
    <dataValidation type="list" sqref="V1377" allowBlank="true" errorStyle="stop" showErrorMessage="true" showInputMessage="true">
      <formula1>"Mercado Envios por conta do comprador,Mercado Envios grátis"</formula1>
    </dataValidation>
    <dataValidation type="list" sqref="W1377" allowBlank="true" errorStyle="stop" showErrorMessage="true" showInputMessage="true">
      <formula1>"Clássico,Premium"</formula1>
    </dataValidation>
    <dataValidation type="list" sqref="J1378" allowBlank="true" errorStyle="stop" showErrorMessage="true" showInputMessage="true">
      <formula1>"R$"</formula1>
    </dataValidation>
    <dataValidation type="list" sqref="K1378" allowBlank="true" errorStyle="stop" showErrorMessage="true" showInputMessage="true">
      <formula1>"Com impostos,Sem impostos"</formula1>
    </dataValidation>
    <dataValidation type="list" sqref="V1378" allowBlank="true" errorStyle="stop" showErrorMessage="true" showInputMessage="true">
      <formula1>"Mercado Envios por conta do comprador,Mercado Envios grátis"</formula1>
    </dataValidation>
    <dataValidation type="list" sqref="W1378" allowBlank="true" errorStyle="stop" showErrorMessage="true" showInputMessage="true">
      <formula1>"Clássico,Premium"</formula1>
    </dataValidation>
    <dataValidation type="list" sqref="J1379" allowBlank="true" errorStyle="stop" showErrorMessage="true" showInputMessage="true">
      <formula1>"R$"</formula1>
    </dataValidation>
    <dataValidation type="list" sqref="V1379" allowBlank="true" errorStyle="stop" showErrorMessage="true" showInputMessage="true">
      <formula1>"Mercado Envios por conta do comprador,Mercado Envios grátis"</formula1>
    </dataValidation>
    <dataValidation type="list" sqref="W1379" allowBlank="true" errorStyle="stop" showErrorMessage="true" showInputMessage="true">
      <formula1>"Clássico,Premium"</formula1>
    </dataValidation>
    <dataValidation type="list" sqref="J1382" allowBlank="true" errorStyle="stop" showErrorMessage="true" showInputMessage="true">
      <formula1>"R$"</formula1>
    </dataValidation>
    <dataValidation type="list" sqref="K1382" allowBlank="true" errorStyle="stop" showErrorMessage="true" showInputMessage="true">
      <formula1>"Com impostos,Sem impostos"</formula1>
    </dataValidation>
    <dataValidation type="list" sqref="V1382" allowBlank="true" errorStyle="stop" showErrorMessage="true" showInputMessage="true">
      <formula1>"Mercado Envios por conta do comprador,Mercado Envios grátis"</formula1>
    </dataValidation>
    <dataValidation type="list" sqref="W1382" allowBlank="true" errorStyle="stop" showErrorMessage="true" showInputMessage="true">
      <formula1>"Clássico,Premium"</formula1>
    </dataValidation>
    <dataValidation type="list" sqref="J1383" allowBlank="true" errorStyle="stop" showErrorMessage="true" showInputMessage="true">
      <formula1>"R$"</formula1>
    </dataValidation>
    <dataValidation type="list" sqref="K1383" allowBlank="true" errorStyle="stop" showErrorMessage="true" showInputMessage="true">
      <formula1>"Com impostos,Sem impostos"</formula1>
    </dataValidation>
    <dataValidation type="list" sqref="V1383" allowBlank="true" errorStyle="stop" showErrorMessage="true" showInputMessage="true">
      <formula1>"Mercado Envios por conta do comprador,Mercado Envios grátis"</formula1>
    </dataValidation>
    <dataValidation type="list" sqref="W1383" allowBlank="true" errorStyle="stop" showErrorMessage="true" showInputMessage="true">
      <formula1>"Clássico,Premium"</formula1>
    </dataValidation>
    <dataValidation type="list" sqref="J1384" allowBlank="true" errorStyle="stop" showErrorMessage="true" showInputMessage="true">
      <formula1>"R$"</formula1>
    </dataValidation>
    <dataValidation type="list" sqref="K1384" allowBlank="true" errorStyle="stop" showErrorMessage="true" showInputMessage="true">
      <formula1>"Com impostos,Sem impostos"</formula1>
    </dataValidation>
    <dataValidation type="list" sqref="V1384" allowBlank="true" errorStyle="stop" showErrorMessage="true" showInputMessage="true">
      <formula1>"Mercado Envios por conta do comprador,Mercado Envios grátis"</formula1>
    </dataValidation>
    <dataValidation type="list" sqref="W1384" allowBlank="true" errorStyle="stop" showErrorMessage="true" showInputMessage="true">
      <formula1>"Clássico,Premium"</formula1>
    </dataValidation>
    <dataValidation type="list" sqref="J1385" allowBlank="true" errorStyle="stop" showErrorMessage="true" showInputMessage="true">
      <formula1>"R$"</formula1>
    </dataValidation>
    <dataValidation type="list" sqref="K1385" allowBlank="true" errorStyle="stop" showErrorMessage="true" showInputMessage="true">
      <formula1>"Com impostos,Sem impostos"</formula1>
    </dataValidation>
    <dataValidation type="list" sqref="V1385" allowBlank="true" errorStyle="stop" showErrorMessage="true" showInputMessage="true">
      <formula1>"Mercado Envios por conta do comprador,Mercado Envios grátis"</formula1>
    </dataValidation>
    <dataValidation type="list" sqref="W1385" allowBlank="true" errorStyle="stop" showErrorMessage="true" showInputMessage="true">
      <formula1>"Clássico,Premium"</formula1>
    </dataValidation>
    <dataValidation type="list" sqref="J1386" allowBlank="true" errorStyle="stop" showErrorMessage="true" showInputMessage="true">
      <formula1>"R$"</formula1>
    </dataValidation>
    <dataValidation type="list" sqref="V1386" allowBlank="true" errorStyle="stop" showErrorMessage="true" showInputMessage="true">
      <formula1>"Mercado Envios por conta do comprador,Mercado Envios grátis"</formula1>
    </dataValidation>
    <dataValidation type="list" sqref="W1386" allowBlank="true" errorStyle="stop" showErrorMessage="true" showInputMessage="true">
      <formula1>"Clássico,Premium"</formula1>
    </dataValidation>
    <dataValidation type="list" sqref="J1387" allowBlank="true" errorStyle="stop" showErrorMessage="true" showInputMessage="true">
      <formula1>"R$"</formula1>
    </dataValidation>
    <dataValidation type="list" sqref="K1387" allowBlank="true" errorStyle="stop" showErrorMessage="true" showInputMessage="true">
      <formula1>"Com impostos,Sem impostos"</formula1>
    </dataValidation>
    <dataValidation type="list" sqref="V1387" allowBlank="true" errorStyle="stop" showErrorMessage="true" showInputMessage="true">
      <formula1>"Mercado Envios por conta do comprador,Mercado Envios grátis"</formula1>
    </dataValidation>
    <dataValidation type="list" sqref="W1387" allowBlank="true" errorStyle="stop" showErrorMessage="true" showInputMessage="true">
      <formula1>"Clássico,Premium"</formula1>
    </dataValidation>
    <dataValidation type="list" sqref="J1388" allowBlank="true" errorStyle="stop" showErrorMessage="true" showInputMessage="true">
      <formula1>"R$"</formula1>
    </dataValidation>
    <dataValidation type="list" sqref="K1388" allowBlank="true" errorStyle="stop" showErrorMessage="true" showInputMessage="true">
      <formula1>"Com impostos,Sem impostos"</formula1>
    </dataValidation>
    <dataValidation type="list" sqref="V1388" allowBlank="true" errorStyle="stop" showErrorMessage="true" showInputMessage="true">
      <formula1>"Mercado Envios por conta do comprador,Mercado Envios grátis"</formula1>
    </dataValidation>
    <dataValidation type="list" sqref="W1388" allowBlank="true" errorStyle="stop" showErrorMessage="true" showInputMessage="true">
      <formula1>"Clássico,Premium"</formula1>
    </dataValidation>
    <dataValidation type="list" sqref="J1389" allowBlank="true" errorStyle="stop" showErrorMessage="true" showInputMessage="true">
      <formula1>"R$"</formula1>
    </dataValidation>
    <dataValidation type="list" sqref="K1389" allowBlank="true" errorStyle="stop" showErrorMessage="true" showInputMessage="true">
      <formula1>"Com impostos,Sem impostos"</formula1>
    </dataValidation>
    <dataValidation type="list" sqref="V1389" allowBlank="true" errorStyle="stop" showErrorMessage="true" showInputMessage="true">
      <formula1>"Mercado Envios por conta do comprador,Mercado Envios grátis"</formula1>
    </dataValidation>
    <dataValidation type="list" sqref="W1389" allowBlank="true" errorStyle="stop" showErrorMessage="true" showInputMessage="true">
      <formula1>"Clássico,Premium"</formula1>
    </dataValidation>
    <dataValidation type="list" sqref="J1390" allowBlank="true" errorStyle="stop" showErrorMessage="true" showInputMessage="true">
      <formula1>"R$"</formula1>
    </dataValidation>
    <dataValidation type="list" sqref="K1390" allowBlank="true" errorStyle="stop" showErrorMessage="true" showInputMessage="true">
      <formula1>"Com impostos,Sem impostos"</formula1>
    </dataValidation>
    <dataValidation type="list" sqref="V1390" allowBlank="true" errorStyle="stop" showErrorMessage="true" showInputMessage="true">
      <formula1>"Mercado Envios por conta do comprador,Mercado Envios grátis"</formula1>
    </dataValidation>
    <dataValidation type="list" sqref="W1390" allowBlank="true" errorStyle="stop" showErrorMessage="true" showInputMessage="true">
      <formula1>"Clássico,Premium"</formula1>
    </dataValidation>
    <dataValidation type="list" sqref="J1391" allowBlank="true" errorStyle="stop" showErrorMessage="true" showInputMessage="true">
      <formula1>"R$"</formula1>
    </dataValidation>
    <dataValidation type="list" sqref="K1391" allowBlank="true" errorStyle="stop" showErrorMessage="true" showInputMessage="true">
      <formula1>"Com impostos,Sem impostos"</formula1>
    </dataValidation>
    <dataValidation type="list" sqref="V1391" allowBlank="true" errorStyle="stop" showErrorMessage="true" showInputMessage="true">
      <formula1>"Mercado Envios por conta do comprador,Mercado Envios grátis"</formula1>
    </dataValidation>
    <dataValidation type="list" sqref="W1391" allowBlank="true" errorStyle="stop" showErrorMessage="true" showInputMessage="true">
      <formula1>"Clássico,Premium"</formula1>
    </dataValidation>
    <dataValidation type="list" sqref="J1392" allowBlank="true" errorStyle="stop" showErrorMessage="true" showInputMessage="true">
      <formula1>"R$"</formula1>
    </dataValidation>
    <dataValidation type="list" sqref="K1392" allowBlank="true" errorStyle="stop" showErrorMessage="true" showInputMessage="true">
      <formula1>"Com impostos,Sem impostos"</formula1>
    </dataValidation>
    <dataValidation type="list" sqref="V1392" allowBlank="true" errorStyle="stop" showErrorMessage="true" showInputMessage="true">
      <formula1>"Mercado Envios por conta do comprador,Mercado Envios grátis"</formula1>
    </dataValidation>
    <dataValidation type="list" sqref="W1392" allowBlank="true" errorStyle="stop" showErrorMessage="true" showInputMessage="true">
      <formula1>"Clássico,Premium"</formula1>
    </dataValidation>
    <dataValidation type="list" sqref="J1393" allowBlank="true" errorStyle="stop" showErrorMessage="true" showInputMessage="true">
      <formula1>"R$"</formula1>
    </dataValidation>
    <dataValidation type="list" sqref="K1393" allowBlank="true" errorStyle="stop" showErrorMessage="true" showInputMessage="true">
      <formula1>"Com impostos,Sem impostos"</formula1>
    </dataValidation>
    <dataValidation type="list" sqref="V1393" allowBlank="true" errorStyle="stop" showErrorMessage="true" showInputMessage="true">
      <formula1>"Mercado Envios por conta do comprador,Mercado Envios grátis"</formula1>
    </dataValidation>
    <dataValidation type="list" sqref="W1393" allowBlank="true" errorStyle="stop" showErrorMessage="true" showInputMessage="true">
      <formula1>"Clássico,Premium"</formula1>
    </dataValidation>
    <dataValidation type="list" sqref="J1394" allowBlank="true" errorStyle="stop" showErrorMessage="true" showInputMessage="true">
      <formula1>"R$"</formula1>
    </dataValidation>
    <dataValidation type="list" sqref="K1394" allowBlank="true" errorStyle="stop" showErrorMessage="true" showInputMessage="true">
      <formula1>"Com impostos,Sem impostos"</formula1>
    </dataValidation>
    <dataValidation type="list" sqref="V1394" allowBlank="true" errorStyle="stop" showErrorMessage="true" showInputMessage="true">
      <formula1>"Mercado Envios por conta do comprador,Mercado Envios grátis"</formula1>
    </dataValidation>
    <dataValidation type="list" sqref="W1394" allowBlank="true" errorStyle="stop" showErrorMessage="true" showInputMessage="true">
      <formula1>"Clássico,Premium"</formula1>
    </dataValidation>
    <dataValidation type="list" sqref="J1395" allowBlank="true" errorStyle="stop" showErrorMessage="true" showInputMessage="true">
      <formula1>"R$"</formula1>
    </dataValidation>
    <dataValidation type="list" sqref="K1395" allowBlank="true" errorStyle="stop" showErrorMessage="true" showInputMessage="true">
      <formula1>"Com impostos,Sem impostos"</formula1>
    </dataValidation>
    <dataValidation type="list" sqref="V1395" allowBlank="true" errorStyle="stop" showErrorMessage="true" showInputMessage="true">
      <formula1>"Mercado Envios por conta do comprador,Mercado Envios grátis"</formula1>
    </dataValidation>
    <dataValidation type="list" sqref="W1395" allowBlank="true" errorStyle="stop" showErrorMessage="true" showInputMessage="true">
      <formula1>"Clássico,Premium"</formula1>
    </dataValidation>
    <dataValidation type="list" sqref="J1396" allowBlank="true" errorStyle="stop" showErrorMessage="true" showInputMessage="true">
      <formula1>"R$"</formula1>
    </dataValidation>
    <dataValidation type="list" sqref="K1396" allowBlank="true" errorStyle="stop" showErrorMessage="true" showInputMessage="true">
      <formula1>"Com impostos,Sem impostos"</formula1>
    </dataValidation>
    <dataValidation type="list" sqref="V1396" allowBlank="true" errorStyle="stop" showErrorMessage="true" showInputMessage="true">
      <formula1>"Mercado Envios por conta do comprador,Mercado Envios grátis"</formula1>
    </dataValidation>
    <dataValidation type="list" sqref="W1396" allowBlank="true" errorStyle="stop" showErrorMessage="true" showInputMessage="true">
      <formula1>"Clássico,Premium"</formula1>
    </dataValidation>
    <dataValidation type="list" sqref="J1397" allowBlank="true" errorStyle="stop" showErrorMessage="true" showInputMessage="true">
      <formula1>"R$"</formula1>
    </dataValidation>
    <dataValidation type="list" sqref="V1397" allowBlank="true" errorStyle="stop" showErrorMessage="true" showInputMessage="true">
      <formula1>"Mercado Envios por conta do comprador,Mercado Envios grátis"</formula1>
    </dataValidation>
    <dataValidation type="list" sqref="W1397" allowBlank="true" errorStyle="stop" showErrorMessage="true" showInputMessage="true">
      <formula1>"Clássico,Premium"</formula1>
    </dataValidation>
    <dataValidation type="list" sqref="J1398" allowBlank="true" errorStyle="stop" showErrorMessage="true" showInputMessage="true">
      <formula1>"R$"</formula1>
    </dataValidation>
    <dataValidation type="list" sqref="K1398" allowBlank="true" errorStyle="stop" showErrorMessage="true" showInputMessage="true">
      <formula1>"Com impostos,Sem impostos"</formula1>
    </dataValidation>
    <dataValidation type="list" sqref="V1398" allowBlank="true" errorStyle="stop" showErrorMessage="true" showInputMessage="true">
      <formula1>"Mercado Envios por conta do comprador,Mercado Envios grátis"</formula1>
    </dataValidation>
    <dataValidation type="list" sqref="W1398" allowBlank="true" errorStyle="stop" showErrorMessage="true" showInputMessage="true">
      <formula1>"Clássico,Premium"</formula1>
    </dataValidation>
    <dataValidation type="list" sqref="J1399" allowBlank="true" errorStyle="stop" showErrorMessage="true" showInputMessage="true">
      <formula1>"R$"</formula1>
    </dataValidation>
    <dataValidation type="list" sqref="K1399" allowBlank="true" errorStyle="stop" showErrorMessage="true" showInputMessage="true">
      <formula1>"Com impostos,Sem impostos"</formula1>
    </dataValidation>
    <dataValidation type="list" sqref="V1399" allowBlank="true" errorStyle="stop" showErrorMessage="true" showInputMessage="true">
      <formula1>"Mercado Envios por conta do comprador,Mercado Envios grátis"</formula1>
    </dataValidation>
    <dataValidation type="list" sqref="W1399" allowBlank="true" errorStyle="stop" showErrorMessage="true" showInputMessage="true">
      <formula1>"Clássico,Premium"</formula1>
    </dataValidation>
    <dataValidation type="list" sqref="J1400" allowBlank="true" errorStyle="stop" showErrorMessage="true" showInputMessage="true">
      <formula1>"R$"</formula1>
    </dataValidation>
    <dataValidation type="list" sqref="K1400" allowBlank="true" errorStyle="stop" showErrorMessage="true" showInputMessage="true">
      <formula1>"Com impostos,Sem impostos"</formula1>
    </dataValidation>
    <dataValidation type="list" sqref="V1400" allowBlank="true" errorStyle="stop" showErrorMessage="true" showInputMessage="true">
      <formula1>"Mercado Envios por conta do comprador,Mercado Envios grátis"</formula1>
    </dataValidation>
    <dataValidation type="list" sqref="W1400" allowBlank="true" errorStyle="stop" showErrorMessage="true" showInputMessage="true">
      <formula1>"Clássico,Premium"</formula1>
    </dataValidation>
    <dataValidation type="list" sqref="J1401" allowBlank="true" errorStyle="stop" showErrorMessage="true" showInputMessage="true">
      <formula1>"R$"</formula1>
    </dataValidation>
    <dataValidation type="list" sqref="K1401" allowBlank="true" errorStyle="stop" showErrorMessage="true" showInputMessage="true">
      <formula1>"Com impostos,Sem impostos"</formula1>
    </dataValidation>
    <dataValidation type="list" sqref="V1401" allowBlank="true" errorStyle="stop" showErrorMessage="true" showInputMessage="true">
      <formula1>"Mercado Envios por conta do comprador,Mercado Envios grátis"</formula1>
    </dataValidation>
    <dataValidation type="list" sqref="W1401" allowBlank="true" errorStyle="stop" showErrorMessage="true" showInputMessage="true">
      <formula1>"Clássico,Premium"</formula1>
    </dataValidation>
    <dataValidation type="list" sqref="J1402" allowBlank="true" errorStyle="stop" showErrorMessage="true" showInputMessage="true">
      <formula1>"R$"</formula1>
    </dataValidation>
    <dataValidation type="list" sqref="K1402" allowBlank="true" errorStyle="stop" showErrorMessage="true" showInputMessage="true">
      <formula1>"Com impostos,Sem impostos"</formula1>
    </dataValidation>
    <dataValidation type="list" sqref="V1402" allowBlank="true" errorStyle="stop" showErrorMessage="true" showInputMessage="true">
      <formula1>"Mercado Envios por conta do comprador,Mercado Envios grátis"</formula1>
    </dataValidation>
    <dataValidation type="list" sqref="W1402" allowBlank="true" errorStyle="stop" showErrorMessage="true" showInputMessage="true">
      <formula1>"Clássico,Premium"</formula1>
    </dataValidation>
    <dataValidation type="list" sqref="J1403" allowBlank="true" errorStyle="stop" showErrorMessage="true" showInputMessage="true">
      <formula1>"R$"</formula1>
    </dataValidation>
    <dataValidation type="list" sqref="K1403" allowBlank="true" errorStyle="stop" showErrorMessage="true" showInputMessage="true">
      <formula1>"Com impostos,Sem impostos"</formula1>
    </dataValidation>
    <dataValidation type="list" sqref="V1403" allowBlank="true" errorStyle="stop" showErrorMessage="true" showInputMessage="true">
      <formula1>"Mercado Envios por conta do comprador,Mercado Envios grátis"</formula1>
    </dataValidation>
    <dataValidation type="list" sqref="W1403" allowBlank="true" errorStyle="stop" showErrorMessage="true" showInputMessage="true">
      <formula1>"Clássico,Premium"</formula1>
    </dataValidation>
    <dataValidation type="list" sqref="J1404" allowBlank="true" errorStyle="stop" showErrorMessage="true" showInputMessage="true">
      <formula1>"R$"</formula1>
    </dataValidation>
    <dataValidation type="list" sqref="K1404" allowBlank="true" errorStyle="stop" showErrorMessage="true" showInputMessage="true">
      <formula1>"Com impostos,Sem impostos"</formula1>
    </dataValidation>
    <dataValidation type="list" sqref="V1404" allowBlank="true" errorStyle="stop" showErrorMessage="true" showInputMessage="true">
      <formula1>"Mercado Envios por conta do comprador,Mercado Envios grátis"</formula1>
    </dataValidation>
    <dataValidation type="list" sqref="W1404" allowBlank="true" errorStyle="stop" showErrorMessage="true" showInputMessage="true">
      <formula1>"Clássico,Premium"</formula1>
    </dataValidation>
    <dataValidation type="list" sqref="J1405" allowBlank="true" errorStyle="stop" showErrorMessage="true" showInputMessage="true">
      <formula1>"R$"</formula1>
    </dataValidation>
    <dataValidation type="list" sqref="K1405" allowBlank="true" errorStyle="stop" showErrorMessage="true" showInputMessage="true">
      <formula1>"Com impostos,Sem impostos"</formula1>
    </dataValidation>
    <dataValidation type="list" sqref="V1405" allowBlank="true" errorStyle="stop" showErrorMessage="true" showInputMessage="true">
      <formula1>"Mercado Envios por conta do comprador,Mercado Envios grátis"</formula1>
    </dataValidation>
    <dataValidation type="list" sqref="W1405" allowBlank="true" errorStyle="stop" showErrorMessage="true" showInputMessage="true">
      <formula1>"Clássico,Premium"</formula1>
    </dataValidation>
    <dataValidation type="list" sqref="J1406" allowBlank="true" errorStyle="stop" showErrorMessage="true" showInputMessage="true">
      <formula1>"R$"</formula1>
    </dataValidation>
    <dataValidation type="list" sqref="K1406" allowBlank="true" errorStyle="stop" showErrorMessage="true" showInputMessage="true">
      <formula1>"Com impostos,Sem impostos"</formula1>
    </dataValidation>
    <dataValidation type="list" sqref="V1406" allowBlank="true" errorStyle="stop" showErrorMessage="true" showInputMessage="true">
      <formula1>"Mercado Envios por conta do comprador,Mercado Envios grátis"</formula1>
    </dataValidation>
    <dataValidation type="list" sqref="W1406" allowBlank="true" errorStyle="stop" showErrorMessage="true" showInputMessage="true">
      <formula1>"Clássico,Premium"</formula1>
    </dataValidation>
    <dataValidation type="list" sqref="J1407" allowBlank="true" errorStyle="stop" showErrorMessage="true" showInputMessage="true">
      <formula1>"R$"</formula1>
    </dataValidation>
    <dataValidation type="list" sqref="K1407" allowBlank="true" errorStyle="stop" showErrorMessage="true" showInputMessage="true">
      <formula1>"Com impostos,Sem impostos"</formula1>
    </dataValidation>
    <dataValidation type="list" sqref="V1407" allowBlank="true" errorStyle="stop" showErrorMessage="true" showInputMessage="true">
      <formula1>"Mercado Envios por conta do comprador,Mercado Envios grátis"</formula1>
    </dataValidation>
    <dataValidation type="list" sqref="W1407" allowBlank="true" errorStyle="stop" showErrorMessage="true" showInputMessage="true">
      <formula1>"Clássico,Premium"</formula1>
    </dataValidation>
    <dataValidation type="list" sqref="J1408" allowBlank="true" errorStyle="stop" showErrorMessage="true" showInputMessage="true">
      <formula1>"R$"</formula1>
    </dataValidation>
    <dataValidation type="list" sqref="K1408" allowBlank="true" errorStyle="stop" showErrorMessage="true" showInputMessage="true">
      <formula1>"Com impostos,Sem impostos"</formula1>
    </dataValidation>
    <dataValidation type="list" sqref="V1408" allowBlank="true" errorStyle="stop" showErrorMessage="true" showInputMessage="true">
      <formula1>"Mercado Envios por conta do comprador,Mercado Envios grátis"</formula1>
    </dataValidation>
    <dataValidation type="list" sqref="W1408" allowBlank="true" errorStyle="stop" showErrorMessage="true" showInputMessage="true">
      <formula1>"Clássico,Premium"</formula1>
    </dataValidation>
    <dataValidation type="list" sqref="J1409" allowBlank="true" errorStyle="stop" showErrorMessage="true" showInputMessage="true">
      <formula1>"R$"</formula1>
    </dataValidation>
    <dataValidation type="list" sqref="K1409" allowBlank="true" errorStyle="stop" showErrorMessage="true" showInputMessage="true">
      <formula1>"Com impostos,Sem impostos"</formula1>
    </dataValidation>
    <dataValidation type="list" sqref="V1409" allowBlank="true" errorStyle="stop" showErrorMessage="true" showInputMessage="true">
      <formula1>"Mercado Envios por conta do comprador,Mercado Envios grátis"</formula1>
    </dataValidation>
    <dataValidation type="list" sqref="W1409" allowBlank="true" errorStyle="stop" showErrorMessage="true" showInputMessage="true">
      <formula1>"Clássico,Premium"</formula1>
    </dataValidation>
    <dataValidation type="list" sqref="J1410" allowBlank="true" errorStyle="stop" showErrorMessage="true" showInputMessage="true">
      <formula1>"R$"</formula1>
    </dataValidation>
    <dataValidation type="list" sqref="K1410" allowBlank="true" errorStyle="stop" showErrorMessage="true" showInputMessage="true">
      <formula1>"Com impostos,Sem impostos"</formula1>
    </dataValidation>
    <dataValidation type="list" sqref="V1410" allowBlank="true" errorStyle="stop" showErrorMessage="true" showInputMessage="true">
      <formula1>"Mercado Envios por conta do comprador,Mercado Envios grátis"</formula1>
    </dataValidation>
    <dataValidation type="list" sqref="W1410" allowBlank="true" errorStyle="stop" showErrorMessage="true" showInputMessage="true">
      <formula1>"Clássico,Premium"</formula1>
    </dataValidation>
    <dataValidation type="list" sqref="J1411" allowBlank="true" errorStyle="stop" showErrorMessage="true" showInputMessage="true">
      <formula1>"R$"</formula1>
    </dataValidation>
    <dataValidation type="list" sqref="V1411" allowBlank="true" errorStyle="stop" showErrorMessage="true" showInputMessage="true">
      <formula1>"Mercado Envios por conta do comprador,Mercado Envios grátis"</formula1>
    </dataValidation>
    <dataValidation type="list" sqref="W1411" allowBlank="true" errorStyle="stop" showErrorMessage="true" showInputMessage="true">
      <formula1>"Clássico,Premium"</formula1>
    </dataValidation>
    <dataValidation type="list" sqref="J1412" allowBlank="true" errorStyle="stop" showErrorMessage="true" showInputMessage="true">
      <formula1>"R$"</formula1>
    </dataValidation>
    <dataValidation type="list" sqref="V1412" allowBlank="true" errorStyle="stop" showErrorMessage="true" showInputMessage="true">
      <formula1>"Mercado Envios por conta do comprador,Mercado Envios grátis"</formula1>
    </dataValidation>
    <dataValidation type="list" sqref="W1412" allowBlank="true" errorStyle="stop" showErrorMessage="true" showInputMessage="true">
      <formula1>"Clássico,Premium"</formula1>
    </dataValidation>
    <dataValidation type="list" sqref="J1413" allowBlank="true" errorStyle="stop" showErrorMessage="true" showInputMessage="true">
      <formula1>"R$"</formula1>
    </dataValidation>
    <dataValidation type="list" sqref="V1413" allowBlank="true" errorStyle="stop" showErrorMessage="true" showInputMessage="true">
      <formula1>"Mercado Envios por conta do comprador,Mercado Envios grátis"</formula1>
    </dataValidation>
    <dataValidation type="list" sqref="W1413" allowBlank="true" errorStyle="stop" showErrorMessage="true" showInputMessage="true">
      <formula1>"Clássico,Premium"</formula1>
    </dataValidation>
    <dataValidation type="list" sqref="J1414" allowBlank="true" errorStyle="stop" showErrorMessage="true" showInputMessage="true">
      <formula1>"R$"</formula1>
    </dataValidation>
    <dataValidation type="list" sqref="V1414" allowBlank="true" errorStyle="stop" showErrorMessage="true" showInputMessage="true">
      <formula1>"Mercado Envios por conta do comprador,Mercado Envios grátis"</formula1>
    </dataValidation>
    <dataValidation type="list" sqref="W1414" allowBlank="true" errorStyle="stop" showErrorMessage="true" showInputMessage="true">
      <formula1>"Clássico,Premium"</formula1>
    </dataValidation>
    <dataValidation type="list" sqref="J1415" allowBlank="true" errorStyle="stop" showErrorMessage="true" showInputMessage="true">
      <formula1>"R$"</formula1>
    </dataValidation>
    <dataValidation type="list" sqref="K1415" allowBlank="true" errorStyle="stop" showErrorMessage="true" showInputMessage="true">
      <formula1>"Com impostos,Sem impostos"</formula1>
    </dataValidation>
    <dataValidation type="list" sqref="V1415" allowBlank="true" errorStyle="stop" showErrorMessage="true" showInputMessage="true">
      <formula1>"Mercado Envios por conta do comprador,Mercado Envios grátis"</formula1>
    </dataValidation>
    <dataValidation type="list" sqref="W1415" allowBlank="true" errorStyle="stop" showErrorMessage="true" showInputMessage="true">
      <formula1>"Clássico,Premium"</formula1>
    </dataValidation>
    <dataValidation type="list" sqref="J1416" allowBlank="true" errorStyle="stop" showErrorMessage="true" showInputMessage="true">
      <formula1>"R$"</formula1>
    </dataValidation>
    <dataValidation type="list" sqref="K1416" allowBlank="true" errorStyle="stop" showErrorMessage="true" showInputMessage="true">
      <formula1>"Com impostos,Sem impostos"</formula1>
    </dataValidation>
    <dataValidation type="list" sqref="V1416" allowBlank="true" errorStyle="stop" showErrorMessage="true" showInputMessage="true">
      <formula1>"Mercado Envios por conta do comprador,Mercado Envios grátis"</formula1>
    </dataValidation>
    <dataValidation type="list" sqref="W1416" allowBlank="true" errorStyle="stop" showErrorMessage="true" showInputMessage="true">
      <formula1>"Clássico,Premium"</formula1>
    </dataValidation>
    <dataValidation type="list" sqref="J1417" allowBlank="true" errorStyle="stop" showErrorMessage="true" showInputMessage="true">
      <formula1>"R$"</formula1>
    </dataValidation>
    <dataValidation type="list" sqref="K1417" allowBlank="true" errorStyle="stop" showErrorMessage="true" showInputMessage="true">
      <formula1>"Com impostos,Sem impostos"</formula1>
    </dataValidation>
    <dataValidation type="list" sqref="V1417" allowBlank="true" errorStyle="stop" showErrorMessage="true" showInputMessage="true">
      <formula1>"Mercado Envios por conta do comprador,Mercado Envios grátis"</formula1>
    </dataValidation>
    <dataValidation type="list" sqref="W1417" allowBlank="true" errorStyle="stop" showErrorMessage="true" showInputMessage="true">
      <formula1>"Clássico,Premium"</formula1>
    </dataValidation>
    <dataValidation type="list" sqref="J1418" allowBlank="true" errorStyle="stop" showErrorMessage="true" showInputMessage="true">
      <formula1>"R$"</formula1>
    </dataValidation>
    <dataValidation type="list" sqref="K1418" allowBlank="true" errorStyle="stop" showErrorMessage="true" showInputMessage="true">
      <formula1>"Com impostos,Sem impostos"</formula1>
    </dataValidation>
    <dataValidation type="list" sqref="V1418" allowBlank="true" errorStyle="stop" showErrorMessage="true" showInputMessage="true">
      <formula1>"Mercado Envios por conta do comprador,Mercado Envios grátis"</formula1>
    </dataValidation>
    <dataValidation type="list" sqref="W1418" allowBlank="true" errorStyle="stop" showErrorMessage="true" showInputMessage="true">
      <formula1>"Clássico,Premium"</formula1>
    </dataValidation>
    <dataValidation type="list" sqref="J1419" allowBlank="true" errorStyle="stop" showErrorMessage="true" showInputMessage="true">
      <formula1>"R$"</formula1>
    </dataValidation>
    <dataValidation type="list" sqref="K1419" allowBlank="true" errorStyle="stop" showErrorMessage="true" showInputMessage="true">
      <formula1>"Com impostos,Sem impostos"</formula1>
    </dataValidation>
    <dataValidation type="list" sqref="V1419" allowBlank="true" errorStyle="stop" showErrorMessage="true" showInputMessage="true">
      <formula1>"Mercado Envios por conta do comprador,Mercado Envios grátis"</formula1>
    </dataValidation>
    <dataValidation type="list" sqref="W1419" allowBlank="true" errorStyle="stop" showErrorMessage="true" showInputMessage="true">
      <formula1>"Clássico,Premium"</formula1>
    </dataValidation>
    <dataValidation type="list" sqref="J1420" allowBlank="true" errorStyle="stop" showErrorMessage="true" showInputMessage="true">
      <formula1>"R$"</formula1>
    </dataValidation>
    <dataValidation type="list" sqref="K1420" allowBlank="true" errorStyle="stop" showErrorMessage="true" showInputMessage="true">
      <formula1>"Com impostos,Sem impostos"</formula1>
    </dataValidation>
    <dataValidation type="list" sqref="V1420" allowBlank="true" errorStyle="stop" showErrorMessage="true" showInputMessage="true">
      <formula1>"Mercado Envios por conta do comprador,Mercado Envios grátis"</formula1>
    </dataValidation>
    <dataValidation type="list" sqref="W1420" allowBlank="true" errorStyle="stop" showErrorMessage="true" showInputMessage="true">
      <formula1>"Clássico,Premium"</formula1>
    </dataValidation>
  </dataValidations>
  <pageMargins bottom="0.75" footer="0.3" header="0.3" left="0.7" right="0.7" top="0.75"/>
  <ignoredErrors>
    <ignoredError sqref="A5:A10001" numberStoredAsText="true"/>
    <ignoredError sqref="B5:B10001" numberStoredAsText="true"/>
    <ignoredError sqref="C5:C10001" numberStoredAsText="true"/>
    <ignoredError sqref="D5:D10001" numberStoredAsText="true"/>
    <ignoredError sqref="E5:E10001" numberStoredAsText="true"/>
    <ignoredError sqref="F5:F10001" numberStoredAsText="true"/>
    <ignoredError sqref="G5:G10001" numberStoredAsText="true"/>
    <ignoredError sqref="H5:H10001" numberStoredAsText="true"/>
    <ignoredError sqref="I5:I10001" numberStoredAsText="true"/>
    <ignoredError sqref="J5:J10001" numberStoredAsText="true"/>
    <ignoredError sqref="K5:K10001" numberStoredAsText="true"/>
    <ignoredError sqref="L5:L10001" numberStoredAsText="true"/>
    <ignoredError sqref="M5:M10001" numberStoredAsText="true"/>
    <ignoredError sqref="N5:N10001" numberStoredAsText="true"/>
    <ignoredError sqref="O5:O10001" numberStoredAsText="true"/>
    <ignoredError sqref="P5:P10001" numberStoredAsText="true"/>
    <ignoredError sqref="Q5:Q10001" numberStoredAsText="true"/>
    <ignoredError sqref="R5:R10001" numberStoredAsText="true"/>
    <ignoredError sqref="S5:S10001" numberStoredAsText="true"/>
    <ignoredError sqref="T5:T10001" numberStoredAsText="true"/>
    <ignoredError sqref="U5:U10001" numberStoredAsText="true"/>
    <ignoredError sqref="V5:V10001" numberStoredAsText="true"/>
    <ignoredError sqref="W5:W10001" numberStoredAsText="true"/>
    <ignoredError sqref="X5:X10001" numberStoredAsText="true"/>
    <ignoredError sqref="Y5:Y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